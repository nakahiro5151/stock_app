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24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\\FF-FS01.ff.foster.jp\Y\開発TOOL\R_D_E_TOOL\splds\"/>
    </mc:Choice>
  </mc:AlternateContent>
  <workbookProtection workbookAlgorithmName="SHA-512" workbookHashValue="vNzv1Ayg8fbi3UMiwkzE6yqPJ0zNqZF/YzpYxFFcYdeKYf+E7lUq4V38LCJLtfEaUctvnuox3RbeuDpw953UEg==" workbookSaltValue="qu2mMO8CeVXU0Zih2h3RAg==" workbookSpinCount="100000" lockStructure="1"/>
  <bookViews>
    <workbookView xWindow="7080" yWindow="1785" windowWidth="6600" windowHeight="5400"/>
  </bookViews>
  <sheets>
    <sheet name="BASE" sheetId="1" r:id="rId1"/>
    <sheet name="FRES" sheetId="12" state="veryHidden" r:id="rId2"/>
    <sheet name="CELLINFO" sheetId="3" state="veryHidden" r:id="rId3"/>
    <sheet name="Histry" sheetId="13" state="veryHidden" r:id="rId4"/>
    <sheet name="Eqvlnt circuit" sheetId="14" state="veryHidden" r:id="rId5"/>
  </sheets>
  <externalReferences>
    <externalReference r:id="rId6"/>
  </externalReferences>
  <definedNames>
    <definedName name="CC" localSheetId="4">[1]FRES!$J$2</definedName>
    <definedName name="CC">FRES!$E$3</definedName>
    <definedName name="_xlnm.Print_Area" localSheetId="0">BASE!$B$1:$N$71</definedName>
    <definedName name="rho" localSheetId="4">[1]FRES!$J$1</definedName>
    <definedName name="rho">FRES!$E$2</definedName>
  </definedNames>
  <calcPr calcId="162913"/>
</workbook>
</file>

<file path=xl/calcChain.xml><?xml version="1.0" encoding="utf-8"?>
<calcChain xmlns="http://schemas.openxmlformats.org/spreadsheetml/2006/main">
  <c r="K34" i="1" l="1"/>
  <c r="L34" i="1"/>
  <c r="M34" i="1"/>
  <c r="L37" i="1" l="1"/>
  <c r="M37" i="1" s="1"/>
  <c r="J190" i="3" l="1"/>
  <c r="H190" i="3"/>
  <c r="J189" i="3"/>
  <c r="I189" i="3"/>
  <c r="H189" i="3"/>
  <c r="J188" i="3"/>
  <c r="I188" i="3"/>
  <c r="H188" i="3"/>
  <c r="J187" i="3"/>
  <c r="I187" i="3"/>
  <c r="H187" i="3"/>
  <c r="J186" i="3"/>
  <c r="I186" i="3"/>
  <c r="H186" i="3"/>
  <c r="J185" i="3"/>
  <c r="I185" i="3"/>
  <c r="H185" i="3"/>
  <c r="J184" i="3"/>
  <c r="I184" i="3"/>
  <c r="H184" i="3"/>
  <c r="J183" i="3"/>
  <c r="I183" i="3"/>
  <c r="H183" i="3"/>
  <c r="J182" i="3"/>
  <c r="I182" i="3"/>
  <c r="H182" i="3"/>
  <c r="J181" i="3"/>
  <c r="I181" i="3"/>
  <c r="H181" i="3"/>
  <c r="J180" i="3"/>
  <c r="I180" i="3"/>
  <c r="H180" i="3"/>
  <c r="J179" i="3"/>
  <c r="I179" i="3"/>
  <c r="H179" i="3"/>
  <c r="J178" i="3"/>
  <c r="I178" i="3"/>
  <c r="H178" i="3"/>
  <c r="J177" i="3"/>
  <c r="I177" i="3"/>
  <c r="H177" i="3"/>
  <c r="J176" i="3"/>
  <c r="I176" i="3"/>
  <c r="H176" i="3"/>
  <c r="J175" i="3"/>
  <c r="I175" i="3"/>
  <c r="H175" i="3"/>
  <c r="J174" i="3"/>
  <c r="I174" i="3"/>
  <c r="H174" i="3"/>
  <c r="J173" i="3"/>
  <c r="I173" i="3"/>
  <c r="H173" i="3"/>
  <c r="J172" i="3"/>
  <c r="I172" i="3"/>
  <c r="H172" i="3"/>
  <c r="J171" i="3"/>
  <c r="I171" i="3"/>
  <c r="H171" i="3"/>
  <c r="J170" i="3"/>
  <c r="I170" i="3"/>
  <c r="H170" i="3"/>
  <c r="J169" i="3"/>
  <c r="I169" i="3"/>
  <c r="H169" i="3"/>
  <c r="J168" i="3"/>
  <c r="I168" i="3"/>
  <c r="H168" i="3"/>
  <c r="J167" i="3"/>
  <c r="I167" i="3"/>
  <c r="H167" i="3"/>
  <c r="J166" i="3"/>
  <c r="I166" i="3"/>
  <c r="H166" i="3"/>
  <c r="J165" i="3"/>
  <c r="I165" i="3"/>
  <c r="H165" i="3"/>
  <c r="J164" i="3"/>
  <c r="I164" i="3"/>
  <c r="H164" i="3"/>
  <c r="J163" i="3"/>
  <c r="I163" i="3"/>
  <c r="H163" i="3"/>
  <c r="J162" i="3"/>
  <c r="I162" i="3"/>
  <c r="H162" i="3"/>
  <c r="J161" i="3"/>
  <c r="I161" i="3"/>
  <c r="H161" i="3"/>
  <c r="J160" i="3"/>
  <c r="I160" i="3"/>
  <c r="H160" i="3"/>
  <c r="J159" i="3"/>
  <c r="I159" i="3"/>
  <c r="H159" i="3"/>
  <c r="J158" i="3"/>
  <c r="I158" i="3"/>
  <c r="H158" i="3"/>
  <c r="J157" i="3"/>
  <c r="I157" i="3"/>
  <c r="H157" i="3"/>
  <c r="J156" i="3"/>
  <c r="I156" i="3"/>
  <c r="H156" i="3"/>
  <c r="J155" i="3"/>
  <c r="I155" i="3"/>
  <c r="H155" i="3"/>
  <c r="J154" i="3"/>
  <c r="I154" i="3"/>
  <c r="H154" i="3"/>
  <c r="J153" i="3"/>
  <c r="I153" i="3"/>
  <c r="H153" i="3"/>
  <c r="J152" i="3"/>
  <c r="I152" i="3"/>
  <c r="H152" i="3"/>
  <c r="J151" i="3"/>
  <c r="I151" i="3"/>
  <c r="H151" i="3"/>
  <c r="J150" i="3"/>
  <c r="I150" i="3"/>
  <c r="H150" i="3"/>
  <c r="J149" i="3"/>
  <c r="I149" i="3"/>
  <c r="H149" i="3"/>
  <c r="J148" i="3"/>
  <c r="I148" i="3"/>
  <c r="H148" i="3"/>
  <c r="J147" i="3"/>
  <c r="I147" i="3"/>
  <c r="H147" i="3"/>
  <c r="J146" i="3"/>
  <c r="I146" i="3"/>
  <c r="H146" i="3"/>
  <c r="J145" i="3"/>
  <c r="I145" i="3"/>
  <c r="H145" i="3"/>
  <c r="J144" i="3"/>
  <c r="I144" i="3"/>
  <c r="H144" i="3"/>
  <c r="J143" i="3"/>
  <c r="I143" i="3"/>
  <c r="H143" i="3"/>
  <c r="J142" i="3"/>
  <c r="I142" i="3"/>
  <c r="H142" i="3"/>
  <c r="J141" i="3"/>
  <c r="I141" i="3"/>
  <c r="H141" i="3"/>
  <c r="J140" i="3"/>
  <c r="I140" i="3"/>
  <c r="H140" i="3"/>
  <c r="J139" i="3"/>
  <c r="I139" i="3"/>
  <c r="H139" i="3"/>
  <c r="J138" i="3"/>
  <c r="I138" i="3"/>
  <c r="H138" i="3"/>
  <c r="J137" i="3"/>
  <c r="I137" i="3"/>
  <c r="H137" i="3"/>
  <c r="J136" i="3"/>
  <c r="I136" i="3"/>
  <c r="H136" i="3"/>
  <c r="J135" i="3"/>
  <c r="I135" i="3"/>
  <c r="H135" i="3"/>
  <c r="J134" i="3"/>
  <c r="I134" i="3"/>
  <c r="H134" i="3"/>
  <c r="J133" i="3"/>
  <c r="I133" i="3"/>
  <c r="H133" i="3"/>
  <c r="J132" i="3"/>
  <c r="I132" i="3"/>
  <c r="H132" i="3"/>
  <c r="J131" i="3"/>
  <c r="I131" i="3"/>
  <c r="H131" i="3"/>
  <c r="J130" i="3"/>
  <c r="I130" i="3"/>
  <c r="H130" i="3"/>
  <c r="J129" i="3"/>
  <c r="I129" i="3"/>
  <c r="H129" i="3"/>
  <c r="J128" i="3"/>
  <c r="I128" i="3"/>
  <c r="H128" i="3"/>
  <c r="J127" i="3"/>
  <c r="I127" i="3"/>
  <c r="H127" i="3"/>
  <c r="J126" i="3"/>
  <c r="I126" i="3"/>
  <c r="H126" i="3"/>
  <c r="J125" i="3"/>
  <c r="I125" i="3"/>
  <c r="H125" i="3"/>
  <c r="J124" i="3"/>
  <c r="I124" i="3"/>
  <c r="H124" i="3"/>
  <c r="J123" i="3"/>
  <c r="I123" i="3"/>
  <c r="H123" i="3"/>
  <c r="J122" i="3"/>
  <c r="I122" i="3"/>
  <c r="H122" i="3"/>
  <c r="J121" i="3"/>
  <c r="I121" i="3"/>
  <c r="H121" i="3"/>
  <c r="J120" i="3"/>
  <c r="I120" i="3"/>
  <c r="H120" i="3"/>
  <c r="J119" i="3"/>
  <c r="I119" i="3"/>
  <c r="H119" i="3"/>
  <c r="J118" i="3"/>
  <c r="I118" i="3"/>
  <c r="H118" i="3"/>
  <c r="J117" i="3"/>
  <c r="I117" i="3"/>
  <c r="H117" i="3"/>
  <c r="J116" i="3"/>
  <c r="I116" i="3"/>
  <c r="H116" i="3"/>
  <c r="J115" i="3"/>
  <c r="I115" i="3"/>
  <c r="H115" i="3"/>
  <c r="J114" i="3"/>
  <c r="I114" i="3"/>
  <c r="H114" i="3"/>
  <c r="J113" i="3"/>
  <c r="I113" i="3"/>
  <c r="H113" i="3"/>
  <c r="J112" i="3"/>
  <c r="I112" i="3"/>
  <c r="H112" i="3"/>
  <c r="J111" i="3"/>
  <c r="I111" i="3"/>
  <c r="H111" i="3"/>
  <c r="J110" i="3"/>
  <c r="I110" i="3"/>
  <c r="H110" i="3"/>
  <c r="J109" i="3"/>
  <c r="I109" i="3"/>
  <c r="H109" i="3"/>
  <c r="J108" i="3"/>
  <c r="I108" i="3"/>
  <c r="H108" i="3"/>
  <c r="J107" i="3"/>
  <c r="I107" i="3"/>
  <c r="H107" i="3"/>
  <c r="J106" i="3"/>
  <c r="I106" i="3"/>
  <c r="H106" i="3"/>
  <c r="J105" i="3"/>
  <c r="I105" i="3"/>
  <c r="H105" i="3"/>
  <c r="J104" i="3"/>
  <c r="I104" i="3"/>
  <c r="H104" i="3"/>
  <c r="J103" i="3"/>
  <c r="I103" i="3"/>
  <c r="H103" i="3"/>
  <c r="J102" i="3"/>
  <c r="I102" i="3"/>
  <c r="H102" i="3"/>
  <c r="J101" i="3"/>
  <c r="I101" i="3"/>
  <c r="H101" i="3"/>
  <c r="J100" i="3"/>
  <c r="I100" i="3"/>
  <c r="H100" i="3"/>
  <c r="J99" i="3"/>
  <c r="I99" i="3"/>
  <c r="H99" i="3"/>
  <c r="J98" i="3"/>
  <c r="I98" i="3"/>
  <c r="H98" i="3"/>
  <c r="J97" i="3"/>
  <c r="I97" i="3"/>
  <c r="H97" i="3"/>
  <c r="J96" i="3"/>
  <c r="I96" i="3"/>
  <c r="H96" i="3"/>
  <c r="J95" i="3"/>
  <c r="I95" i="3"/>
  <c r="H95" i="3"/>
  <c r="J94" i="3"/>
  <c r="I94" i="3"/>
  <c r="H94" i="3"/>
  <c r="J93" i="3"/>
  <c r="I93" i="3"/>
  <c r="H93" i="3"/>
  <c r="J92" i="3"/>
  <c r="I92" i="3"/>
  <c r="H92" i="3"/>
  <c r="J91" i="3"/>
  <c r="I91" i="3"/>
  <c r="H91" i="3"/>
  <c r="J90" i="3"/>
  <c r="I90" i="3"/>
  <c r="H90" i="3"/>
  <c r="J89" i="3"/>
  <c r="I89" i="3"/>
  <c r="H89" i="3"/>
  <c r="J88" i="3"/>
  <c r="I88" i="3"/>
  <c r="H88" i="3"/>
  <c r="J87" i="3"/>
  <c r="I87" i="3"/>
  <c r="H87" i="3"/>
  <c r="J86" i="3"/>
  <c r="I86" i="3"/>
  <c r="H86" i="3"/>
  <c r="J85" i="3"/>
  <c r="I85" i="3"/>
  <c r="H85" i="3"/>
  <c r="J84" i="3"/>
  <c r="I84" i="3"/>
  <c r="H84" i="3"/>
  <c r="J83" i="3"/>
  <c r="I83" i="3"/>
  <c r="H83" i="3"/>
  <c r="J82" i="3"/>
  <c r="I82" i="3"/>
  <c r="H82" i="3"/>
  <c r="J81" i="3"/>
  <c r="I81" i="3"/>
  <c r="H81" i="3"/>
  <c r="J80" i="3"/>
  <c r="I80" i="3"/>
  <c r="H80" i="3"/>
  <c r="J79" i="3"/>
  <c r="I79" i="3"/>
  <c r="H79" i="3"/>
  <c r="J78" i="3"/>
  <c r="I78" i="3"/>
  <c r="H78" i="3"/>
  <c r="J77" i="3"/>
  <c r="I77" i="3"/>
  <c r="H77" i="3"/>
  <c r="J76" i="3"/>
  <c r="I76" i="3"/>
  <c r="H76" i="3"/>
  <c r="J75" i="3"/>
  <c r="I75" i="3"/>
  <c r="H75" i="3"/>
  <c r="J74" i="3"/>
  <c r="I74" i="3"/>
  <c r="H74" i="3"/>
  <c r="J73" i="3"/>
  <c r="I73" i="3"/>
  <c r="H73" i="3"/>
  <c r="J72" i="3"/>
  <c r="I72" i="3"/>
  <c r="H72" i="3"/>
  <c r="J71" i="3"/>
  <c r="I71" i="3"/>
  <c r="H71" i="3"/>
  <c r="J70" i="3"/>
  <c r="I70" i="3"/>
  <c r="H70" i="3"/>
  <c r="J69" i="3"/>
  <c r="I69" i="3"/>
  <c r="H69" i="3"/>
  <c r="J68" i="3"/>
  <c r="I68" i="3"/>
  <c r="H68" i="3"/>
  <c r="J67" i="3"/>
  <c r="I67" i="3"/>
  <c r="H67" i="3"/>
  <c r="J66" i="3"/>
  <c r="I66" i="3"/>
  <c r="H66" i="3"/>
  <c r="J65" i="3"/>
  <c r="I65" i="3"/>
  <c r="H65" i="3"/>
  <c r="J64" i="3"/>
  <c r="I64" i="3"/>
  <c r="H64" i="3"/>
  <c r="J63" i="3"/>
  <c r="I63" i="3"/>
  <c r="H63" i="3"/>
  <c r="J62" i="3"/>
  <c r="I62" i="3"/>
  <c r="H62" i="3"/>
  <c r="J61" i="3"/>
  <c r="I61" i="3"/>
  <c r="H61" i="3"/>
  <c r="J60" i="3"/>
  <c r="I60" i="3"/>
  <c r="H60" i="3"/>
  <c r="J59" i="3"/>
  <c r="I59" i="3"/>
  <c r="H59" i="3"/>
  <c r="J58" i="3"/>
  <c r="I58" i="3"/>
  <c r="H58" i="3"/>
  <c r="J57" i="3"/>
  <c r="I57" i="3"/>
  <c r="H57" i="3"/>
  <c r="J56" i="3"/>
  <c r="I56" i="3"/>
  <c r="H56" i="3"/>
  <c r="J55" i="3"/>
  <c r="I55" i="3"/>
  <c r="H55" i="3"/>
  <c r="J54" i="3"/>
  <c r="I54" i="3"/>
  <c r="H54" i="3"/>
  <c r="J53" i="3"/>
  <c r="I53" i="3"/>
  <c r="H53" i="3"/>
  <c r="J52" i="3"/>
  <c r="I52" i="3"/>
  <c r="H52" i="3"/>
  <c r="J51" i="3"/>
  <c r="I51" i="3"/>
  <c r="H51" i="3"/>
  <c r="J50" i="3"/>
  <c r="I50" i="3"/>
  <c r="H50" i="3"/>
  <c r="J49" i="3"/>
  <c r="I49" i="3"/>
  <c r="H49" i="3"/>
  <c r="J48" i="3"/>
  <c r="I48" i="3"/>
  <c r="H48" i="3"/>
  <c r="J47" i="3"/>
  <c r="I47" i="3"/>
  <c r="H47" i="3"/>
  <c r="J46" i="3"/>
  <c r="I46" i="3"/>
  <c r="H46" i="3"/>
  <c r="J45" i="3"/>
  <c r="I45" i="3"/>
  <c r="H45" i="3"/>
  <c r="J44" i="3"/>
  <c r="I44" i="3"/>
  <c r="H44" i="3"/>
  <c r="J43" i="3"/>
  <c r="I43" i="3"/>
  <c r="H43" i="3"/>
  <c r="J42" i="3"/>
  <c r="I42" i="3"/>
  <c r="H42" i="3"/>
  <c r="J41" i="3"/>
  <c r="I41" i="3"/>
  <c r="H41" i="3"/>
  <c r="J40" i="3"/>
  <c r="I40" i="3"/>
  <c r="H40" i="3"/>
  <c r="J39" i="3"/>
  <c r="I39" i="3"/>
  <c r="H39" i="3"/>
  <c r="J38" i="3"/>
  <c r="I38" i="3"/>
  <c r="H38" i="3"/>
  <c r="J37" i="3"/>
  <c r="I37" i="3"/>
  <c r="H37" i="3"/>
  <c r="J36" i="3"/>
  <c r="I36" i="3"/>
  <c r="H36" i="3"/>
  <c r="J35" i="3"/>
  <c r="I35" i="3"/>
  <c r="H35" i="3"/>
  <c r="J34" i="3"/>
  <c r="I34" i="3"/>
  <c r="H34" i="3"/>
  <c r="K33" i="3"/>
  <c r="J33" i="3"/>
  <c r="I33" i="3"/>
  <c r="H33" i="3"/>
  <c r="K32" i="3"/>
  <c r="J32" i="3"/>
  <c r="I32" i="3"/>
  <c r="H32" i="3"/>
  <c r="K31" i="3"/>
  <c r="J31" i="3"/>
  <c r="I31" i="3"/>
  <c r="H31" i="3"/>
  <c r="K30" i="3"/>
  <c r="J30" i="3"/>
  <c r="I30" i="3"/>
  <c r="H30" i="3"/>
  <c r="K29" i="3"/>
  <c r="J29" i="3"/>
  <c r="I29" i="3"/>
  <c r="H29" i="3"/>
  <c r="K28" i="3"/>
  <c r="J28" i="3"/>
  <c r="I28" i="3"/>
  <c r="H28" i="3"/>
  <c r="K27" i="3"/>
  <c r="J27" i="3"/>
  <c r="I27" i="3"/>
  <c r="H27" i="3"/>
  <c r="K26" i="3"/>
  <c r="J26" i="3"/>
  <c r="I26" i="3"/>
  <c r="H26" i="3"/>
  <c r="K25" i="3"/>
  <c r="J25" i="3"/>
  <c r="I25" i="3"/>
  <c r="H25" i="3"/>
  <c r="K24" i="3"/>
  <c r="J24" i="3"/>
  <c r="I24" i="3"/>
  <c r="H24" i="3"/>
  <c r="K23" i="3"/>
  <c r="J23" i="3"/>
  <c r="I23" i="3"/>
  <c r="H23" i="3"/>
  <c r="K22" i="3"/>
  <c r="J22" i="3"/>
  <c r="I22" i="3"/>
  <c r="H22" i="3"/>
  <c r="K21" i="3"/>
  <c r="J21" i="3"/>
  <c r="I21" i="3"/>
  <c r="H21" i="3"/>
  <c r="K20" i="3"/>
  <c r="J20" i="3"/>
  <c r="I20" i="3"/>
  <c r="H20" i="3"/>
  <c r="K19" i="3"/>
  <c r="J19" i="3"/>
  <c r="I19" i="3"/>
  <c r="H19" i="3"/>
  <c r="K18" i="3"/>
  <c r="J18" i="3"/>
  <c r="I18" i="3"/>
  <c r="H18" i="3"/>
  <c r="K17" i="3"/>
  <c r="J17" i="3"/>
  <c r="I17" i="3"/>
  <c r="H17" i="3"/>
  <c r="K16" i="3"/>
  <c r="J16" i="3"/>
  <c r="I16" i="3"/>
  <c r="H16" i="3"/>
  <c r="K15" i="3"/>
  <c r="J15" i="3"/>
  <c r="I15" i="3"/>
  <c r="H15" i="3"/>
  <c r="K14" i="3"/>
  <c r="J14" i="3"/>
  <c r="I14" i="3"/>
  <c r="H14" i="3"/>
  <c r="K13" i="3"/>
  <c r="J13" i="3"/>
  <c r="I13" i="3"/>
  <c r="H13" i="3"/>
  <c r="K12" i="3"/>
  <c r="J12" i="3"/>
  <c r="I12" i="3"/>
  <c r="H12" i="3"/>
  <c r="K11" i="3"/>
  <c r="J11" i="3"/>
  <c r="I11" i="3"/>
  <c r="H11" i="3"/>
  <c r="G11" i="3"/>
  <c r="K10" i="3"/>
  <c r="H10" i="3"/>
  <c r="K9" i="3"/>
  <c r="H9" i="3"/>
  <c r="K8" i="3"/>
  <c r="K7" i="3"/>
  <c r="K6" i="3"/>
  <c r="K5" i="3"/>
  <c r="K4" i="3"/>
  <c r="K3" i="3"/>
  <c r="K2" i="3"/>
  <c r="C188" i="12"/>
  <c r="D188" i="12" s="1"/>
  <c r="C187" i="12"/>
  <c r="D187" i="12" s="1"/>
  <c r="C186" i="12"/>
  <c r="D186" i="12" s="1"/>
  <c r="H186" i="12" s="1"/>
  <c r="C185" i="12"/>
  <c r="D185" i="12" s="1"/>
  <c r="D184" i="12"/>
  <c r="F184" i="12" s="1"/>
  <c r="D183" i="12"/>
  <c r="F183" i="12" s="1"/>
  <c r="D182" i="12"/>
  <c r="D181" i="12"/>
  <c r="H181" i="12" s="1"/>
  <c r="D180" i="12"/>
  <c r="H180" i="12" s="1"/>
  <c r="D179" i="12"/>
  <c r="D178" i="12"/>
  <c r="F178" i="12" s="1"/>
  <c r="D177" i="12"/>
  <c r="H177" i="12" s="1"/>
  <c r="D176" i="12"/>
  <c r="D175" i="12"/>
  <c r="F175" i="12" s="1"/>
  <c r="D174" i="12"/>
  <c r="F174" i="12" s="1"/>
  <c r="D173" i="12"/>
  <c r="D172" i="12"/>
  <c r="H172" i="12" s="1"/>
  <c r="D171" i="12"/>
  <c r="G171" i="12" s="1"/>
  <c r="D170" i="12"/>
  <c r="D169" i="12"/>
  <c r="H169" i="12" s="1"/>
  <c r="D168" i="12"/>
  <c r="H168" i="12" s="1"/>
  <c r="D167" i="12"/>
  <c r="D166" i="12"/>
  <c r="G166" i="12" s="1"/>
  <c r="D165" i="12"/>
  <c r="H165" i="12" s="1"/>
  <c r="D164" i="12"/>
  <c r="D163" i="12"/>
  <c r="F163" i="12" s="1"/>
  <c r="D162" i="12"/>
  <c r="F162" i="12" s="1"/>
  <c r="D161" i="12"/>
  <c r="D160" i="12"/>
  <c r="H160" i="12" s="1"/>
  <c r="D159" i="12"/>
  <c r="G159" i="12" s="1"/>
  <c r="D158" i="12"/>
  <c r="D157" i="12"/>
  <c r="H157" i="12" s="1"/>
  <c r="D156" i="12"/>
  <c r="H156" i="12" s="1"/>
  <c r="D155" i="12"/>
  <c r="D154" i="12"/>
  <c r="H154" i="12" s="1"/>
  <c r="D153" i="12"/>
  <c r="H153" i="12" s="1"/>
  <c r="D152" i="12"/>
  <c r="D151" i="12"/>
  <c r="F151" i="12" s="1"/>
  <c r="D150" i="12"/>
  <c r="F150" i="12" s="1"/>
  <c r="D149" i="12"/>
  <c r="D148" i="12"/>
  <c r="G148" i="12" s="1"/>
  <c r="D147" i="12"/>
  <c r="G147" i="12" s="1"/>
  <c r="D146" i="12"/>
  <c r="D145" i="12"/>
  <c r="H145" i="12" s="1"/>
  <c r="D144" i="12"/>
  <c r="H144" i="12" s="1"/>
  <c r="D143" i="12"/>
  <c r="D142" i="12"/>
  <c r="G142" i="12" s="1"/>
  <c r="D141" i="12"/>
  <c r="H141" i="12" s="1"/>
  <c r="D140" i="12"/>
  <c r="D139" i="12"/>
  <c r="F139" i="12" s="1"/>
  <c r="D138" i="12"/>
  <c r="F138" i="12" s="1"/>
  <c r="D137" i="12"/>
  <c r="D136" i="12"/>
  <c r="H136" i="12" s="1"/>
  <c r="D135" i="12"/>
  <c r="G135" i="12" s="1"/>
  <c r="D134" i="12"/>
  <c r="D133" i="12"/>
  <c r="H133" i="12" s="1"/>
  <c r="D132" i="12"/>
  <c r="H132" i="12" s="1"/>
  <c r="D131" i="12"/>
  <c r="D130" i="12"/>
  <c r="H130" i="12" s="1"/>
  <c r="D129" i="12"/>
  <c r="H129" i="12" s="1"/>
  <c r="D128" i="12"/>
  <c r="D127" i="12"/>
  <c r="F127" i="12" s="1"/>
  <c r="D126" i="12"/>
  <c r="F126" i="12" s="1"/>
  <c r="D125" i="12"/>
  <c r="D124" i="12"/>
  <c r="G124" i="12" s="1"/>
  <c r="D123" i="12"/>
  <c r="H123" i="12" s="1"/>
  <c r="D122" i="12"/>
  <c r="D121" i="12"/>
  <c r="H121" i="12" s="1"/>
  <c r="D120" i="12"/>
  <c r="G120" i="12" s="1"/>
  <c r="D119" i="12"/>
  <c r="D118" i="12"/>
  <c r="H118" i="12" s="1"/>
  <c r="D117" i="12"/>
  <c r="H117" i="12" s="1"/>
  <c r="D116" i="12"/>
  <c r="D115" i="12"/>
  <c r="F115" i="12" s="1"/>
  <c r="D114" i="12"/>
  <c r="F114" i="12" s="1"/>
  <c r="D113" i="12"/>
  <c r="D112" i="12"/>
  <c r="G112" i="12" s="1"/>
  <c r="D111" i="12"/>
  <c r="F111" i="12" s="1"/>
  <c r="D110" i="12"/>
  <c r="D109" i="12"/>
  <c r="F109" i="12" s="1"/>
  <c r="D108" i="12"/>
  <c r="F108" i="12" s="1"/>
  <c r="D107" i="12"/>
  <c r="D106" i="12"/>
  <c r="H106" i="12" s="1"/>
  <c r="D105" i="12"/>
  <c r="F105" i="12" s="1"/>
  <c r="D104" i="12"/>
  <c r="D103" i="12"/>
  <c r="H103" i="12" s="1"/>
  <c r="D102" i="12"/>
  <c r="F102" i="12" s="1"/>
  <c r="D101" i="12"/>
  <c r="D100" i="12"/>
  <c r="G100" i="12" s="1"/>
  <c r="D99" i="12"/>
  <c r="F99" i="12" s="1"/>
  <c r="D98" i="12"/>
  <c r="D97" i="12"/>
  <c r="H97" i="12" s="1"/>
  <c r="D96" i="12"/>
  <c r="F96" i="12" s="1"/>
  <c r="D95" i="12"/>
  <c r="D94" i="12"/>
  <c r="F94" i="12" s="1"/>
  <c r="D93" i="12"/>
  <c r="F93" i="12" s="1"/>
  <c r="D92" i="12"/>
  <c r="D91" i="12"/>
  <c r="H91" i="12" s="1"/>
  <c r="D90" i="12"/>
  <c r="F90" i="12" s="1"/>
  <c r="D89" i="12"/>
  <c r="D88" i="12"/>
  <c r="G88" i="12" s="1"/>
  <c r="D87" i="12"/>
  <c r="F87" i="12" s="1"/>
  <c r="D86" i="12"/>
  <c r="D85" i="12"/>
  <c r="F85" i="12" s="1"/>
  <c r="B85" i="12"/>
  <c r="D84" i="12"/>
  <c r="G84" i="12" s="1"/>
  <c r="B84" i="12"/>
  <c r="D83" i="12"/>
  <c r="G83" i="12" s="1"/>
  <c r="B83" i="12"/>
  <c r="D82" i="12"/>
  <c r="H82" i="12" s="1"/>
  <c r="B82" i="12"/>
  <c r="D81" i="12"/>
  <c r="B81" i="12"/>
  <c r="D80" i="12"/>
  <c r="F80" i="12" s="1"/>
  <c r="B80" i="12"/>
  <c r="D79" i="12"/>
  <c r="H79" i="12" s="1"/>
  <c r="B79" i="12"/>
  <c r="D78" i="12"/>
  <c r="G78" i="12" s="1"/>
  <c r="B78" i="12"/>
  <c r="D77" i="12"/>
  <c r="F77" i="12" s="1"/>
  <c r="B77" i="12"/>
  <c r="D76" i="12"/>
  <c r="H76" i="12" s="1"/>
  <c r="B76" i="12"/>
  <c r="D75" i="12"/>
  <c r="G75" i="12" s="1"/>
  <c r="B75" i="12"/>
  <c r="D74" i="12"/>
  <c r="H74" i="12" s="1"/>
  <c r="B74" i="12"/>
  <c r="D73" i="12"/>
  <c r="F73" i="12" s="1"/>
  <c r="B73" i="12"/>
  <c r="D72" i="12"/>
  <c r="G72" i="12" s="1"/>
  <c r="B72" i="12"/>
  <c r="D71" i="12"/>
  <c r="B71" i="12"/>
  <c r="D70" i="12"/>
  <c r="H70" i="12" s="1"/>
  <c r="B70" i="12"/>
  <c r="D69" i="12"/>
  <c r="B69" i="12"/>
  <c r="D68" i="12"/>
  <c r="G68" i="12" s="1"/>
  <c r="B68" i="12"/>
  <c r="D67" i="12"/>
  <c r="H67" i="12" s="1"/>
  <c r="B67" i="12"/>
  <c r="D66" i="12"/>
  <c r="G66" i="12" s="1"/>
  <c r="B66" i="12"/>
  <c r="D65" i="12"/>
  <c r="F65" i="12" s="1"/>
  <c r="B65" i="12"/>
  <c r="D64" i="12"/>
  <c r="G64" i="12" s="1"/>
  <c r="B64" i="12"/>
  <c r="D63" i="12"/>
  <c r="G63" i="12" s="1"/>
  <c r="B63" i="12"/>
  <c r="D62" i="12"/>
  <c r="H62" i="12" s="1"/>
  <c r="B62" i="12"/>
  <c r="D61" i="12"/>
  <c r="H61" i="12" s="1"/>
  <c r="B61" i="12"/>
  <c r="D60" i="12"/>
  <c r="G60" i="12" s="1"/>
  <c r="B60" i="12"/>
  <c r="D59" i="12"/>
  <c r="G59" i="12" s="1"/>
  <c r="B59" i="12"/>
  <c r="D58" i="12"/>
  <c r="H58" i="12" s="1"/>
  <c r="B58" i="12"/>
  <c r="D57" i="12"/>
  <c r="B57" i="12"/>
  <c r="D56" i="12"/>
  <c r="H56" i="12" s="1"/>
  <c r="B56" i="12"/>
  <c r="D55" i="12"/>
  <c r="H55" i="12" s="1"/>
  <c r="B55" i="12"/>
  <c r="D54" i="12"/>
  <c r="G54" i="12" s="1"/>
  <c r="B54" i="12"/>
  <c r="D53" i="12"/>
  <c r="F53" i="12" s="1"/>
  <c r="B53" i="12"/>
  <c r="D52" i="12"/>
  <c r="G52" i="12" s="1"/>
  <c r="B52" i="12"/>
  <c r="D51" i="12"/>
  <c r="G51" i="12" s="1"/>
  <c r="B51" i="12"/>
  <c r="D50" i="12"/>
  <c r="H50" i="12" s="1"/>
  <c r="B50" i="12"/>
  <c r="D49" i="12"/>
  <c r="G49" i="12" s="1"/>
  <c r="B49" i="12"/>
  <c r="D48" i="12"/>
  <c r="G48" i="12" s="1"/>
  <c r="B48" i="12"/>
  <c r="D47" i="12"/>
  <c r="B47" i="12"/>
  <c r="D46" i="12"/>
  <c r="H46" i="12" s="1"/>
  <c r="B46" i="12"/>
  <c r="D45" i="12"/>
  <c r="B45" i="12"/>
  <c r="D44" i="12"/>
  <c r="F44" i="12" s="1"/>
  <c r="B44" i="12"/>
  <c r="D43" i="12"/>
  <c r="H43" i="12" s="1"/>
  <c r="B43" i="12"/>
  <c r="D42" i="12"/>
  <c r="G42" i="12" s="1"/>
  <c r="B42" i="12"/>
  <c r="D41" i="12"/>
  <c r="F41" i="12" s="1"/>
  <c r="B41" i="12"/>
  <c r="D40" i="12"/>
  <c r="G40" i="12" s="1"/>
  <c r="B40" i="12"/>
  <c r="D39" i="12"/>
  <c r="G39" i="12" s="1"/>
  <c r="B39" i="12"/>
  <c r="D38" i="12"/>
  <c r="H38" i="12" s="1"/>
  <c r="B38" i="12"/>
  <c r="D37" i="12"/>
  <c r="H37" i="12" s="1"/>
  <c r="B37" i="12"/>
  <c r="D36" i="12"/>
  <c r="G36" i="12" s="1"/>
  <c r="B36" i="12"/>
  <c r="D35" i="12"/>
  <c r="B35" i="12"/>
  <c r="D34" i="12"/>
  <c r="G34" i="12" s="1"/>
  <c r="B34" i="12"/>
  <c r="D33" i="12"/>
  <c r="B33" i="12"/>
  <c r="D32" i="12"/>
  <c r="H32" i="12" s="1"/>
  <c r="B32" i="12"/>
  <c r="D31" i="12"/>
  <c r="H31" i="12" s="1"/>
  <c r="B31" i="12"/>
  <c r="D30" i="12"/>
  <c r="G30" i="12" s="1"/>
  <c r="B30" i="12"/>
  <c r="D29" i="12"/>
  <c r="F29" i="12" s="1"/>
  <c r="B29" i="12"/>
  <c r="D28" i="12"/>
  <c r="G28" i="12" s="1"/>
  <c r="B28" i="12"/>
  <c r="D27" i="12"/>
  <c r="G27" i="12" s="1"/>
  <c r="B27" i="12"/>
  <c r="D26" i="12"/>
  <c r="H26" i="12" s="1"/>
  <c r="B26" i="12"/>
  <c r="D25" i="12"/>
  <c r="H25" i="12" s="1"/>
  <c r="B25" i="12"/>
  <c r="D24" i="12"/>
  <c r="G24" i="12" s="1"/>
  <c r="B24" i="12"/>
  <c r="D23" i="12"/>
  <c r="G23" i="12" s="1"/>
  <c r="B23" i="12"/>
  <c r="D22" i="12"/>
  <c r="G22" i="12" s="1"/>
  <c r="B22" i="12"/>
  <c r="D21" i="12"/>
  <c r="B21" i="12"/>
  <c r="D20" i="12"/>
  <c r="H20" i="12" s="1"/>
  <c r="B20" i="12"/>
  <c r="D19" i="12"/>
  <c r="H19" i="12" s="1"/>
  <c r="B19" i="12"/>
  <c r="D18" i="12"/>
  <c r="G18" i="12" s="1"/>
  <c r="B18" i="12"/>
  <c r="D17" i="12"/>
  <c r="F17" i="12" s="1"/>
  <c r="B17" i="12"/>
  <c r="D16" i="12"/>
  <c r="G16" i="12" s="1"/>
  <c r="B16" i="12"/>
  <c r="D15" i="12"/>
  <c r="G15" i="12" s="1"/>
  <c r="B15" i="12"/>
  <c r="D14" i="12"/>
  <c r="H14" i="12" s="1"/>
  <c r="B14" i="12"/>
  <c r="D13" i="12"/>
  <c r="F13" i="12" s="1"/>
  <c r="B13" i="12"/>
  <c r="D12" i="12"/>
  <c r="G12" i="12" s="1"/>
  <c r="B12" i="12"/>
  <c r="D11" i="12"/>
  <c r="G11" i="12" s="1"/>
  <c r="B11" i="12"/>
  <c r="D10" i="12"/>
  <c r="G10" i="12" s="1"/>
  <c r="B10" i="12"/>
  <c r="D9" i="12"/>
  <c r="B9" i="12"/>
  <c r="D8" i="12"/>
  <c r="H8" i="12" s="1"/>
  <c r="B8" i="12"/>
  <c r="D7" i="12"/>
  <c r="H7" i="12" s="1"/>
  <c r="B7" i="12"/>
  <c r="D6" i="12"/>
  <c r="G6" i="12" s="1"/>
  <c r="B6" i="12"/>
  <c r="D5" i="12"/>
  <c r="F5" i="12" s="1"/>
  <c r="B5" i="12"/>
  <c r="G3" i="12"/>
  <c r="F3" i="12"/>
  <c r="N58" i="1"/>
  <c r="N57" i="1"/>
  <c r="N53" i="1"/>
  <c r="N52" i="1"/>
  <c r="N48" i="1"/>
  <c r="N47" i="1"/>
  <c r="G40" i="1"/>
  <c r="F40" i="1"/>
  <c r="E40" i="1"/>
  <c r="M28" i="1"/>
  <c r="M29" i="1" s="1"/>
  <c r="L28" i="1"/>
  <c r="L29" i="1" s="1"/>
  <c r="K28" i="1"/>
  <c r="G26" i="1"/>
  <c r="F26" i="1"/>
  <c r="E26" i="1"/>
  <c r="I24" i="1"/>
  <c r="I23" i="1"/>
  <c r="I22" i="1"/>
  <c r="I19" i="1"/>
  <c r="Q16" i="1"/>
  <c r="M15" i="1"/>
  <c r="L15" i="1"/>
  <c r="K15" i="1"/>
  <c r="M13" i="1"/>
  <c r="L13" i="1"/>
  <c r="K13" i="1"/>
  <c r="M7" i="1"/>
  <c r="L7" i="1"/>
  <c r="K7" i="1"/>
  <c r="N165" i="12"/>
  <c r="M51" i="12"/>
  <c r="M171" i="12"/>
  <c r="M30" i="12"/>
  <c r="L44" i="12"/>
  <c r="M78" i="12"/>
  <c r="N186" i="12"/>
  <c r="M22" i="12"/>
  <c r="M112" i="12"/>
  <c r="M36" i="12"/>
  <c r="M68" i="12"/>
  <c r="L102" i="12"/>
  <c r="N118" i="12"/>
  <c r="N25" i="12"/>
  <c r="M159" i="12"/>
  <c r="M10" i="12"/>
  <c r="M60" i="12"/>
  <c r="L109" i="12"/>
  <c r="M49" i="12"/>
  <c r="M100" i="12"/>
  <c r="M34" i="12"/>
  <c r="L87" i="12"/>
  <c r="N177" i="12"/>
  <c r="M39" i="12"/>
  <c r="L85" i="12"/>
  <c r="N91" i="12"/>
  <c r="N26" i="12"/>
  <c r="N74" i="12"/>
  <c r="N76" i="12"/>
  <c r="L162" i="12"/>
  <c r="L77" i="12"/>
  <c r="M28" i="12"/>
  <c r="L127" i="12"/>
  <c r="N181" i="12"/>
  <c r="N58" i="12"/>
  <c r="M11" i="12"/>
  <c r="N141" i="12"/>
  <c r="L151" i="12"/>
  <c r="M147" i="12"/>
  <c r="M72" i="12"/>
  <c r="M64" i="12"/>
  <c r="N154" i="12"/>
  <c r="N133" i="12"/>
  <c r="N136" i="12"/>
  <c r="L126" i="12"/>
  <c r="L115" i="12"/>
  <c r="N19" i="12"/>
  <c r="L108" i="12"/>
  <c r="M63" i="12"/>
  <c r="N144" i="12"/>
  <c r="L174" i="12"/>
  <c r="M135" i="12"/>
  <c r="M166" i="12"/>
  <c r="L65" i="12"/>
  <c r="M15" i="12"/>
  <c r="L175" i="12"/>
  <c r="M23" i="12"/>
  <c r="N32" i="12"/>
  <c r="N31" i="12"/>
  <c r="L5" i="12"/>
  <c r="L17" i="12"/>
  <c r="L73" i="12"/>
  <c r="L184" i="12"/>
  <c r="N37" i="12"/>
  <c r="N129" i="12"/>
  <c r="L53" i="12"/>
  <c r="M48" i="12"/>
  <c r="M59" i="12"/>
  <c r="M6" i="12"/>
  <c r="M16" i="12"/>
  <c r="M120" i="12"/>
  <c r="L93" i="12"/>
  <c r="M66" i="12"/>
  <c r="L105" i="12"/>
  <c r="N50" i="12"/>
  <c r="M84" i="12"/>
  <c r="M83" i="12"/>
  <c r="N160" i="12"/>
  <c r="N20" i="12"/>
  <c r="M124" i="12"/>
  <c r="L139" i="12"/>
  <c r="N55" i="12"/>
  <c r="L163" i="12"/>
  <c r="N8" i="12"/>
  <c r="N62" i="12"/>
  <c r="N70" i="12"/>
  <c r="N82" i="12"/>
  <c r="L80" i="12"/>
  <c r="N61" i="12"/>
  <c r="N153" i="12"/>
  <c r="L94" i="12"/>
  <c r="L111" i="12"/>
  <c r="L99" i="12"/>
  <c r="N169" i="12"/>
  <c r="L178" i="12"/>
  <c r="M148" i="12"/>
  <c r="N97" i="12"/>
  <c r="N14" i="12"/>
  <c r="N180" i="12"/>
  <c r="L90" i="12"/>
  <c r="N106" i="12"/>
  <c r="M75" i="12"/>
  <c r="M18" i="12"/>
  <c r="M52" i="12"/>
  <c r="L150" i="12"/>
  <c r="M88" i="12"/>
  <c r="N132" i="12"/>
  <c r="N130" i="12"/>
  <c r="L13" i="12"/>
  <c r="N123" i="12"/>
  <c r="N79" i="12"/>
  <c r="M142" i="12"/>
  <c r="N168" i="12"/>
  <c r="M42" i="12"/>
  <c r="L138" i="12"/>
  <c r="L96" i="12"/>
  <c r="N56" i="12"/>
  <c r="N145" i="12"/>
  <c r="L183" i="12"/>
  <c r="N117" i="12"/>
  <c r="L41" i="12"/>
  <c r="L29" i="12"/>
  <c r="N38" i="12"/>
  <c r="N7" i="12"/>
  <c r="N156" i="12"/>
  <c r="M12" i="12"/>
  <c r="L114" i="12"/>
  <c r="N172" i="12"/>
  <c r="N121" i="12"/>
  <c r="N103" i="12"/>
  <c r="N46" i="12"/>
  <c r="N157" i="12"/>
  <c r="M24" i="12"/>
  <c r="M40" i="12"/>
  <c r="G151" i="12" l="1"/>
  <c r="H49" i="12"/>
  <c r="K49" i="12" s="1"/>
  <c r="H166" i="12"/>
  <c r="K166" i="12" s="1"/>
  <c r="G109" i="12"/>
  <c r="H68" i="12"/>
  <c r="K68" i="12" s="1"/>
  <c r="F68" i="12"/>
  <c r="I68" i="12" s="1"/>
  <c r="G61" i="12"/>
  <c r="J61" i="12" s="1"/>
  <c r="F16" i="12"/>
  <c r="I16" i="12" s="1"/>
  <c r="H12" i="12"/>
  <c r="K12" i="12" s="1"/>
  <c r="F34" i="12"/>
  <c r="I34" i="12" s="1"/>
  <c r="G77" i="12"/>
  <c r="J77" i="12" s="1"/>
  <c r="H109" i="12"/>
  <c r="K109" i="12" s="1"/>
  <c r="F30" i="12"/>
  <c r="I30" i="12" s="1"/>
  <c r="F160" i="12"/>
  <c r="H34" i="12"/>
  <c r="G73" i="12"/>
  <c r="G41" i="12"/>
  <c r="J41" i="12" s="1"/>
  <c r="F123" i="12"/>
  <c r="I123" i="12" s="1"/>
  <c r="G123" i="12"/>
  <c r="J123" i="12" s="1"/>
  <c r="G94" i="12"/>
  <c r="J94" i="12" s="1"/>
  <c r="F154" i="12"/>
  <c r="I154" i="12" s="1"/>
  <c r="G162" i="12"/>
  <c r="J162" i="12" s="1"/>
  <c r="F172" i="12"/>
  <c r="I172" i="12" s="1"/>
  <c r="G80" i="12"/>
  <c r="J80" i="12" s="1"/>
  <c r="G85" i="12"/>
  <c r="J85" i="12" s="1"/>
  <c r="H94" i="12"/>
  <c r="H115" i="12"/>
  <c r="F135" i="12"/>
  <c r="I135" i="12" s="1"/>
  <c r="G154" i="12"/>
  <c r="J154" i="12" s="1"/>
  <c r="H80" i="12"/>
  <c r="K80" i="12" s="1"/>
  <c r="H85" i="12"/>
  <c r="K85" i="12" s="1"/>
  <c r="H135" i="12"/>
  <c r="K135" i="12" s="1"/>
  <c r="G174" i="12"/>
  <c r="J174" i="12" s="1"/>
  <c r="F61" i="12"/>
  <c r="I61" i="12" s="1"/>
  <c r="F136" i="12"/>
  <c r="I136" i="12" s="1"/>
  <c r="H174" i="12"/>
  <c r="K174" i="12" s="1"/>
  <c r="G8" i="12"/>
  <c r="J8" i="12" s="1"/>
  <c r="F100" i="12"/>
  <c r="I100" i="12" s="1"/>
  <c r="H114" i="12"/>
  <c r="H139" i="12"/>
  <c r="H159" i="12"/>
  <c r="G178" i="12"/>
  <c r="J178" i="12" s="1"/>
  <c r="F46" i="12"/>
  <c r="H100" i="12"/>
  <c r="K100" i="12" s="1"/>
  <c r="G127" i="12"/>
  <c r="J127" i="12" s="1"/>
  <c r="F147" i="12"/>
  <c r="I147" i="12" s="1"/>
  <c r="F166" i="12"/>
  <c r="I166" i="12" s="1"/>
  <c r="H178" i="12"/>
  <c r="K178" i="12" s="1"/>
  <c r="G13" i="12"/>
  <c r="J13" i="12" s="1"/>
  <c r="H72" i="12"/>
  <c r="K72" i="12" s="1"/>
  <c r="F76" i="12"/>
  <c r="I76" i="12" s="1"/>
  <c r="G115" i="12"/>
  <c r="J115" i="12" s="1"/>
  <c r="H127" i="12"/>
  <c r="K127" i="12" s="1"/>
  <c r="H147" i="12"/>
  <c r="F8" i="12"/>
  <c r="I8" i="12" s="1"/>
  <c r="F28" i="12"/>
  <c r="G32" i="12"/>
  <c r="J32" i="12" s="1"/>
  <c r="F142" i="12"/>
  <c r="I142" i="12" s="1"/>
  <c r="H64" i="12"/>
  <c r="K64" i="12" s="1"/>
  <c r="H73" i="12"/>
  <c r="K73" i="12" s="1"/>
  <c r="F130" i="12"/>
  <c r="I130" i="12" s="1"/>
  <c r="H142" i="12"/>
  <c r="K142" i="12" s="1"/>
  <c r="G150" i="12"/>
  <c r="H162" i="12"/>
  <c r="K162" i="12" s="1"/>
  <c r="G168" i="12"/>
  <c r="G175" i="12"/>
  <c r="J175" i="12" s="1"/>
  <c r="H13" i="12"/>
  <c r="F38" i="12"/>
  <c r="I38" i="12" s="1"/>
  <c r="H88" i="12"/>
  <c r="K88" i="12" s="1"/>
  <c r="G105" i="12"/>
  <c r="J105" i="12" s="1"/>
  <c r="G111" i="12"/>
  <c r="J111" i="12" s="1"/>
  <c r="F118" i="12"/>
  <c r="I118" i="12" s="1"/>
  <c r="F124" i="12"/>
  <c r="I124" i="12" s="1"/>
  <c r="G130" i="12"/>
  <c r="H150" i="12"/>
  <c r="G156" i="12"/>
  <c r="H175" i="12"/>
  <c r="G118" i="12"/>
  <c r="J118" i="12" s="1"/>
  <c r="G138" i="12"/>
  <c r="J138" i="12" s="1"/>
  <c r="G163" i="12"/>
  <c r="J163" i="12" s="1"/>
  <c r="G184" i="12"/>
  <c r="J184" i="12" s="1"/>
  <c r="F106" i="12"/>
  <c r="I106" i="12" s="1"/>
  <c r="H138" i="12"/>
  <c r="K138" i="12" s="1"/>
  <c r="G144" i="12"/>
  <c r="J144" i="12" s="1"/>
  <c r="H163" i="12"/>
  <c r="K163" i="12" s="1"/>
  <c r="H184" i="12"/>
  <c r="G99" i="12"/>
  <c r="G106" i="12"/>
  <c r="G126" i="12"/>
  <c r="H151" i="12"/>
  <c r="K151" i="12" s="1"/>
  <c r="H171" i="12"/>
  <c r="K171" i="12" s="1"/>
  <c r="H28" i="12"/>
  <c r="K28" i="12" s="1"/>
  <c r="H30" i="12"/>
  <c r="K30" i="12" s="1"/>
  <c r="H75" i="12"/>
  <c r="K75" i="12" s="1"/>
  <c r="H84" i="12"/>
  <c r="K84" i="12" s="1"/>
  <c r="G114" i="12"/>
  <c r="J114" i="12" s="1"/>
  <c r="H126" i="12"/>
  <c r="K126" i="12" s="1"/>
  <c r="G139" i="12"/>
  <c r="F159" i="12"/>
  <c r="I159" i="12" s="1"/>
  <c r="H187" i="12"/>
  <c r="F187" i="12"/>
  <c r="I187" i="12" s="1"/>
  <c r="G187" i="12"/>
  <c r="J187" i="12" s="1"/>
  <c r="F20" i="12"/>
  <c r="I20" i="12" s="1"/>
  <c r="H27" i="12"/>
  <c r="K27" i="12" s="1"/>
  <c r="G53" i="12"/>
  <c r="J53" i="12" s="1"/>
  <c r="G17" i="12"/>
  <c r="J17" i="12" s="1"/>
  <c r="G20" i="12"/>
  <c r="J20" i="12" s="1"/>
  <c r="F171" i="12"/>
  <c r="I171" i="12" s="1"/>
  <c r="F25" i="12"/>
  <c r="I25" i="12" s="1"/>
  <c r="H16" i="12"/>
  <c r="K16" i="12" s="1"/>
  <c r="H24" i="12"/>
  <c r="F50" i="12"/>
  <c r="I50" i="12" s="1"/>
  <c r="F58" i="12"/>
  <c r="I58" i="12" s="1"/>
  <c r="G65" i="12"/>
  <c r="J65" i="12" s="1"/>
  <c r="G90" i="12"/>
  <c r="J90" i="12" s="1"/>
  <c r="F91" i="12"/>
  <c r="I91" i="12" s="1"/>
  <c r="G96" i="12"/>
  <c r="J96" i="12" s="1"/>
  <c r="F120" i="12"/>
  <c r="I120" i="12" s="1"/>
  <c r="F132" i="12"/>
  <c r="I132" i="12" s="1"/>
  <c r="F144" i="12"/>
  <c r="I144" i="12" s="1"/>
  <c r="F156" i="12"/>
  <c r="I156" i="12" s="1"/>
  <c r="F168" i="12"/>
  <c r="I168" i="12" s="1"/>
  <c r="F180" i="12"/>
  <c r="F10" i="12"/>
  <c r="I10" i="12" s="1"/>
  <c r="F112" i="12"/>
  <c r="I112" i="12" s="1"/>
  <c r="G132" i="12"/>
  <c r="J132" i="12" s="1"/>
  <c r="F148" i="12"/>
  <c r="I148" i="12" s="1"/>
  <c r="G180" i="12"/>
  <c r="J180" i="12" s="1"/>
  <c r="F32" i="12"/>
  <c r="I32" i="12" s="1"/>
  <c r="G160" i="12"/>
  <c r="J160" i="12" s="1"/>
  <c r="G172" i="12"/>
  <c r="J172" i="12" s="1"/>
  <c r="F62" i="12"/>
  <c r="I62" i="12" s="1"/>
  <c r="H36" i="12"/>
  <c r="K36" i="12" s="1"/>
  <c r="H48" i="12"/>
  <c r="K48" i="12" s="1"/>
  <c r="G102" i="12"/>
  <c r="H120" i="12"/>
  <c r="G136" i="12"/>
  <c r="J136" i="12" s="1"/>
  <c r="F14" i="12"/>
  <c r="I14" i="12" s="1"/>
  <c r="F22" i="12"/>
  <c r="I22" i="12" s="1"/>
  <c r="G29" i="12"/>
  <c r="J29" i="12" s="1"/>
  <c r="F40" i="12"/>
  <c r="I40" i="12" s="1"/>
  <c r="G44" i="12"/>
  <c r="J44" i="12" s="1"/>
  <c r="F56" i="12"/>
  <c r="I56" i="12" s="1"/>
  <c r="H63" i="12"/>
  <c r="K63" i="12" s="1"/>
  <c r="F74" i="12"/>
  <c r="I74" i="12" s="1"/>
  <c r="G87" i="12"/>
  <c r="G97" i="12"/>
  <c r="H112" i="12"/>
  <c r="F117" i="12"/>
  <c r="I117" i="12" s="1"/>
  <c r="H124" i="12"/>
  <c r="K124" i="12" s="1"/>
  <c r="F129" i="12"/>
  <c r="I129" i="12" s="1"/>
  <c r="F141" i="12"/>
  <c r="I141" i="12" s="1"/>
  <c r="H148" i="12"/>
  <c r="K148" i="12" s="1"/>
  <c r="F153" i="12"/>
  <c r="I153" i="12" s="1"/>
  <c r="F165" i="12"/>
  <c r="I165" i="12" s="1"/>
  <c r="F177" i="12"/>
  <c r="I177" i="12" s="1"/>
  <c r="H39" i="12"/>
  <c r="K39" i="12" s="1"/>
  <c r="F66" i="12"/>
  <c r="G91" i="12"/>
  <c r="J91" i="12" s="1"/>
  <c r="G25" i="12"/>
  <c r="F97" i="12"/>
  <c r="I97" i="12" s="1"/>
  <c r="H22" i="12"/>
  <c r="K22" i="12" s="1"/>
  <c r="F37" i="12"/>
  <c r="I37" i="12" s="1"/>
  <c r="H40" i="12"/>
  <c r="K40" i="12" s="1"/>
  <c r="H44" i="12"/>
  <c r="K44" i="12" s="1"/>
  <c r="F52" i="12"/>
  <c r="I52" i="12" s="1"/>
  <c r="G56" i="12"/>
  <c r="J56" i="12" s="1"/>
  <c r="H60" i="12"/>
  <c r="K60" i="12" s="1"/>
  <c r="F103" i="12"/>
  <c r="I103" i="12" s="1"/>
  <c r="G108" i="12"/>
  <c r="G117" i="12"/>
  <c r="J117" i="12" s="1"/>
  <c r="F121" i="12"/>
  <c r="G129" i="12"/>
  <c r="F133" i="12"/>
  <c r="I133" i="12" s="1"/>
  <c r="G141" i="12"/>
  <c r="J141" i="12" s="1"/>
  <c r="F145" i="12"/>
  <c r="I145" i="12" s="1"/>
  <c r="G153" i="12"/>
  <c r="J153" i="12" s="1"/>
  <c r="F157" i="12"/>
  <c r="I157" i="12" s="1"/>
  <c r="G165" i="12"/>
  <c r="J165" i="12" s="1"/>
  <c r="F169" i="12"/>
  <c r="I169" i="12" s="1"/>
  <c r="G177" i="12"/>
  <c r="J177" i="12" s="1"/>
  <c r="F181" i="12"/>
  <c r="H51" i="12"/>
  <c r="K51" i="12" s="1"/>
  <c r="F82" i="12"/>
  <c r="I82" i="12" s="1"/>
  <c r="H66" i="12"/>
  <c r="F26" i="12"/>
  <c r="I26" i="12" s="1"/>
  <c r="G37" i="12"/>
  <c r="J37" i="12" s="1"/>
  <c r="F49" i="12"/>
  <c r="I49" i="12" s="1"/>
  <c r="H52" i="12"/>
  <c r="K52" i="12" s="1"/>
  <c r="F88" i="12"/>
  <c r="I88" i="12" s="1"/>
  <c r="G93" i="12"/>
  <c r="J93" i="12" s="1"/>
  <c r="G103" i="12"/>
  <c r="J103" i="12" s="1"/>
  <c r="G121" i="12"/>
  <c r="J121" i="12" s="1"/>
  <c r="G133" i="12"/>
  <c r="J133" i="12" s="1"/>
  <c r="G145" i="12"/>
  <c r="J145" i="12" s="1"/>
  <c r="G157" i="12"/>
  <c r="G169" i="12"/>
  <c r="G181" i="12"/>
  <c r="J181" i="12" s="1"/>
  <c r="H10" i="12"/>
  <c r="K10" i="12" s="1"/>
  <c r="F70" i="12"/>
  <c r="I70" i="12" s="1"/>
  <c r="H15" i="12"/>
  <c r="K15" i="12" s="1"/>
  <c r="F64" i="12"/>
  <c r="I64" i="12" s="1"/>
  <c r="F188" i="12"/>
  <c r="I188" i="12" s="1"/>
  <c r="G188" i="12"/>
  <c r="J188" i="12" s="1"/>
  <c r="H188" i="12"/>
  <c r="K188" i="12" s="1"/>
  <c r="H185" i="12"/>
  <c r="G185" i="12"/>
  <c r="F185" i="12"/>
  <c r="F186" i="12"/>
  <c r="G186" i="12"/>
  <c r="J186" i="12" s="1"/>
  <c r="H131" i="12"/>
  <c r="K131" i="12" s="1"/>
  <c r="G131" i="12"/>
  <c r="J131" i="12" s="1"/>
  <c r="F131" i="12"/>
  <c r="I131" i="12" s="1"/>
  <c r="F6" i="12"/>
  <c r="I6" i="12" s="1"/>
  <c r="H45" i="12"/>
  <c r="K45" i="12" s="1"/>
  <c r="G45" i="12"/>
  <c r="J45" i="12" s="1"/>
  <c r="F45" i="12"/>
  <c r="I45" i="12" s="1"/>
  <c r="H101" i="12"/>
  <c r="G101" i="12"/>
  <c r="F101" i="12"/>
  <c r="I101" i="12" s="1"/>
  <c r="H128" i="12"/>
  <c r="K128" i="12" s="1"/>
  <c r="G128" i="12"/>
  <c r="J128" i="12" s="1"/>
  <c r="F128" i="12"/>
  <c r="H140" i="12"/>
  <c r="K140" i="12" s="1"/>
  <c r="G140" i="12"/>
  <c r="J140" i="12" s="1"/>
  <c r="F140" i="12"/>
  <c r="I140" i="12" s="1"/>
  <c r="H152" i="12"/>
  <c r="K152" i="12" s="1"/>
  <c r="G152" i="12"/>
  <c r="J152" i="12" s="1"/>
  <c r="F152" i="12"/>
  <c r="I152" i="12" s="1"/>
  <c r="H164" i="12"/>
  <c r="G164" i="12"/>
  <c r="F164" i="12"/>
  <c r="I164" i="12" s="1"/>
  <c r="H33" i="12"/>
  <c r="K33" i="12" s="1"/>
  <c r="G33" i="12"/>
  <c r="J33" i="12" s="1"/>
  <c r="F33" i="12"/>
  <c r="I33" i="12" s="1"/>
  <c r="H54" i="12"/>
  <c r="K54" i="12" s="1"/>
  <c r="H104" i="12"/>
  <c r="K104" i="12" s="1"/>
  <c r="G104" i="12"/>
  <c r="J104" i="12" s="1"/>
  <c r="F104" i="12"/>
  <c r="I104" i="12" s="1"/>
  <c r="H122" i="12"/>
  <c r="G122" i="12"/>
  <c r="F122" i="12"/>
  <c r="H134" i="12"/>
  <c r="K134" i="12" s="1"/>
  <c r="G134" i="12"/>
  <c r="F134" i="12"/>
  <c r="H146" i="12"/>
  <c r="K146" i="12" s="1"/>
  <c r="G146" i="12"/>
  <c r="J146" i="12" s="1"/>
  <c r="F146" i="12"/>
  <c r="I146" i="12" s="1"/>
  <c r="H158" i="12"/>
  <c r="K158" i="12" s="1"/>
  <c r="G158" i="12"/>
  <c r="J158" i="12" s="1"/>
  <c r="F158" i="12"/>
  <c r="I158" i="12" s="1"/>
  <c r="H170" i="12"/>
  <c r="G170" i="12"/>
  <c r="J170" i="12" s="1"/>
  <c r="F170" i="12"/>
  <c r="H182" i="12"/>
  <c r="K182" i="12" s="1"/>
  <c r="G182" i="12"/>
  <c r="F182" i="12"/>
  <c r="H71" i="12"/>
  <c r="K71" i="12" s="1"/>
  <c r="F71" i="12"/>
  <c r="I71" i="12" s="1"/>
  <c r="F78" i="12"/>
  <c r="I78" i="12" s="1"/>
  <c r="H86" i="12"/>
  <c r="K86" i="12" s="1"/>
  <c r="G86" i="12"/>
  <c r="J86" i="12" s="1"/>
  <c r="F86" i="12"/>
  <c r="I86" i="12" s="1"/>
  <c r="H69" i="12"/>
  <c r="G69" i="12"/>
  <c r="J69" i="12" s="1"/>
  <c r="F69" i="12"/>
  <c r="H89" i="12"/>
  <c r="K89" i="12" s="1"/>
  <c r="G89" i="12"/>
  <c r="F89" i="12"/>
  <c r="H9" i="12"/>
  <c r="K9" i="12" s="1"/>
  <c r="G9" i="12"/>
  <c r="J9" i="12" s="1"/>
  <c r="F9" i="12"/>
  <c r="I9" i="12" s="1"/>
  <c r="H143" i="12"/>
  <c r="K143" i="12" s="1"/>
  <c r="G143" i="12"/>
  <c r="J143" i="12" s="1"/>
  <c r="F143" i="12"/>
  <c r="I143" i="12" s="1"/>
  <c r="H155" i="12"/>
  <c r="K155" i="12" s="1"/>
  <c r="G155" i="12"/>
  <c r="J155" i="12" s="1"/>
  <c r="F155" i="12"/>
  <c r="H167" i="12"/>
  <c r="K167" i="12" s="1"/>
  <c r="G167" i="12"/>
  <c r="F167" i="12"/>
  <c r="H179" i="12"/>
  <c r="K179" i="12" s="1"/>
  <c r="G179" i="12"/>
  <c r="J179" i="12" s="1"/>
  <c r="F179" i="12"/>
  <c r="I179" i="12" s="1"/>
  <c r="H35" i="12"/>
  <c r="K35" i="12" s="1"/>
  <c r="F35" i="12"/>
  <c r="I35" i="12" s="1"/>
  <c r="H176" i="12"/>
  <c r="K176" i="12" s="1"/>
  <c r="G176" i="12"/>
  <c r="J176" i="12" s="1"/>
  <c r="F176" i="12"/>
  <c r="I176" i="12" s="1"/>
  <c r="H23" i="12"/>
  <c r="F23" i="12"/>
  <c r="I23" i="12" s="1"/>
  <c r="H59" i="12"/>
  <c r="F59" i="12"/>
  <c r="H110" i="12"/>
  <c r="K110" i="12" s="1"/>
  <c r="G110" i="12"/>
  <c r="J110" i="12" s="1"/>
  <c r="F110" i="12"/>
  <c r="I110" i="12" s="1"/>
  <c r="H119" i="12"/>
  <c r="K119" i="12" s="1"/>
  <c r="G119" i="12"/>
  <c r="J119" i="12" s="1"/>
  <c r="F119" i="12"/>
  <c r="I119" i="12" s="1"/>
  <c r="G35" i="12"/>
  <c r="J35" i="12" s="1"/>
  <c r="F42" i="12"/>
  <c r="G71" i="12"/>
  <c r="J71" i="12" s="1"/>
  <c r="H78" i="12"/>
  <c r="H107" i="12"/>
  <c r="G107" i="12"/>
  <c r="F107" i="12"/>
  <c r="I107" i="12" s="1"/>
  <c r="H116" i="12"/>
  <c r="K116" i="12" s="1"/>
  <c r="G116" i="12"/>
  <c r="J116" i="12" s="1"/>
  <c r="F116" i="12"/>
  <c r="I116" i="12" s="1"/>
  <c r="H21" i="12"/>
  <c r="K21" i="12" s="1"/>
  <c r="G21" i="12"/>
  <c r="J21" i="12" s="1"/>
  <c r="F21" i="12"/>
  <c r="I21" i="12" s="1"/>
  <c r="H42" i="12"/>
  <c r="H83" i="12"/>
  <c r="K83" i="12" s="1"/>
  <c r="F83" i="12"/>
  <c r="H92" i="12"/>
  <c r="G92" i="12"/>
  <c r="F92" i="12"/>
  <c r="I92" i="12" s="1"/>
  <c r="H57" i="12"/>
  <c r="K57" i="12" s="1"/>
  <c r="G57" i="12"/>
  <c r="J57" i="12" s="1"/>
  <c r="F57" i="12"/>
  <c r="I57" i="12" s="1"/>
  <c r="H113" i="12"/>
  <c r="K113" i="12" s="1"/>
  <c r="G113" i="12"/>
  <c r="J113" i="12" s="1"/>
  <c r="F113" i="12"/>
  <c r="I113" i="12" s="1"/>
  <c r="H125" i="12"/>
  <c r="K125" i="12" s="1"/>
  <c r="G125" i="12"/>
  <c r="F125" i="12"/>
  <c r="H137" i="12"/>
  <c r="K137" i="12" s="1"/>
  <c r="G137" i="12"/>
  <c r="F137" i="12"/>
  <c r="I137" i="12" s="1"/>
  <c r="H149" i="12"/>
  <c r="K149" i="12" s="1"/>
  <c r="G149" i="12"/>
  <c r="J149" i="12" s="1"/>
  <c r="F149" i="12"/>
  <c r="I149" i="12" s="1"/>
  <c r="H161" i="12"/>
  <c r="K161" i="12" s="1"/>
  <c r="G161" i="12"/>
  <c r="J161" i="12" s="1"/>
  <c r="F161" i="12"/>
  <c r="I161" i="12" s="1"/>
  <c r="H173" i="12"/>
  <c r="K173" i="12" s="1"/>
  <c r="G173" i="12"/>
  <c r="J173" i="12" s="1"/>
  <c r="F173" i="12"/>
  <c r="H6" i="12"/>
  <c r="K6" i="12" s="1"/>
  <c r="F18" i="12"/>
  <c r="I18" i="12" s="1"/>
  <c r="H47" i="12"/>
  <c r="K47" i="12" s="1"/>
  <c r="F47" i="12"/>
  <c r="I47" i="12" s="1"/>
  <c r="H98" i="12"/>
  <c r="K98" i="12" s="1"/>
  <c r="G98" i="12"/>
  <c r="J98" i="12" s="1"/>
  <c r="F98" i="12"/>
  <c r="I98" i="12" s="1"/>
  <c r="H81" i="12"/>
  <c r="K81" i="12" s="1"/>
  <c r="G81" i="12"/>
  <c r="J81" i="12" s="1"/>
  <c r="F81" i="12"/>
  <c r="I81" i="12" s="1"/>
  <c r="H95" i="12"/>
  <c r="K95" i="12" s="1"/>
  <c r="G95" i="12"/>
  <c r="F95" i="12"/>
  <c r="I95" i="12" s="1"/>
  <c r="H11" i="12"/>
  <c r="K11" i="12" s="1"/>
  <c r="F11" i="12"/>
  <c r="I11" i="12" s="1"/>
  <c r="H18" i="12"/>
  <c r="K18" i="12" s="1"/>
  <c r="G47" i="12"/>
  <c r="J47" i="12" s="1"/>
  <c r="F54" i="12"/>
  <c r="I54" i="12" s="1"/>
  <c r="G5" i="12"/>
  <c r="J5" i="12" s="1"/>
  <c r="G183" i="12"/>
  <c r="J183" i="12" s="1"/>
  <c r="H5" i="12"/>
  <c r="K5" i="12" s="1"/>
  <c r="F15" i="12"/>
  <c r="I15" i="12" s="1"/>
  <c r="H17" i="12"/>
  <c r="F27" i="12"/>
  <c r="H29" i="12"/>
  <c r="K29" i="12" s="1"/>
  <c r="F39" i="12"/>
  <c r="I39" i="12" s="1"/>
  <c r="H41" i="12"/>
  <c r="K41" i="12" s="1"/>
  <c r="G46" i="12"/>
  <c r="J46" i="12" s="1"/>
  <c r="F51" i="12"/>
  <c r="I51" i="12" s="1"/>
  <c r="H53" i="12"/>
  <c r="K53" i="12" s="1"/>
  <c r="G58" i="12"/>
  <c r="J58" i="12" s="1"/>
  <c r="F63" i="12"/>
  <c r="I63" i="12" s="1"/>
  <c r="H65" i="12"/>
  <c r="G70" i="12"/>
  <c r="F75" i="12"/>
  <c r="H77" i="12"/>
  <c r="G82" i="12"/>
  <c r="J82" i="12" s="1"/>
  <c r="H87" i="12"/>
  <c r="H90" i="12"/>
  <c r="K90" i="12" s="1"/>
  <c r="H93" i="12"/>
  <c r="K93" i="12" s="1"/>
  <c r="H96" i="12"/>
  <c r="K96" i="12" s="1"/>
  <c r="H99" i="12"/>
  <c r="K99" i="12" s="1"/>
  <c r="H102" i="12"/>
  <c r="K102" i="12" s="1"/>
  <c r="H105" i="12"/>
  <c r="K105" i="12" s="1"/>
  <c r="H108" i="12"/>
  <c r="K108" i="12" s="1"/>
  <c r="H111" i="12"/>
  <c r="K111" i="12" s="1"/>
  <c r="H183" i="12"/>
  <c r="G76" i="12"/>
  <c r="J76" i="12" s="1"/>
  <c r="F7" i="12"/>
  <c r="I7" i="12" s="1"/>
  <c r="G14" i="12"/>
  <c r="J14" i="12" s="1"/>
  <c r="F19" i="12"/>
  <c r="I19" i="12" s="1"/>
  <c r="G26" i="12"/>
  <c r="J26" i="12" s="1"/>
  <c r="F31" i="12"/>
  <c r="I31" i="12" s="1"/>
  <c r="G38" i="12"/>
  <c r="J38" i="12" s="1"/>
  <c r="F43" i="12"/>
  <c r="I43" i="12" s="1"/>
  <c r="G50" i="12"/>
  <c r="J50" i="12" s="1"/>
  <c r="F55" i="12"/>
  <c r="I55" i="12" s="1"/>
  <c r="G62" i="12"/>
  <c r="J62" i="12" s="1"/>
  <c r="F67" i="12"/>
  <c r="G74" i="12"/>
  <c r="J74" i="12" s="1"/>
  <c r="F79" i="12"/>
  <c r="G7" i="12"/>
  <c r="F12" i="12"/>
  <c r="I12" i="12" s="1"/>
  <c r="G19" i="12"/>
  <c r="J19" i="12" s="1"/>
  <c r="F24" i="12"/>
  <c r="I24" i="12" s="1"/>
  <c r="G31" i="12"/>
  <c r="J31" i="12" s="1"/>
  <c r="F36" i="12"/>
  <c r="I36" i="12" s="1"/>
  <c r="G43" i="12"/>
  <c r="J43" i="12" s="1"/>
  <c r="F48" i="12"/>
  <c r="G55" i="12"/>
  <c r="F60" i="12"/>
  <c r="G67" i="12"/>
  <c r="F72" i="12"/>
  <c r="G79" i="12"/>
  <c r="F84" i="12"/>
  <c r="I84" i="12" s="1"/>
  <c r="J66" i="12"/>
  <c r="L32" i="1"/>
  <c r="F25" i="1" s="1"/>
  <c r="K25" i="12"/>
  <c r="K37" i="12"/>
  <c r="J120" i="12"/>
  <c r="J11" i="12"/>
  <c r="J23" i="12"/>
  <c r="J52" i="12"/>
  <c r="J27" i="12"/>
  <c r="K46" i="12"/>
  <c r="J142" i="12"/>
  <c r="K7" i="12"/>
  <c r="K19" i="12"/>
  <c r="K31" i="12"/>
  <c r="J60" i="12"/>
  <c r="I111" i="12"/>
  <c r="I162" i="12"/>
  <c r="J18" i="12"/>
  <c r="J24" i="12"/>
  <c r="K136" i="12"/>
  <c r="K160" i="12"/>
  <c r="J34" i="12"/>
  <c r="J63" i="12"/>
  <c r="K172" i="12"/>
  <c r="J36" i="12"/>
  <c r="J68" i="12"/>
  <c r="J6" i="12"/>
  <c r="J48" i="12"/>
  <c r="K106" i="12"/>
  <c r="K118" i="12"/>
  <c r="K132" i="12"/>
  <c r="J12" i="12"/>
  <c r="J30" i="12"/>
  <c r="J15" i="12"/>
  <c r="K154" i="12"/>
  <c r="K56" i="12"/>
  <c r="M30" i="1"/>
  <c r="G16" i="1" s="1"/>
  <c r="M14" i="1" s="1"/>
  <c r="M16" i="1" s="1"/>
  <c r="J10" i="12"/>
  <c r="J54" i="12"/>
  <c r="K157" i="12"/>
  <c r="K74" i="12"/>
  <c r="K180" i="12"/>
  <c r="J16" i="12"/>
  <c r="J22" i="12"/>
  <c r="J28" i="12"/>
  <c r="J42" i="12"/>
  <c r="I114" i="12"/>
  <c r="I44" i="12"/>
  <c r="I29" i="12"/>
  <c r="K67" i="12"/>
  <c r="I53" i="12"/>
  <c r="I73" i="12"/>
  <c r="K29" i="1"/>
  <c r="I13" i="12"/>
  <c r="I178" i="12"/>
  <c r="I184" i="12"/>
  <c r="I108" i="12"/>
  <c r="I96" i="12"/>
  <c r="I175" i="12"/>
  <c r="I163" i="12"/>
  <c r="I151" i="12"/>
  <c r="I139" i="12"/>
  <c r="I127" i="12"/>
  <c r="I115" i="12"/>
  <c r="I80" i="12"/>
  <c r="I138" i="12"/>
  <c r="I90" i="12"/>
  <c r="I17" i="12"/>
  <c r="I5" i="12"/>
  <c r="I99" i="12"/>
  <c r="I174" i="12"/>
  <c r="I126" i="12"/>
  <c r="I183" i="12"/>
  <c r="I87" i="12"/>
  <c r="I65" i="12"/>
  <c r="I41" i="12"/>
  <c r="I150" i="12"/>
  <c r="I102" i="12"/>
  <c r="M32" i="1"/>
  <c r="M31" i="1"/>
  <c r="L31" i="1"/>
  <c r="L30" i="1"/>
  <c r="F16" i="1" s="1"/>
  <c r="L14" i="1" s="1"/>
  <c r="K43" i="12"/>
  <c r="J40" i="12"/>
  <c r="K55" i="12"/>
  <c r="K62" i="12"/>
  <c r="K70" i="12"/>
  <c r="J59" i="12"/>
  <c r="K123" i="12"/>
  <c r="J39" i="12"/>
  <c r="K50" i="12"/>
  <c r="K58" i="12"/>
  <c r="K79" i="12"/>
  <c r="I94" i="12"/>
  <c r="K121" i="12"/>
  <c r="K144" i="12"/>
  <c r="K169" i="12"/>
  <c r="K8" i="12"/>
  <c r="K14" i="12"/>
  <c r="K20" i="12"/>
  <c r="K26" i="12"/>
  <c r="K32" i="12"/>
  <c r="K38" i="12"/>
  <c r="K61" i="12"/>
  <c r="J64" i="12"/>
  <c r="J75" i="12"/>
  <c r="K76" i="12"/>
  <c r="K133" i="12"/>
  <c r="K156" i="12"/>
  <c r="K181" i="12"/>
  <c r="J49" i="12"/>
  <c r="J78" i="12"/>
  <c r="J147" i="12"/>
  <c r="J148" i="12"/>
  <c r="J112" i="12"/>
  <c r="J100" i="12"/>
  <c r="J88" i="12"/>
  <c r="J171" i="12"/>
  <c r="J159" i="12"/>
  <c r="J135" i="12"/>
  <c r="J151" i="12"/>
  <c r="K97" i="12"/>
  <c r="K145" i="12"/>
  <c r="K168" i="12"/>
  <c r="K130" i="12"/>
  <c r="J51" i="12"/>
  <c r="J72" i="12"/>
  <c r="K82" i="12"/>
  <c r="J84" i="12"/>
  <c r="J166" i="12"/>
  <c r="K186" i="12"/>
  <c r="I77" i="12"/>
  <c r="I93" i="12"/>
  <c r="I105" i="12"/>
  <c r="J83" i="12"/>
  <c r="K91" i="12"/>
  <c r="K103" i="12"/>
  <c r="I85" i="12"/>
  <c r="I109" i="12"/>
  <c r="K117" i="12"/>
  <c r="K129" i="12"/>
  <c r="K141" i="12"/>
  <c r="K153" i="12"/>
  <c r="K165" i="12"/>
  <c r="K177" i="12"/>
  <c r="J109" i="12"/>
  <c r="J124" i="12"/>
  <c r="M133" i="12"/>
  <c r="N166" i="12"/>
  <c r="M70" i="12"/>
  <c r="L69" i="12"/>
  <c r="L121" i="12"/>
  <c r="N67" i="12"/>
  <c r="N65" i="12"/>
  <c r="N183" i="12"/>
  <c r="M157" i="12"/>
  <c r="M109" i="12"/>
  <c r="L186" i="12"/>
  <c r="N23" i="12"/>
  <c r="M67" i="12"/>
  <c r="N107" i="12"/>
  <c r="M87" i="12"/>
  <c r="L18" i="12"/>
  <c r="N13" i="12"/>
  <c r="N115" i="12"/>
  <c r="N43" i="12"/>
  <c r="N139" i="12"/>
  <c r="M27" i="12"/>
  <c r="L48" i="12"/>
  <c r="M73" i="12"/>
  <c r="M187" i="12"/>
  <c r="N69" i="12"/>
  <c r="L50" i="12"/>
  <c r="L128" i="12"/>
  <c r="N170" i="12"/>
  <c r="M125" i="12"/>
  <c r="L42" i="12"/>
  <c r="N147" i="12"/>
  <c r="L185" i="12"/>
  <c r="L60" i="12"/>
  <c r="L135" i="12"/>
  <c r="L28" i="12"/>
  <c r="L59" i="12"/>
  <c r="N49" i="12"/>
  <c r="N92" i="12"/>
  <c r="M54" i="12"/>
  <c r="N164" i="12"/>
  <c r="M71" i="12"/>
  <c r="L10" i="12"/>
  <c r="N127" i="12"/>
  <c r="M126" i="12"/>
  <c r="M55" i="12"/>
  <c r="L76" i="12"/>
  <c r="M122" i="12"/>
  <c r="N87" i="12"/>
  <c r="L46" i="12"/>
  <c r="M89" i="12"/>
  <c r="M151" i="12"/>
  <c r="L58" i="12"/>
  <c r="N122" i="12"/>
  <c r="L66" i="12"/>
  <c r="N42" i="12"/>
  <c r="L36" i="1" l="1"/>
  <c r="S74" i="12" s="1"/>
  <c r="I128" i="12"/>
  <c r="I48" i="12"/>
  <c r="J79" i="12"/>
  <c r="J7" i="12"/>
  <c r="J92" i="12"/>
  <c r="J107" i="12"/>
  <c r="I167" i="12"/>
  <c r="I182" i="12"/>
  <c r="I134" i="12"/>
  <c r="K66" i="12"/>
  <c r="K175" i="12"/>
  <c r="J168" i="12"/>
  <c r="I79" i="12"/>
  <c r="J134" i="12"/>
  <c r="K120" i="12"/>
  <c r="J156" i="12"/>
  <c r="I27" i="12"/>
  <c r="I173" i="12"/>
  <c r="I83" i="12"/>
  <c r="J101" i="12"/>
  <c r="J185" i="12"/>
  <c r="J97" i="12"/>
  <c r="I67" i="12"/>
  <c r="I170" i="12"/>
  <c r="I122" i="12"/>
  <c r="K101" i="12"/>
  <c r="K185" i="12"/>
  <c r="I181" i="12"/>
  <c r="K184" i="12"/>
  <c r="I160" i="12"/>
  <c r="K92" i="12"/>
  <c r="J137" i="12"/>
  <c r="I89" i="12"/>
  <c r="J169" i="12"/>
  <c r="J129" i="12"/>
  <c r="I72" i="12"/>
  <c r="K59" i="12"/>
  <c r="J167" i="12"/>
  <c r="J182" i="12"/>
  <c r="J25" i="12"/>
  <c r="K112" i="12"/>
  <c r="K187" i="12"/>
  <c r="J106" i="12"/>
  <c r="K77" i="12"/>
  <c r="J95" i="12"/>
  <c r="I125" i="12"/>
  <c r="K78" i="12"/>
  <c r="J164" i="12"/>
  <c r="J102" i="12"/>
  <c r="I180" i="12"/>
  <c r="K24" i="12"/>
  <c r="J99" i="12"/>
  <c r="K150" i="12"/>
  <c r="J150" i="12"/>
  <c r="K34" i="12"/>
  <c r="K139" i="12"/>
  <c r="J89" i="12"/>
  <c r="J126" i="12"/>
  <c r="I75" i="12"/>
  <c r="K17" i="12"/>
  <c r="I155" i="12"/>
  <c r="J108" i="12"/>
  <c r="J139" i="12"/>
  <c r="J130" i="12"/>
  <c r="K94" i="12"/>
  <c r="I59" i="12"/>
  <c r="J125" i="12"/>
  <c r="K159" i="12"/>
  <c r="K114" i="12"/>
  <c r="K107" i="12"/>
  <c r="J157" i="12"/>
  <c r="I121" i="12"/>
  <c r="J73" i="12"/>
  <c r="K115" i="12"/>
  <c r="K13" i="12"/>
  <c r="K147" i="12"/>
  <c r="I46" i="12"/>
  <c r="I28" i="12"/>
  <c r="J87" i="12"/>
  <c r="I66" i="12"/>
  <c r="I185" i="12"/>
  <c r="I186" i="12"/>
  <c r="K122" i="12"/>
  <c r="K69" i="12"/>
  <c r="K87" i="12"/>
  <c r="J70" i="12"/>
  <c r="K183" i="12"/>
  <c r="I42" i="12"/>
  <c r="I60" i="12"/>
  <c r="K65" i="12"/>
  <c r="J67" i="12"/>
  <c r="I69" i="12"/>
  <c r="K42" i="12"/>
  <c r="J55" i="12"/>
  <c r="K23" i="12"/>
  <c r="J122" i="12"/>
  <c r="K170" i="12"/>
  <c r="K164" i="12"/>
  <c r="S162" i="12"/>
  <c r="L33" i="1"/>
  <c r="S106" i="12"/>
  <c r="S20" i="12"/>
  <c r="S64" i="12"/>
  <c r="S66" i="12"/>
  <c r="S187" i="12"/>
  <c r="S21" i="12"/>
  <c r="S56" i="12"/>
  <c r="S31" i="12"/>
  <c r="S95" i="12"/>
  <c r="S109" i="12"/>
  <c r="S143" i="12"/>
  <c r="S80" i="12"/>
  <c r="S123" i="12"/>
  <c r="S135" i="12"/>
  <c r="S85" i="12"/>
  <c r="S147" i="12"/>
  <c r="S78" i="12"/>
  <c r="S130" i="12"/>
  <c r="S33" i="12"/>
  <c r="S42" i="12"/>
  <c r="S178" i="12"/>
  <c r="S27" i="12"/>
  <c r="S102" i="12"/>
  <c r="S75" i="12"/>
  <c r="S70" i="12"/>
  <c r="S114" i="12"/>
  <c r="S51" i="12"/>
  <c r="S116" i="12"/>
  <c r="S185" i="12"/>
  <c r="S155" i="12"/>
  <c r="S140" i="12"/>
  <c r="S88" i="12"/>
  <c r="S103" i="12"/>
  <c r="S45" i="12"/>
  <c r="S19" i="12"/>
  <c r="S96" i="12"/>
  <c r="S167" i="12"/>
  <c r="S112" i="12"/>
  <c r="S115" i="12"/>
  <c r="S39" i="12"/>
  <c r="S13" i="12"/>
  <c r="S108" i="12"/>
  <c r="S49" i="12"/>
  <c r="S127" i="12"/>
  <c r="S181" i="12"/>
  <c r="S157" i="12"/>
  <c r="S24" i="12"/>
  <c r="S79" i="12"/>
  <c r="S62" i="12"/>
  <c r="S34" i="12"/>
  <c r="S120" i="12"/>
  <c r="S61" i="12"/>
  <c r="S172" i="12"/>
  <c r="S175" i="12"/>
  <c r="S186" i="12"/>
  <c r="S160" i="12"/>
  <c r="S38" i="12"/>
  <c r="S7" i="12"/>
  <c r="S28" i="12"/>
  <c r="S168" i="12"/>
  <c r="S98" i="12"/>
  <c r="S184" i="12"/>
  <c r="S83" i="12"/>
  <c r="S25" i="12"/>
  <c r="S169" i="12"/>
  <c r="S47" i="12"/>
  <c r="S110" i="12"/>
  <c r="S113" i="12"/>
  <c r="S129" i="12"/>
  <c r="S14" i="12"/>
  <c r="S71" i="12"/>
  <c r="S122" i="12"/>
  <c r="S137" i="12"/>
  <c r="S141" i="12"/>
  <c r="S40" i="12"/>
  <c r="S36" i="12"/>
  <c r="S170" i="12"/>
  <c r="S90" i="12"/>
  <c r="S153" i="12"/>
  <c r="K30" i="1"/>
  <c r="E16" i="1" s="1"/>
  <c r="K14" i="1" s="1"/>
  <c r="K3" i="1" s="1"/>
  <c r="K6" i="1" s="1"/>
  <c r="F4" i="1" s="1"/>
  <c r="S133" i="12"/>
  <c r="S18" i="12"/>
  <c r="S46" i="12"/>
  <c r="S152" i="12"/>
  <c r="S53" i="12"/>
  <c r="S107" i="12"/>
  <c r="S67" i="12"/>
  <c r="S87" i="12"/>
  <c r="S124" i="12"/>
  <c r="S149" i="12"/>
  <c r="S76" i="12"/>
  <c r="S93" i="12"/>
  <c r="S142" i="12"/>
  <c r="S29" i="12"/>
  <c r="S188" i="12"/>
  <c r="S12" i="12"/>
  <c r="S52" i="12"/>
  <c r="S164" i="12"/>
  <c r="S59" i="12"/>
  <c r="S119" i="12"/>
  <c r="S73" i="12"/>
  <c r="S99" i="12"/>
  <c r="S136" i="12"/>
  <c r="S161" i="12"/>
  <c r="S82" i="12"/>
  <c r="S105" i="12"/>
  <c r="S154" i="12"/>
  <c r="S6" i="12"/>
  <c r="S58" i="12"/>
  <c r="S176" i="12"/>
  <c r="S65" i="12"/>
  <c r="S131" i="12"/>
  <c r="S86" i="12"/>
  <c r="S111" i="12"/>
  <c r="S148" i="12"/>
  <c r="S173" i="12"/>
  <c r="S91" i="12"/>
  <c r="S117" i="12"/>
  <c r="S166" i="12"/>
  <c r="S41" i="12"/>
  <c r="S22" i="12"/>
  <c r="S84" i="12"/>
  <c r="S132" i="12"/>
  <c r="S48" i="12"/>
  <c r="S179" i="12"/>
  <c r="S134" i="12"/>
  <c r="S159" i="12"/>
  <c r="S81" i="12"/>
  <c r="S126" i="12"/>
  <c r="S139" i="12"/>
  <c r="S165" i="12"/>
  <c r="S15" i="12"/>
  <c r="S17" i="12"/>
  <c r="S23" i="12"/>
  <c r="S16" i="12"/>
  <c r="S92" i="12"/>
  <c r="S144" i="12"/>
  <c r="S54" i="12"/>
  <c r="S37" i="12"/>
  <c r="S146" i="12"/>
  <c r="S171" i="12"/>
  <c r="S89" i="12"/>
  <c r="S138" i="12"/>
  <c r="S151" i="12"/>
  <c r="S177" i="12"/>
  <c r="S63" i="12"/>
  <c r="S9" i="12"/>
  <c r="S50" i="12"/>
  <c r="S26" i="12"/>
  <c r="S69" i="12"/>
  <c r="S10" i="12"/>
  <c r="S104" i="12"/>
  <c r="S156" i="12"/>
  <c r="S60" i="12"/>
  <c r="S43" i="12"/>
  <c r="S158" i="12"/>
  <c r="S183" i="12"/>
  <c r="S101" i="12"/>
  <c r="S150" i="12"/>
  <c r="S163" i="12"/>
  <c r="S94" i="12"/>
  <c r="S44" i="12"/>
  <c r="S35" i="12"/>
  <c r="S68" i="12"/>
  <c r="S30" i="12"/>
  <c r="S121" i="12"/>
  <c r="S128" i="12"/>
  <c r="S180" i="12"/>
  <c r="S72" i="12"/>
  <c r="S55" i="12"/>
  <c r="S182" i="12"/>
  <c r="S100" i="12"/>
  <c r="S125" i="12"/>
  <c r="S174" i="12"/>
  <c r="S77" i="12"/>
  <c r="S118" i="12"/>
  <c r="S145" i="12"/>
  <c r="S97" i="12"/>
  <c r="S11" i="12"/>
  <c r="S57" i="12"/>
  <c r="S8" i="12"/>
  <c r="S32" i="12"/>
  <c r="S5" i="12"/>
  <c r="M33" i="1"/>
  <c r="G25" i="1"/>
  <c r="M36" i="1" s="1"/>
  <c r="L16" i="1"/>
  <c r="K31" i="1"/>
  <c r="K32" i="1"/>
  <c r="L161" i="12"/>
  <c r="M69" i="12"/>
  <c r="M150" i="12"/>
  <c r="N159" i="12"/>
  <c r="L154" i="12"/>
  <c r="L180" i="12"/>
  <c r="L125" i="12"/>
  <c r="N27" i="12"/>
  <c r="L153" i="12"/>
  <c r="M9" i="12"/>
  <c r="N75" i="12"/>
  <c r="L7" i="12"/>
  <c r="M35" i="12"/>
  <c r="M164" i="12"/>
  <c r="L106" i="12"/>
  <c r="M91" i="12"/>
  <c r="M58" i="12"/>
  <c r="L21" i="12"/>
  <c r="N138" i="12"/>
  <c r="L173" i="12"/>
  <c r="N77" i="12"/>
  <c r="M92" i="12"/>
  <c r="N64" i="12"/>
  <c r="M105" i="12"/>
  <c r="L79" i="12"/>
  <c r="L100" i="12"/>
  <c r="M160" i="12"/>
  <c r="N66" i="12"/>
  <c r="L49" i="12"/>
  <c r="M172" i="12"/>
  <c r="N33" i="12"/>
  <c r="M101" i="12"/>
  <c r="M184" i="12"/>
  <c r="N126" i="12"/>
  <c r="L74" i="12"/>
  <c r="M180" i="12"/>
  <c r="L122" i="12"/>
  <c r="N30" i="12"/>
  <c r="L107" i="12"/>
  <c r="M144" i="12"/>
  <c r="M103" i="12"/>
  <c r="M117" i="12"/>
  <c r="M181" i="12"/>
  <c r="L95" i="12"/>
  <c r="N112" i="12"/>
  <c r="M163" i="12"/>
  <c r="L81" i="12"/>
  <c r="M121" i="12"/>
  <c r="N162" i="12"/>
  <c r="M29" i="12"/>
  <c r="L146" i="12"/>
  <c r="L38" i="12"/>
  <c r="L149" i="12"/>
  <c r="M77" i="12"/>
  <c r="M31" i="12"/>
  <c r="M188" i="12"/>
  <c r="N119" i="12"/>
  <c r="M104" i="12"/>
  <c r="N60" i="12"/>
  <c r="N59" i="12"/>
  <c r="M61" i="12"/>
  <c r="L62" i="12"/>
  <c r="L92" i="12"/>
  <c r="N10" i="12"/>
  <c r="L167" i="12"/>
  <c r="N125" i="12"/>
  <c r="N148" i="12"/>
  <c r="N95" i="12"/>
  <c r="L156" i="12"/>
  <c r="M116" i="12"/>
  <c r="M138" i="12"/>
  <c r="N63" i="12"/>
  <c r="N21" i="12"/>
  <c r="L30" i="12"/>
  <c r="M97" i="12"/>
  <c r="M44" i="12"/>
  <c r="L64" i="12"/>
  <c r="N116" i="12"/>
  <c r="N113" i="12"/>
  <c r="L26" i="12"/>
  <c r="L91" i="12"/>
  <c r="L97" i="12"/>
  <c r="M183" i="12"/>
  <c r="L15" i="12"/>
  <c r="L12" i="12"/>
  <c r="L164" i="12"/>
  <c r="L89" i="12"/>
  <c r="M19" i="12"/>
  <c r="L112" i="12"/>
  <c r="M141" i="12"/>
  <c r="N34" i="12"/>
  <c r="N81" i="12"/>
  <c r="L9" i="12"/>
  <c r="L55" i="12"/>
  <c r="M170" i="12"/>
  <c r="M118" i="12"/>
  <c r="M43" i="12"/>
  <c r="M90" i="12"/>
  <c r="N142" i="12"/>
  <c r="M13" i="12"/>
  <c r="M5" i="12"/>
  <c r="M74" i="12"/>
  <c r="L118" i="12"/>
  <c r="N72" i="12"/>
  <c r="L57" i="12"/>
  <c r="L110" i="12"/>
  <c r="L104" i="12"/>
  <c r="L160" i="12"/>
  <c r="M8" i="12"/>
  <c r="L148" i="12"/>
  <c r="M132" i="12"/>
  <c r="L165" i="12"/>
  <c r="L72" i="12"/>
  <c r="N5" i="12"/>
  <c r="M95" i="12"/>
  <c r="L179" i="12"/>
  <c r="L169" i="12"/>
  <c r="L32" i="12"/>
  <c r="N57" i="12"/>
  <c r="L33" i="12"/>
  <c r="N134" i="12"/>
  <c r="M14" i="12"/>
  <c r="M41" i="12"/>
  <c r="L54" i="12"/>
  <c r="M108" i="12"/>
  <c r="L14" i="12"/>
  <c r="L168" i="12"/>
  <c r="L75" i="12"/>
  <c r="M17" i="12"/>
  <c r="L182" i="12"/>
  <c r="N6" i="12"/>
  <c r="N16" i="12"/>
  <c r="L152" i="12"/>
  <c r="M79" i="12"/>
  <c r="N68" i="12"/>
  <c r="L144" i="12"/>
  <c r="N171" i="12"/>
  <c r="N48" i="12"/>
  <c r="M82" i="12"/>
  <c r="N18" i="12"/>
  <c r="L6" i="12"/>
  <c r="N24" i="12"/>
  <c r="M153" i="12"/>
  <c r="M146" i="12"/>
  <c r="N12" i="12"/>
  <c r="N36" i="12"/>
  <c r="M76" i="12"/>
  <c r="M185" i="12"/>
  <c r="N108" i="12"/>
  <c r="M129" i="12"/>
  <c r="M161" i="12"/>
  <c r="L98" i="12"/>
  <c r="M20" i="12"/>
  <c r="L103" i="12"/>
  <c r="N17" i="12"/>
  <c r="N187" i="12"/>
  <c r="N29" i="12"/>
  <c r="M65" i="12"/>
  <c r="M134" i="12"/>
  <c r="L113" i="12"/>
  <c r="L157" i="12"/>
  <c r="M114" i="12"/>
  <c r="N53" i="12"/>
  <c r="N151" i="12"/>
  <c r="M155" i="12"/>
  <c r="M85" i="12"/>
  <c r="N143" i="12"/>
  <c r="L170" i="12"/>
  <c r="M130" i="12"/>
  <c r="M86" i="12"/>
  <c r="L136" i="12"/>
  <c r="N84" i="12"/>
  <c r="M56" i="12"/>
  <c r="L141" i="12"/>
  <c r="L131" i="12"/>
  <c r="M111" i="12"/>
  <c r="M169" i="12"/>
  <c r="N146" i="12"/>
  <c r="N149" i="12"/>
  <c r="N52" i="12"/>
  <c r="M167" i="12"/>
  <c r="M102" i="12"/>
  <c r="L171" i="12"/>
  <c r="N35" i="12"/>
  <c r="L70" i="12"/>
  <c r="N100" i="12"/>
  <c r="N9" i="12"/>
  <c r="M21" i="12"/>
  <c r="L117" i="12"/>
  <c r="L16" i="12"/>
  <c r="M38" i="12"/>
  <c r="L123" i="12"/>
  <c r="M156" i="12"/>
  <c r="M174" i="12"/>
  <c r="N105" i="12"/>
  <c r="M98" i="12"/>
  <c r="L20" i="12"/>
  <c r="N40" i="12"/>
  <c r="M80" i="12"/>
  <c r="M175" i="12"/>
  <c r="M158" i="12"/>
  <c r="N90" i="12"/>
  <c r="N140" i="12"/>
  <c r="N150" i="12"/>
  <c r="N109" i="12"/>
  <c r="L37" i="12"/>
  <c r="N104" i="12"/>
  <c r="L22" i="12"/>
  <c r="L159" i="12"/>
  <c r="N93" i="12"/>
  <c r="N158" i="12"/>
  <c r="L147" i="12"/>
  <c r="L133" i="12"/>
  <c r="L130" i="12"/>
  <c r="M123" i="12"/>
  <c r="N114" i="12"/>
  <c r="M186" i="12"/>
  <c r="N102" i="12"/>
  <c r="N28" i="12"/>
  <c r="N45" i="12"/>
  <c r="N22" i="12"/>
  <c r="M26" i="12"/>
  <c r="M145" i="12"/>
  <c r="L40" i="12"/>
  <c r="L23" i="12"/>
  <c r="N179" i="12"/>
  <c r="M131" i="12"/>
  <c r="N167" i="12"/>
  <c r="L35" i="12"/>
  <c r="L140" i="12"/>
  <c r="N178" i="12"/>
  <c r="N163" i="12"/>
  <c r="N99" i="12"/>
  <c r="M119" i="12"/>
  <c r="L71" i="12"/>
  <c r="L134" i="12"/>
  <c r="N80" i="12"/>
  <c r="L39" i="12"/>
  <c r="L51" i="12"/>
  <c r="M173" i="12"/>
  <c r="M143" i="12"/>
  <c r="M57" i="12"/>
  <c r="N78" i="12"/>
  <c r="L143" i="12"/>
  <c r="L101" i="12"/>
  <c r="L145" i="12"/>
  <c r="M162" i="12"/>
  <c r="N174" i="12"/>
  <c r="M50" i="12"/>
  <c r="M81" i="12"/>
  <c r="M137" i="12"/>
  <c r="L27" i="12"/>
  <c r="L120" i="12"/>
  <c r="N128" i="12"/>
  <c r="N161" i="12"/>
  <c r="L78" i="12"/>
  <c r="L86" i="12"/>
  <c r="N111" i="12"/>
  <c r="N175" i="12"/>
  <c r="M152" i="12"/>
  <c r="M99" i="12"/>
  <c r="N44" i="12"/>
  <c r="M37" i="12"/>
  <c r="M179" i="12"/>
  <c r="L25" i="12"/>
  <c r="M149" i="12"/>
  <c r="L177" i="12"/>
  <c r="M128" i="12"/>
  <c r="L132" i="12"/>
  <c r="N94" i="12"/>
  <c r="N11" i="12"/>
  <c r="N152" i="12"/>
  <c r="L158" i="12"/>
  <c r="L116" i="12"/>
  <c r="N41" i="12"/>
  <c r="N96" i="12"/>
  <c r="M62" i="12"/>
  <c r="N188" i="12"/>
  <c r="M107" i="12"/>
  <c r="L11" i="12"/>
  <c r="M178" i="12"/>
  <c r="N85" i="12"/>
  <c r="M182" i="12"/>
  <c r="L188" i="12"/>
  <c r="N131" i="12"/>
  <c r="L47" i="12"/>
  <c r="L176" i="12"/>
  <c r="L155" i="12"/>
  <c r="N182" i="12"/>
  <c r="N39" i="12"/>
  <c r="M106" i="12"/>
  <c r="M140" i="12"/>
  <c r="N15" i="12"/>
  <c r="L61" i="12"/>
  <c r="L119" i="12"/>
  <c r="L56" i="12"/>
  <c r="M53" i="12"/>
  <c r="M168" i="12"/>
  <c r="L137" i="12"/>
  <c r="L45" i="12"/>
  <c r="L34" i="12"/>
  <c r="L142" i="12"/>
  <c r="L172" i="12"/>
  <c r="N185" i="12"/>
  <c r="N101" i="12"/>
  <c r="L181" i="12"/>
  <c r="N176" i="12"/>
  <c r="N71" i="12"/>
  <c r="N184" i="12"/>
  <c r="N124" i="12"/>
  <c r="M154" i="12"/>
  <c r="M33" i="12"/>
  <c r="M32" i="12"/>
  <c r="M46" i="12"/>
  <c r="M176" i="12"/>
  <c r="M139" i="12"/>
  <c r="N51" i="12"/>
  <c r="L31" i="12"/>
  <c r="M113" i="12"/>
  <c r="L24" i="12"/>
  <c r="M47" i="12"/>
  <c r="L19" i="12"/>
  <c r="M96" i="12"/>
  <c r="L83" i="12"/>
  <c r="L124" i="12"/>
  <c r="N98" i="12"/>
  <c r="L166" i="12"/>
  <c r="M94" i="12"/>
  <c r="M93" i="12"/>
  <c r="M45" i="12"/>
  <c r="M110" i="12"/>
  <c r="N120" i="12"/>
  <c r="M127" i="12"/>
  <c r="N135" i="12"/>
  <c r="L187" i="12"/>
  <c r="M25" i="12"/>
  <c r="N155" i="12"/>
  <c r="L68" i="12"/>
  <c r="N54" i="12"/>
  <c r="M136" i="12"/>
  <c r="L67" i="12"/>
  <c r="N137" i="12"/>
  <c r="L43" i="12"/>
  <c r="N83" i="12"/>
  <c r="L36" i="12"/>
  <c r="M115" i="12"/>
  <c r="M165" i="12"/>
  <c r="N110" i="12"/>
  <c r="L52" i="12"/>
  <c r="M7" i="12"/>
  <c r="L129" i="12"/>
  <c r="N86" i="12"/>
  <c r="L8" i="12"/>
  <c r="M177" i="12"/>
  <c r="L84" i="12"/>
  <c r="L82" i="12"/>
  <c r="N88" i="12"/>
  <c r="N89" i="12"/>
  <c r="L88" i="12"/>
  <c r="N47" i="12"/>
  <c r="N173" i="12"/>
  <c r="L63" i="12"/>
  <c r="N73" i="12"/>
  <c r="T74" i="12" l="1"/>
  <c r="T25" i="12"/>
  <c r="T130" i="12"/>
  <c r="T27" i="12"/>
  <c r="T187" i="12"/>
  <c r="T176" i="12"/>
  <c r="T138" i="12"/>
  <c r="T89" i="12"/>
  <c r="T171" i="12"/>
  <c r="T146" i="12"/>
  <c r="T109" i="12"/>
  <c r="T131" i="12"/>
  <c r="T48" i="12"/>
  <c r="T144" i="12"/>
  <c r="T31" i="12"/>
  <c r="T30" i="12"/>
  <c r="T61" i="12"/>
  <c r="T177" i="12"/>
  <c r="T164" i="12"/>
  <c r="T126" i="12"/>
  <c r="T81" i="12"/>
  <c r="T159" i="12"/>
  <c r="T134" i="12"/>
  <c r="T97" i="12"/>
  <c r="T42" i="12"/>
  <c r="T132" i="12"/>
  <c r="T43" i="12"/>
  <c r="T94" i="12"/>
  <c r="T39" i="12"/>
  <c r="T53" i="12"/>
  <c r="T158" i="12"/>
  <c r="T156" i="12"/>
  <c r="T24" i="12"/>
  <c r="T6" i="12"/>
  <c r="T127" i="12"/>
  <c r="T136" i="12"/>
  <c r="T47" i="12"/>
  <c r="T46" i="12"/>
  <c r="T12" i="12"/>
  <c r="T62" i="12"/>
  <c r="T37" i="12"/>
  <c r="T33" i="12"/>
  <c r="T165" i="12"/>
  <c r="T152" i="12"/>
  <c r="T114" i="12"/>
  <c r="T184" i="12"/>
  <c r="T147" i="12"/>
  <c r="T122" i="12"/>
  <c r="T85" i="12"/>
  <c r="T119" i="12"/>
  <c r="T36" i="12"/>
  <c r="T120" i="12"/>
  <c r="T29" i="12"/>
  <c r="T142" i="12"/>
  <c r="T49" i="12"/>
  <c r="T86" i="12"/>
  <c r="T84" i="12"/>
  <c r="T78" i="12"/>
  <c r="T20" i="12"/>
  <c r="T186" i="12"/>
  <c r="T32" i="12"/>
  <c r="T38" i="12"/>
  <c r="T7" i="12"/>
  <c r="T188" i="12"/>
  <c r="T153" i="12"/>
  <c r="T140" i="12"/>
  <c r="T102" i="12"/>
  <c r="T172" i="12"/>
  <c r="T135" i="12"/>
  <c r="T110" i="12"/>
  <c r="T79" i="12"/>
  <c r="T115" i="12"/>
  <c r="T71" i="12"/>
  <c r="T108" i="12"/>
  <c r="T55" i="12"/>
  <c r="T129" i="12"/>
  <c r="T111" i="12"/>
  <c r="T59" i="12"/>
  <c r="T35" i="12"/>
  <c r="T57" i="12"/>
  <c r="T99" i="12"/>
  <c r="T76" i="12"/>
  <c r="T70" i="12"/>
  <c r="T54" i="12"/>
  <c r="T5" i="12"/>
  <c r="T40" i="12"/>
  <c r="T10" i="12"/>
  <c r="T75" i="12"/>
  <c r="T8" i="12"/>
  <c r="T14" i="12"/>
  <c r="T44" i="12"/>
  <c r="T141" i="12"/>
  <c r="T128" i="12"/>
  <c r="T90" i="12"/>
  <c r="T160" i="12"/>
  <c r="T123" i="12"/>
  <c r="T98" i="12"/>
  <c r="T179" i="12"/>
  <c r="T107" i="12"/>
  <c r="T65" i="12"/>
  <c r="T96" i="12"/>
  <c r="T116" i="12"/>
  <c r="T173" i="12"/>
  <c r="T148" i="12"/>
  <c r="T103" i="12"/>
  <c r="T181" i="12"/>
  <c r="T50" i="12"/>
  <c r="T9" i="12"/>
  <c r="T150" i="12"/>
  <c r="T34" i="12"/>
  <c r="T175" i="12"/>
  <c r="T104" i="12"/>
  <c r="T95" i="12"/>
  <c r="T15" i="12"/>
  <c r="T18" i="12"/>
  <c r="T178" i="12"/>
  <c r="T11" i="12"/>
  <c r="T117" i="12"/>
  <c r="T161" i="12"/>
  <c r="T167" i="12"/>
  <c r="T68" i="12"/>
  <c r="T51" i="12"/>
  <c r="T21" i="12"/>
  <c r="T23" i="12"/>
  <c r="T13" i="12"/>
  <c r="T19" i="12"/>
  <c r="T67" i="12"/>
  <c r="T105" i="12"/>
  <c r="T92" i="12"/>
  <c r="T149" i="12"/>
  <c r="T124" i="12"/>
  <c r="T87" i="12"/>
  <c r="T169" i="12"/>
  <c r="T163" i="12"/>
  <c r="T91" i="12"/>
  <c r="T101" i="12"/>
  <c r="T45" i="12"/>
  <c r="T26" i="12"/>
  <c r="T16" i="12"/>
  <c r="T22" i="12"/>
  <c r="T63" i="12"/>
  <c r="T93" i="12"/>
  <c r="T185" i="12"/>
  <c r="T137" i="12"/>
  <c r="T112" i="12"/>
  <c r="T80" i="12"/>
  <c r="T157" i="12"/>
  <c r="T155" i="12"/>
  <c r="T72" i="12"/>
  <c r="T41" i="12"/>
  <c r="T64" i="12"/>
  <c r="T166" i="12"/>
  <c r="T183" i="12"/>
  <c r="T139" i="12"/>
  <c r="T69" i="12"/>
  <c r="T28" i="12"/>
  <c r="T82" i="12"/>
  <c r="T83" i="12"/>
  <c r="T174" i="12"/>
  <c r="T125" i="12"/>
  <c r="T100" i="12"/>
  <c r="T182" i="12"/>
  <c r="T145" i="12"/>
  <c r="T151" i="12"/>
  <c r="T66" i="12"/>
  <c r="T180" i="12"/>
  <c r="T58" i="12"/>
  <c r="T106" i="12"/>
  <c r="T121" i="12"/>
  <c r="T17" i="12"/>
  <c r="T56" i="12"/>
  <c r="T118" i="12"/>
  <c r="T77" i="12"/>
  <c r="T162" i="12"/>
  <c r="T113" i="12"/>
  <c r="T88" i="12"/>
  <c r="T170" i="12"/>
  <c r="T133" i="12"/>
  <c r="T143" i="12"/>
  <c r="T60" i="12"/>
  <c r="T168" i="12"/>
  <c r="T52" i="12"/>
  <c r="T73" i="12"/>
  <c r="T154" i="12"/>
  <c r="L35" i="1"/>
  <c r="K16" i="1"/>
  <c r="L6" i="1"/>
  <c r="G4" i="1" s="1"/>
  <c r="K4" i="1"/>
  <c r="K10" i="1"/>
  <c r="M21" i="1"/>
  <c r="M35" i="1"/>
  <c r="E25" i="1"/>
  <c r="K36" i="1" s="1"/>
  <c r="K33" i="1"/>
  <c r="R25" i="12" l="1"/>
  <c r="R85" i="12"/>
  <c r="R24" i="12"/>
  <c r="R50" i="12"/>
  <c r="R33" i="12"/>
  <c r="R188" i="12"/>
  <c r="R178" i="12"/>
  <c r="R140" i="12"/>
  <c r="R91" i="12"/>
  <c r="R173" i="12"/>
  <c r="R148" i="12"/>
  <c r="R111" i="12"/>
  <c r="R86" i="12"/>
  <c r="R67" i="12"/>
  <c r="R36" i="12"/>
  <c r="R108" i="12"/>
  <c r="R38" i="12"/>
  <c r="R128" i="12"/>
  <c r="R161" i="12"/>
  <c r="R136" i="12"/>
  <c r="R177" i="12"/>
  <c r="R61" i="12"/>
  <c r="R71" i="12"/>
  <c r="R96" i="12"/>
  <c r="R32" i="12"/>
  <c r="R187" i="12"/>
  <c r="R160" i="12"/>
  <c r="R120" i="12"/>
  <c r="R35" i="12"/>
  <c r="R97" i="12"/>
  <c r="R169" i="12"/>
  <c r="R179" i="12"/>
  <c r="R166" i="12"/>
  <c r="R82" i="12"/>
  <c r="R99" i="12"/>
  <c r="R28" i="12"/>
  <c r="R41" i="12"/>
  <c r="R79" i="12"/>
  <c r="R121" i="12"/>
  <c r="R181" i="12"/>
  <c r="R63" i="12"/>
  <c r="R167" i="12"/>
  <c r="R154" i="12"/>
  <c r="R116" i="12"/>
  <c r="R76" i="12"/>
  <c r="R149" i="12"/>
  <c r="R124" i="12"/>
  <c r="R87" i="12"/>
  <c r="R165" i="12"/>
  <c r="R55" i="12"/>
  <c r="R65" i="12"/>
  <c r="R45" i="12"/>
  <c r="R131" i="12"/>
  <c r="R113" i="12"/>
  <c r="R27" i="12"/>
  <c r="R10" i="12"/>
  <c r="R69" i="12"/>
  <c r="R14" i="12"/>
  <c r="R29" i="12"/>
  <c r="R155" i="12"/>
  <c r="R142" i="12"/>
  <c r="R104" i="12"/>
  <c r="R185" i="12"/>
  <c r="R137" i="12"/>
  <c r="R112" i="12"/>
  <c r="R80" i="12"/>
  <c r="R153" i="12"/>
  <c r="R49" i="12"/>
  <c r="R59" i="12"/>
  <c r="R34" i="12"/>
  <c r="R30" i="12"/>
  <c r="R46" i="12"/>
  <c r="R175" i="12"/>
  <c r="R162" i="12"/>
  <c r="R170" i="12"/>
  <c r="R129" i="12"/>
  <c r="R8" i="12"/>
  <c r="R143" i="12"/>
  <c r="R130" i="12"/>
  <c r="R92" i="12"/>
  <c r="R174" i="12"/>
  <c r="R125" i="12"/>
  <c r="R100" i="12"/>
  <c r="R182" i="12"/>
  <c r="R141" i="12"/>
  <c r="R43" i="12"/>
  <c r="R53" i="12"/>
  <c r="R51" i="12"/>
  <c r="R39" i="12"/>
  <c r="R56" i="12"/>
  <c r="R145" i="12"/>
  <c r="R118" i="12"/>
  <c r="R88" i="12"/>
  <c r="R37" i="12"/>
  <c r="R52" i="12"/>
  <c r="R75" i="12"/>
  <c r="R180" i="12"/>
  <c r="R13" i="12"/>
  <c r="R47" i="12"/>
  <c r="R40" i="12"/>
  <c r="R42" i="12"/>
  <c r="R16" i="12"/>
  <c r="R119" i="12"/>
  <c r="R106" i="12"/>
  <c r="R163" i="12"/>
  <c r="R150" i="12"/>
  <c r="R101" i="12"/>
  <c r="R183" i="12"/>
  <c r="R158" i="12"/>
  <c r="R117" i="12"/>
  <c r="R72" i="12"/>
  <c r="R21" i="12"/>
  <c r="R157" i="12"/>
  <c r="R26" i="12"/>
  <c r="R70" i="12"/>
  <c r="R7" i="12"/>
  <c r="R17" i="12"/>
  <c r="R23" i="12"/>
  <c r="R107" i="12"/>
  <c r="R94" i="12"/>
  <c r="R151" i="12"/>
  <c r="R138" i="12"/>
  <c r="R89" i="12"/>
  <c r="R171" i="12"/>
  <c r="R146" i="12"/>
  <c r="R105" i="12"/>
  <c r="R66" i="12"/>
  <c r="R168" i="12"/>
  <c r="R62" i="12"/>
  <c r="R133" i="12"/>
  <c r="R12" i="12"/>
  <c r="R74" i="12"/>
  <c r="R6" i="12"/>
  <c r="R20" i="12"/>
  <c r="R95" i="12"/>
  <c r="R186" i="12"/>
  <c r="R139" i="12"/>
  <c r="R126" i="12"/>
  <c r="R81" i="12"/>
  <c r="R159" i="12"/>
  <c r="R134" i="12"/>
  <c r="R93" i="12"/>
  <c r="R60" i="12"/>
  <c r="R156" i="12"/>
  <c r="R57" i="12"/>
  <c r="R152" i="12"/>
  <c r="R90" i="12"/>
  <c r="R123" i="12"/>
  <c r="R11" i="12"/>
  <c r="R5" i="12"/>
  <c r="R15" i="12"/>
  <c r="R19" i="12"/>
  <c r="R31" i="12"/>
  <c r="R84" i="12"/>
  <c r="R176" i="12"/>
  <c r="R127" i="12"/>
  <c r="R114" i="12"/>
  <c r="R184" i="12"/>
  <c r="R147" i="12"/>
  <c r="R122" i="12"/>
  <c r="R83" i="12"/>
  <c r="R54" i="12"/>
  <c r="R144" i="12"/>
  <c r="R109" i="12"/>
  <c r="R58" i="12"/>
  <c r="R103" i="12"/>
  <c r="R73" i="12"/>
  <c r="R9" i="12"/>
  <c r="R18" i="12"/>
  <c r="R44" i="12"/>
  <c r="R22" i="12"/>
  <c r="R78" i="12"/>
  <c r="R164" i="12"/>
  <c r="R115" i="12"/>
  <c r="R102" i="12"/>
  <c r="R172" i="12"/>
  <c r="R135" i="12"/>
  <c r="R110" i="12"/>
  <c r="R77" i="12"/>
  <c r="R48" i="12"/>
  <c r="R132" i="12"/>
  <c r="R68" i="12"/>
  <c r="R64" i="12"/>
  <c r="R98" i="12"/>
  <c r="L21" i="1"/>
  <c r="L10" i="1"/>
  <c r="P128" i="12" s="1"/>
  <c r="M6" i="1"/>
  <c r="M10" i="1" s="1"/>
  <c r="M22" i="1" s="1"/>
  <c r="K21" i="1"/>
  <c r="K35" i="1"/>
  <c r="K11" i="1"/>
  <c r="K19" i="1"/>
  <c r="K24" i="1" s="1"/>
  <c r="K12" i="1"/>
  <c r="O157" i="12"/>
  <c r="O143" i="12"/>
  <c r="O130" i="12"/>
  <c r="O83" i="12"/>
  <c r="O163" i="12"/>
  <c r="O138" i="12"/>
  <c r="O80" i="12"/>
  <c r="O56" i="12"/>
  <c r="O159" i="12"/>
  <c r="O42" i="12"/>
  <c r="O9" i="12"/>
  <c r="O46" i="12"/>
  <c r="O132" i="12"/>
  <c r="O13" i="12"/>
  <c r="O10" i="12"/>
  <c r="O182" i="12"/>
  <c r="O145" i="12"/>
  <c r="O131" i="12"/>
  <c r="O118" i="12"/>
  <c r="O77" i="12"/>
  <c r="O151" i="12"/>
  <c r="O126" i="12"/>
  <c r="O173" i="12"/>
  <c r="O50" i="12"/>
  <c r="O147" i="12"/>
  <c r="O36" i="12"/>
  <c r="O156" i="12"/>
  <c r="O148" i="12"/>
  <c r="O35" i="12"/>
  <c r="O19" i="12"/>
  <c r="O58" i="12"/>
  <c r="O170" i="12"/>
  <c r="O133" i="12"/>
  <c r="O119" i="12"/>
  <c r="O106" i="12"/>
  <c r="O186" i="12"/>
  <c r="O139" i="12"/>
  <c r="O114" i="12"/>
  <c r="O161" i="12"/>
  <c r="O44" i="12"/>
  <c r="O135" i="12"/>
  <c r="O168" i="12"/>
  <c r="O108" i="12"/>
  <c r="O100" i="12"/>
  <c r="O29" i="12"/>
  <c r="O59" i="12"/>
  <c r="O144" i="12"/>
  <c r="O158" i="12"/>
  <c r="O121" i="12"/>
  <c r="O107" i="12"/>
  <c r="O94" i="12"/>
  <c r="O176" i="12"/>
  <c r="O127" i="12"/>
  <c r="O102" i="12"/>
  <c r="O149" i="12"/>
  <c r="O38" i="12"/>
  <c r="O123" i="12"/>
  <c r="O120" i="12"/>
  <c r="O76" i="12"/>
  <c r="O30" i="12"/>
  <c r="O23" i="12"/>
  <c r="O25" i="12"/>
  <c r="O16" i="12"/>
  <c r="O122" i="12"/>
  <c r="O85" i="12"/>
  <c r="O78" i="12"/>
  <c r="O153" i="12"/>
  <c r="O140" i="12"/>
  <c r="O91" i="12"/>
  <c r="O69" i="12"/>
  <c r="O113" i="12"/>
  <c r="O67" i="12"/>
  <c r="O87" i="12"/>
  <c r="O65" i="12"/>
  <c r="O20" i="12"/>
  <c r="O12" i="12"/>
  <c r="O5" i="12"/>
  <c r="O53" i="12"/>
  <c r="O22" i="12"/>
  <c r="O110" i="12"/>
  <c r="O79" i="12"/>
  <c r="O187" i="12"/>
  <c r="O141" i="12"/>
  <c r="O128" i="12"/>
  <c r="O82" i="12"/>
  <c r="O63" i="12"/>
  <c r="O101" i="12"/>
  <c r="O61" i="12"/>
  <c r="O72" i="12"/>
  <c r="O64" i="12"/>
  <c r="O14" i="12"/>
  <c r="O6" i="12"/>
  <c r="O37" i="12"/>
  <c r="O98" i="12"/>
  <c r="O188" i="12"/>
  <c r="O178" i="12"/>
  <c r="O129" i="12"/>
  <c r="O116" i="12"/>
  <c r="O185" i="12"/>
  <c r="O57" i="12"/>
  <c r="O89" i="12"/>
  <c r="O55" i="12"/>
  <c r="O66" i="12"/>
  <c r="O33" i="12"/>
  <c r="O8" i="12"/>
  <c r="O71" i="12"/>
  <c r="O28" i="12"/>
  <c r="O86" i="12"/>
  <c r="O179" i="12"/>
  <c r="O166" i="12"/>
  <c r="O117" i="12"/>
  <c r="O104" i="12"/>
  <c r="O174" i="12"/>
  <c r="O51" i="12"/>
  <c r="O74" i="12"/>
  <c r="O49" i="12"/>
  <c r="O60" i="12"/>
  <c r="O27" i="12"/>
  <c r="O160" i="12"/>
  <c r="O70" i="12"/>
  <c r="O7" i="12"/>
  <c r="O40" i="12"/>
  <c r="O181" i="12"/>
  <c r="O105" i="12"/>
  <c r="O45" i="12"/>
  <c r="O54" i="12"/>
  <c r="O43" i="12"/>
  <c r="O184" i="12"/>
  <c r="O169" i="12"/>
  <c r="O93" i="12"/>
  <c r="O39" i="12"/>
  <c r="O48" i="12"/>
  <c r="O180" i="12"/>
  <c r="O31" i="12"/>
  <c r="O109" i="12"/>
  <c r="O164" i="12"/>
  <c r="O137" i="12"/>
  <c r="O172" i="12"/>
  <c r="O17" i="12"/>
  <c r="O97" i="12"/>
  <c r="O152" i="12"/>
  <c r="O125" i="12"/>
  <c r="O124" i="12"/>
  <c r="O11" i="12"/>
  <c r="O167" i="12"/>
  <c r="O92" i="12"/>
  <c r="O68" i="12"/>
  <c r="O21" i="12"/>
  <c r="O155" i="12"/>
  <c r="O175" i="12"/>
  <c r="O62" i="12"/>
  <c r="O15" i="12"/>
  <c r="O52" i="12"/>
  <c r="O95" i="12"/>
  <c r="O115" i="12"/>
  <c r="O81" i="12"/>
  <c r="O32" i="12"/>
  <c r="O41" i="12"/>
  <c r="O84" i="12"/>
  <c r="O103" i="12"/>
  <c r="O73" i="12"/>
  <c r="O26" i="12"/>
  <c r="O88" i="12"/>
  <c r="O154" i="12"/>
  <c r="O162" i="12"/>
  <c r="O183" i="12"/>
  <c r="O112" i="12"/>
  <c r="O96" i="12"/>
  <c r="O165" i="12"/>
  <c r="O136" i="12"/>
  <c r="O150" i="12"/>
  <c r="O34" i="12"/>
  <c r="O90" i="12"/>
  <c r="O75" i="12"/>
  <c r="O171" i="12"/>
  <c r="O111" i="12"/>
  <c r="O99" i="12"/>
  <c r="O47" i="12"/>
  <c r="O146" i="12"/>
  <c r="O24" i="12"/>
  <c r="O134" i="12"/>
  <c r="O18" i="12"/>
  <c r="O142" i="12"/>
  <c r="O177" i="12"/>
  <c r="P141" i="12"/>
  <c r="P49" i="12"/>
  <c r="P72" i="12"/>
  <c r="P11" i="12"/>
  <c r="P76" i="12"/>
  <c r="P122" i="12"/>
  <c r="P66" i="12"/>
  <c r="P15" i="12"/>
  <c r="P19" i="12"/>
  <c r="P166" i="12"/>
  <c r="P174" i="12"/>
  <c r="P119" i="12"/>
  <c r="P188" i="12"/>
  <c r="P154" i="12"/>
  <c r="P105" i="12"/>
  <c r="P92" i="12"/>
  <c r="P113" i="12"/>
  <c r="P78" i="12"/>
  <c r="P7" i="12"/>
  <c r="P57" i="12"/>
  <c r="P167" i="12"/>
  <c r="P95" i="12"/>
  <c r="P112" i="12"/>
  <c r="P69" i="12"/>
  <c r="P32" i="12"/>
  <c r="P26" i="12"/>
  <c r="P114" i="12"/>
  <c r="P80" i="12"/>
  <c r="P65" i="12"/>
  <c r="P6" i="12"/>
  <c r="P132" i="12"/>
  <c r="P94" i="12"/>
  <c r="P127" i="12"/>
  <c r="P46" i="12"/>
  <c r="P35" i="12"/>
  <c r="P34" i="12"/>
  <c r="P58" i="12"/>
  <c r="P133" i="12"/>
  <c r="P120" i="12"/>
  <c r="P177" i="12"/>
  <c r="P111" i="12"/>
  <c r="P63" i="12"/>
  <c r="P45" i="12"/>
  <c r="P29" i="12"/>
  <c r="P27" i="12"/>
  <c r="P59" i="12"/>
  <c r="P142" i="12"/>
  <c r="P150" i="12"/>
  <c r="P42" i="12"/>
  <c r="P130" i="12"/>
  <c r="P173" i="12"/>
  <c r="P61" i="12"/>
  <c r="P10" i="12"/>
  <c r="P153" i="12"/>
  <c r="P161" i="12"/>
  <c r="P31" i="12"/>
  <c r="P71" i="12"/>
  <c r="P51" i="12"/>
  <c r="P181" i="12"/>
  <c r="P83" i="12"/>
  <c r="P159" i="12"/>
  <c r="P22" i="12"/>
  <c r="P23" i="12"/>
  <c r="P109" i="12"/>
  <c r="P140" i="12"/>
  <c r="P56" i="12"/>
  <c r="P17" i="12"/>
  <c r="P172" i="12"/>
  <c r="P33" i="12"/>
  <c r="P52" i="12"/>
  <c r="P163" i="12"/>
  <c r="P103" i="12"/>
  <c r="P179" i="12"/>
  <c r="P170" i="12"/>
  <c r="P143" i="12"/>
  <c r="Q121" i="12"/>
  <c r="W121" i="12" s="1"/>
  <c r="Q188" i="12"/>
  <c r="AL188" i="12" s="1"/>
  <c r="Q88" i="12"/>
  <c r="W88" i="12" s="1"/>
  <c r="Q178" i="12"/>
  <c r="W178" i="12" s="1"/>
  <c r="Q34" i="12"/>
  <c r="Q74" i="12"/>
  <c r="AL74" i="12" s="1"/>
  <c r="Q107" i="12"/>
  <c r="W107" i="12" s="1"/>
  <c r="Q163" i="12"/>
  <c r="W163" i="12" s="1"/>
  <c r="Q68" i="12"/>
  <c r="AL68" i="12" s="1"/>
  <c r="Q15" i="12"/>
  <c r="AL15" i="12" s="1"/>
  <c r="Q144" i="12"/>
  <c r="AL144" i="12" s="1"/>
  <c r="Q132" i="12"/>
  <c r="Q86" i="12"/>
  <c r="AL86" i="12" s="1"/>
  <c r="Q23" i="12"/>
  <c r="AL23" i="12" s="1"/>
  <c r="Q6" i="12"/>
  <c r="AL6" i="12" s="1"/>
  <c r="Q102" i="12"/>
  <c r="AL102" i="12" s="1"/>
  <c r="Q50" i="12"/>
  <c r="W50" i="12" s="1"/>
  <c r="Q59" i="12"/>
  <c r="Q177" i="12"/>
  <c r="W177" i="12" s="1"/>
  <c r="Q164" i="12"/>
  <c r="W164" i="12" s="1"/>
  <c r="Q44" i="12"/>
  <c r="AL44" i="12" s="1"/>
  <c r="Q64" i="12"/>
  <c r="W64" i="12" s="1"/>
  <c r="Q111" i="12"/>
  <c r="AL111" i="12" s="1"/>
  <c r="Q47" i="12"/>
  <c r="W47" i="12" s="1"/>
  <c r="Q14" i="12"/>
  <c r="AL14" i="12" s="1"/>
  <c r="Q153" i="12"/>
  <c r="W153" i="12" s="1"/>
  <c r="Q61" i="12"/>
  <c r="W61" i="12" s="1"/>
  <c r="Q99" i="12"/>
  <c r="AL99" i="12" s="1"/>
  <c r="Q169" i="12"/>
  <c r="AL169" i="12" s="1"/>
  <c r="Q167" i="12"/>
  <c r="W167" i="12" s="1"/>
  <c r="Q82" i="12"/>
  <c r="W82" i="12" s="1"/>
  <c r="Q97" i="12"/>
  <c r="W97" i="12" s="1"/>
  <c r="Q116" i="12"/>
  <c r="AL116" i="12" s="1"/>
  <c r="Q70" i="12"/>
  <c r="AL70" i="12" s="1"/>
  <c r="Q185" i="12"/>
  <c r="AL185" i="12" s="1"/>
  <c r="Q21" i="12" l="1"/>
  <c r="W21" i="12" s="1"/>
  <c r="Q109" i="12"/>
  <c r="AL109" i="12" s="1"/>
  <c r="Q79" i="12"/>
  <c r="AL79" i="12" s="1"/>
  <c r="Q16" i="12"/>
  <c r="W16" i="12" s="1"/>
  <c r="Q131" i="12"/>
  <c r="W131" i="12" s="1"/>
  <c r="Q181" i="12"/>
  <c r="AL181" i="12" s="1"/>
  <c r="Q53" i="12"/>
  <c r="W53" i="12" s="1"/>
  <c r="AO53" i="12" s="1"/>
  <c r="Q71" i="12"/>
  <c r="W71" i="12" s="1"/>
  <c r="AC71" i="12" s="1"/>
  <c r="Q66" i="12"/>
  <c r="AL66" i="12" s="1"/>
  <c r="P87" i="12"/>
  <c r="V87" i="12" s="1"/>
  <c r="P55" i="12"/>
  <c r="AK55" i="12" s="1"/>
  <c r="P30" i="12"/>
  <c r="V30" i="12" s="1"/>
  <c r="P102" i="12"/>
  <c r="AK102" i="12" s="1"/>
  <c r="P124" i="12"/>
  <c r="P38" i="12"/>
  <c r="AK38" i="12" s="1"/>
  <c r="P187" i="12"/>
  <c r="AK187" i="12" s="1"/>
  <c r="Q148" i="12"/>
  <c r="AL148" i="12" s="1"/>
  <c r="BA148" i="12" s="1"/>
  <c r="Q35" i="12"/>
  <c r="AL35" i="12" s="1"/>
  <c r="BA35" i="12" s="1"/>
  <c r="Q31" i="12"/>
  <c r="W31" i="12" s="1"/>
  <c r="AO31" i="12" s="1"/>
  <c r="Q166" i="12"/>
  <c r="AL166" i="12" s="1"/>
  <c r="BA166" i="12" s="1"/>
  <c r="Q56" i="12"/>
  <c r="W56" i="12" s="1"/>
  <c r="AC56" i="12" s="1"/>
  <c r="Q157" i="12"/>
  <c r="W157" i="12" s="1"/>
  <c r="AC157" i="12" s="1"/>
  <c r="Q173" i="12"/>
  <c r="AL173" i="12" s="1"/>
  <c r="BA173" i="12" s="1"/>
  <c r="Q17" i="12"/>
  <c r="W17" i="12" s="1"/>
  <c r="Z17" i="12" s="1"/>
  <c r="AR17" i="12" s="1"/>
  <c r="Q184" i="12"/>
  <c r="AL184" i="12" s="1"/>
  <c r="Q19" i="12"/>
  <c r="AL19" i="12" s="1"/>
  <c r="BA19" i="12" s="1"/>
  <c r="Q154" i="12"/>
  <c r="W154" i="12" s="1"/>
  <c r="Z154" i="12" s="1"/>
  <c r="AR154" i="12" s="1"/>
  <c r="Q40" i="12"/>
  <c r="AL40" i="12" s="1"/>
  <c r="Q108" i="12"/>
  <c r="AL108" i="12" s="1"/>
  <c r="Q155" i="12"/>
  <c r="AL155" i="12" s="1"/>
  <c r="BA155" i="12" s="1"/>
  <c r="Q133" i="12"/>
  <c r="AL133" i="12" s="1"/>
  <c r="Q41" i="12"/>
  <c r="W41" i="12" s="1"/>
  <c r="AO41" i="12" s="1"/>
  <c r="Q103" i="12"/>
  <c r="AL103" i="12" s="1"/>
  <c r="Q142" i="12"/>
  <c r="W142" i="12" s="1"/>
  <c r="AC142" i="12" s="1"/>
  <c r="Q186" i="12"/>
  <c r="W186" i="12" s="1"/>
  <c r="AO186" i="12" s="1"/>
  <c r="Q110" i="12"/>
  <c r="W110" i="12" s="1"/>
  <c r="AO110" i="12" s="1"/>
  <c r="Q134" i="12"/>
  <c r="W134" i="12" s="1"/>
  <c r="Z134" i="12" s="1"/>
  <c r="AR134" i="12" s="1"/>
  <c r="Q42" i="12"/>
  <c r="AL42" i="12" s="1"/>
  <c r="Q140" i="12"/>
  <c r="W140" i="12" s="1"/>
  <c r="AO140" i="12" s="1"/>
  <c r="Q11" i="12"/>
  <c r="AL11" i="12" s="1"/>
  <c r="Q172" i="12"/>
  <c r="W172" i="12" s="1"/>
  <c r="Z172" i="12" s="1"/>
  <c r="AR172" i="12" s="1"/>
  <c r="Q29" i="12"/>
  <c r="W29" i="12" s="1"/>
  <c r="AO29" i="12" s="1"/>
  <c r="Q83" i="12"/>
  <c r="W83" i="12" s="1"/>
  <c r="Z83" i="12" s="1"/>
  <c r="AR83" i="12" s="1"/>
  <c r="Q39" i="12"/>
  <c r="AL39" i="12" s="1"/>
  <c r="Q179" i="12"/>
  <c r="W179" i="12" s="1"/>
  <c r="Z179" i="12" s="1"/>
  <c r="AR179" i="12" s="1"/>
  <c r="Q123" i="12"/>
  <c r="W123" i="12" s="1"/>
  <c r="AC123" i="12" s="1"/>
  <c r="Q127" i="12"/>
  <c r="AL127" i="12" s="1"/>
  <c r="Q159" i="12"/>
  <c r="W159" i="12" s="1"/>
  <c r="Z159" i="12" s="1"/>
  <c r="AR159" i="12" s="1"/>
  <c r="Q183" i="12"/>
  <c r="AL183" i="12" s="1"/>
  <c r="Q117" i="12"/>
  <c r="AL117" i="12" s="1"/>
  <c r="BA117" i="12" s="1"/>
  <c r="Q124" i="12"/>
  <c r="W124" i="12" s="1"/>
  <c r="AO124" i="12" s="1"/>
  <c r="Q149" i="12"/>
  <c r="W149" i="12" s="1"/>
  <c r="AO149" i="12" s="1"/>
  <c r="Q58" i="12"/>
  <c r="W58" i="12" s="1"/>
  <c r="Z58" i="12" s="1"/>
  <c r="AR58" i="12" s="1"/>
  <c r="Q73" i="12"/>
  <c r="AL73" i="12" s="1"/>
  <c r="Q120" i="12"/>
  <c r="AL120" i="12" s="1"/>
  <c r="Q98" i="12"/>
  <c r="AL98" i="12" s="1"/>
  <c r="Q122" i="12"/>
  <c r="W122" i="12" s="1"/>
  <c r="AC122" i="12" s="1"/>
  <c r="Q143" i="12"/>
  <c r="AL143" i="12" s="1"/>
  <c r="BA143" i="12" s="1"/>
  <c r="L22" i="1"/>
  <c r="Q145" i="12"/>
  <c r="AL145" i="12" s="1"/>
  <c r="Q152" i="12"/>
  <c r="AL152" i="12" s="1"/>
  <c r="BA152" i="12" s="1"/>
  <c r="Q7" i="12"/>
  <c r="AL7" i="12" s="1"/>
  <c r="Q156" i="12"/>
  <c r="AL156" i="12" s="1"/>
  <c r="BA156" i="12" s="1"/>
  <c r="Q49" i="12"/>
  <c r="W49" i="12" s="1"/>
  <c r="Z49" i="12" s="1"/>
  <c r="AR49" i="12" s="1"/>
  <c r="Q182" i="12"/>
  <c r="AL182" i="12" s="1"/>
  <c r="Q36" i="12"/>
  <c r="AL36" i="12" s="1"/>
  <c r="BA36" i="12" s="1"/>
  <c r="Q62" i="12"/>
  <c r="W62" i="12" s="1"/>
  <c r="AO62" i="12" s="1"/>
  <c r="Q180" i="12"/>
  <c r="AL180" i="12" s="1"/>
  <c r="BA180" i="12" s="1"/>
  <c r="Q137" i="12"/>
  <c r="AL137" i="12" s="1"/>
  <c r="Q170" i="12"/>
  <c r="AL170" i="12" s="1"/>
  <c r="BA170" i="12" s="1"/>
  <c r="Q91" i="12"/>
  <c r="AL91" i="12" s="1"/>
  <c r="BA91" i="12" s="1"/>
  <c r="Q46" i="12"/>
  <c r="W46" i="12" s="1"/>
  <c r="AO46" i="12" s="1"/>
  <c r="Q24" i="12"/>
  <c r="AL24" i="12" s="1"/>
  <c r="Q147" i="12"/>
  <c r="W147" i="12" s="1"/>
  <c r="AC147" i="12" s="1"/>
  <c r="Q95" i="12"/>
  <c r="AL95" i="12" s="1"/>
  <c r="BA95" i="12" s="1"/>
  <c r="Q54" i="12"/>
  <c r="AL54" i="12" s="1"/>
  <c r="Q51" i="12"/>
  <c r="W51" i="12" s="1"/>
  <c r="AO51" i="12" s="1"/>
  <c r="P175" i="12"/>
  <c r="V175" i="12" s="1"/>
  <c r="P89" i="12"/>
  <c r="AK89" i="12" s="1"/>
  <c r="P138" i="12"/>
  <c r="AK138" i="12" s="1"/>
  <c r="P67" i="12"/>
  <c r="AK67" i="12" s="1"/>
  <c r="P145" i="12"/>
  <c r="V145" i="12" s="1"/>
  <c r="P169" i="12"/>
  <c r="V169" i="12" s="1"/>
  <c r="P117" i="12"/>
  <c r="AK117" i="12" s="1"/>
  <c r="P97" i="12"/>
  <c r="AK97" i="12" s="1"/>
  <c r="P86" i="12"/>
  <c r="AK86" i="12" s="1"/>
  <c r="P118" i="12"/>
  <c r="AK118" i="12" s="1"/>
  <c r="P16" i="12"/>
  <c r="AK16" i="12" s="1"/>
  <c r="P137" i="12"/>
  <c r="V137" i="12" s="1"/>
  <c r="P158" i="12"/>
  <c r="AK158" i="12" s="1"/>
  <c r="P156" i="12"/>
  <c r="V156" i="12" s="1"/>
  <c r="P37" i="12"/>
  <c r="AK37" i="12" s="1"/>
  <c r="P185" i="12"/>
  <c r="AK185" i="12" s="1"/>
  <c r="P74" i="12"/>
  <c r="AK74" i="12" s="1"/>
  <c r="P139" i="12"/>
  <c r="V139" i="12" s="1"/>
  <c r="P88" i="12"/>
  <c r="V88" i="12" s="1"/>
  <c r="P125" i="12"/>
  <c r="AK125" i="12" s="1"/>
  <c r="P25" i="12"/>
  <c r="V25" i="12" s="1"/>
  <c r="Q85" i="12"/>
  <c r="W85" i="12" s="1"/>
  <c r="Z85" i="12" s="1"/>
  <c r="AR85" i="12" s="1"/>
  <c r="L19" i="1"/>
  <c r="L24" i="1" s="1"/>
  <c r="P44" i="12"/>
  <c r="AK44" i="12" s="1"/>
  <c r="L11" i="1"/>
  <c r="P21" i="12"/>
  <c r="V21" i="12" s="1"/>
  <c r="Q158" i="12"/>
  <c r="W158" i="12" s="1"/>
  <c r="Z158" i="12" s="1"/>
  <c r="AR158" i="12" s="1"/>
  <c r="Q72" i="12"/>
  <c r="AL72" i="12" s="1"/>
  <c r="Q128" i="12"/>
  <c r="W128" i="12" s="1"/>
  <c r="AO128" i="12" s="1"/>
  <c r="Q136" i="12"/>
  <c r="AL136" i="12" s="1"/>
  <c r="BA136" i="12" s="1"/>
  <c r="Q67" i="12"/>
  <c r="W67" i="12" s="1"/>
  <c r="AC67" i="12" s="1"/>
  <c r="Q94" i="12"/>
  <c r="AL94" i="12" s="1"/>
  <c r="Q30" i="12"/>
  <c r="W30" i="12" s="1"/>
  <c r="Z30" i="12" s="1"/>
  <c r="AR30" i="12" s="1"/>
  <c r="Q176" i="12"/>
  <c r="W176" i="12" s="1"/>
  <c r="AC176" i="12" s="1"/>
  <c r="Q114" i="12"/>
  <c r="W114" i="12" s="1"/>
  <c r="Z114" i="12" s="1"/>
  <c r="AR114" i="12" s="1"/>
  <c r="Q81" i="12"/>
  <c r="AL81" i="12" s="1"/>
  <c r="Q89" i="12"/>
  <c r="W89" i="12" s="1"/>
  <c r="AO89" i="12" s="1"/>
  <c r="Q101" i="12"/>
  <c r="W101" i="12" s="1"/>
  <c r="AC101" i="12" s="1"/>
  <c r="Q9" i="12"/>
  <c r="AL9" i="12" s="1"/>
  <c r="BA9" i="12" s="1"/>
  <c r="Q18" i="12"/>
  <c r="W18" i="12" s="1"/>
  <c r="Z18" i="12" s="1"/>
  <c r="AR18" i="12" s="1"/>
  <c r="Q112" i="12"/>
  <c r="W112" i="12" s="1"/>
  <c r="AC112" i="12" s="1"/>
  <c r="Q33" i="12"/>
  <c r="W33" i="12" s="1"/>
  <c r="AO33" i="12" s="1"/>
  <c r="Q141" i="12"/>
  <c r="W141" i="12" s="1"/>
  <c r="AO141" i="12" s="1"/>
  <c r="Q161" i="12"/>
  <c r="AL161" i="12" s="1"/>
  <c r="Q38" i="12"/>
  <c r="AL38" i="12" s="1"/>
  <c r="Q20" i="12"/>
  <c r="AL20" i="12" s="1"/>
  <c r="Q27" i="12"/>
  <c r="W27" i="12" s="1"/>
  <c r="AC27" i="12" s="1"/>
  <c r="Q78" i="12"/>
  <c r="AL78" i="12" s="1"/>
  <c r="Q139" i="12"/>
  <c r="W139" i="12" s="1"/>
  <c r="Z139" i="12" s="1"/>
  <c r="AR139" i="12" s="1"/>
  <c r="Q77" i="12"/>
  <c r="AL77" i="12" s="1"/>
  <c r="Q138" i="12"/>
  <c r="AL138" i="12" s="1"/>
  <c r="Q150" i="12"/>
  <c r="W150" i="12" s="1"/>
  <c r="AC150" i="12" s="1"/>
  <c r="Q69" i="12"/>
  <c r="AL69" i="12" s="1"/>
  <c r="Q80" i="12"/>
  <c r="W80" i="12" s="1"/>
  <c r="AO80" i="12" s="1"/>
  <c r="P107" i="12"/>
  <c r="AK107" i="12" s="1"/>
  <c r="P146" i="12"/>
  <c r="AK146" i="12" s="1"/>
  <c r="P176" i="12"/>
  <c r="V176" i="12" s="1"/>
  <c r="P186" i="12"/>
  <c r="AK186" i="12" s="1"/>
  <c r="P12" i="12"/>
  <c r="V12" i="12" s="1"/>
  <c r="P20" i="12"/>
  <c r="AK20" i="12" s="1"/>
  <c r="P43" i="12"/>
  <c r="V43" i="12" s="1"/>
  <c r="P131" i="12"/>
  <c r="AK131" i="12" s="1"/>
  <c r="Q57" i="12"/>
  <c r="AL57" i="12" s="1"/>
  <c r="Q45" i="12"/>
  <c r="AL45" i="12" s="1"/>
  <c r="Q52" i="12"/>
  <c r="AL52" i="12" s="1"/>
  <c r="BA52" i="12" s="1"/>
  <c r="Q87" i="12"/>
  <c r="AL87" i="12" s="1"/>
  <c r="Q12" i="12"/>
  <c r="W12" i="12" s="1"/>
  <c r="Z12" i="12" s="1"/>
  <c r="AR12" i="12" s="1"/>
  <c r="Q165" i="12"/>
  <c r="AL165" i="12" s="1"/>
  <c r="BA165" i="12" s="1"/>
  <c r="Q90" i="12"/>
  <c r="W90" i="12" s="1"/>
  <c r="Q135" i="12"/>
  <c r="AL135" i="12" s="1"/>
  <c r="BA135" i="12" s="1"/>
  <c r="Q32" i="12"/>
  <c r="AL32" i="12" s="1"/>
  <c r="Q13" i="12"/>
  <c r="W13" i="12" s="1"/>
  <c r="AC13" i="12" s="1"/>
  <c r="Q25" i="12"/>
  <c r="W25" i="12" s="1"/>
  <c r="AO25" i="12" s="1"/>
  <c r="Q60" i="12"/>
  <c r="AL60" i="12" s="1"/>
  <c r="Q174" i="12"/>
  <c r="AL174" i="12" s="1"/>
  <c r="Q129" i="12"/>
  <c r="W129" i="12" s="1"/>
  <c r="Q55" i="12"/>
  <c r="AL55" i="12" s="1"/>
  <c r="Q8" i="12"/>
  <c r="AL8" i="12" s="1"/>
  <c r="Q5" i="12"/>
  <c r="AL5" i="12" s="1"/>
  <c r="Q96" i="12"/>
  <c r="W96" i="12" s="1"/>
  <c r="Q115" i="12"/>
  <c r="W115" i="12" s="1"/>
  <c r="AC115" i="12" s="1"/>
  <c r="Q187" i="12"/>
  <c r="AL187" i="12" s="1"/>
  <c r="BA187" i="12" s="1"/>
  <c r="Q65" i="12"/>
  <c r="AL65" i="12" s="1"/>
  <c r="BA65" i="12" s="1"/>
  <c r="Q75" i="12"/>
  <c r="W75" i="12" s="1"/>
  <c r="AO75" i="12" s="1"/>
  <c r="Q22" i="12"/>
  <c r="W22" i="12" s="1"/>
  <c r="AO22" i="12" s="1"/>
  <c r="Q106" i="12"/>
  <c r="W106" i="12" s="1"/>
  <c r="AC106" i="12" s="1"/>
  <c r="Q37" i="12"/>
  <c r="W37" i="12" s="1"/>
  <c r="AO37" i="12" s="1"/>
  <c r="Q104" i="12"/>
  <c r="AL104" i="12" s="1"/>
  <c r="BA104" i="12" s="1"/>
  <c r="P8" i="12"/>
  <c r="V8" i="12" s="1"/>
  <c r="P70" i="12"/>
  <c r="AK70" i="12" s="1"/>
  <c r="P41" i="12"/>
  <c r="AK41" i="12" s="1"/>
  <c r="P24" i="12"/>
  <c r="V24" i="12" s="1"/>
  <c r="P148" i="12"/>
  <c r="AK148" i="12" s="1"/>
  <c r="P135" i="12"/>
  <c r="AK135" i="12" s="1"/>
  <c r="P147" i="12"/>
  <c r="V147" i="12" s="1"/>
  <c r="P162" i="12"/>
  <c r="AK162" i="12" s="1"/>
  <c r="P104" i="12"/>
  <c r="AK104" i="12" s="1"/>
  <c r="P14" i="12"/>
  <c r="V14" i="12" s="1"/>
  <c r="L12" i="1"/>
  <c r="Q118" i="12"/>
  <c r="W118" i="12" s="1"/>
  <c r="Z118" i="12" s="1"/>
  <c r="AR118" i="12" s="1"/>
  <c r="Q175" i="12"/>
  <c r="W175" i="12" s="1"/>
  <c r="AO175" i="12" s="1"/>
  <c r="Q113" i="12"/>
  <c r="AL113" i="12" s="1"/>
  <c r="Q43" i="12"/>
  <c r="W43" i="12" s="1"/>
  <c r="AO43" i="12" s="1"/>
  <c r="M11" i="1"/>
  <c r="P108" i="12"/>
  <c r="V108" i="12" s="1"/>
  <c r="P99" i="12"/>
  <c r="V99" i="12" s="1"/>
  <c r="P171" i="12"/>
  <c r="AK171" i="12" s="1"/>
  <c r="P165" i="12"/>
  <c r="AK165" i="12" s="1"/>
  <c r="P134" i="12"/>
  <c r="AK134" i="12" s="1"/>
  <c r="P68" i="12"/>
  <c r="V68" i="12" s="1"/>
  <c r="P64" i="12"/>
  <c r="AK64" i="12" s="1"/>
  <c r="P75" i="12"/>
  <c r="V75" i="12" s="1"/>
  <c r="P106" i="12"/>
  <c r="AK106" i="12" s="1"/>
  <c r="P81" i="12"/>
  <c r="AK81" i="12" s="1"/>
  <c r="P54" i="12"/>
  <c r="AK54" i="12" s="1"/>
  <c r="P136" i="12"/>
  <c r="V136" i="12" s="1"/>
  <c r="P79" i="12"/>
  <c r="AK79" i="12" s="1"/>
  <c r="P116" i="12"/>
  <c r="AK116" i="12" s="1"/>
  <c r="P50" i="12"/>
  <c r="V50" i="12" s="1"/>
  <c r="Q76" i="12"/>
  <c r="AL76" i="12" s="1"/>
  <c r="Q63" i="12"/>
  <c r="AL63" i="12" s="1"/>
  <c r="BA63" i="12" s="1"/>
  <c r="Q93" i="12"/>
  <c r="W93" i="12" s="1"/>
  <c r="AC93" i="12" s="1"/>
  <c r="Q162" i="12"/>
  <c r="AL162" i="12" s="1"/>
  <c r="Q146" i="12"/>
  <c r="W146" i="12" s="1"/>
  <c r="AO146" i="12" s="1"/>
  <c r="M19" i="1"/>
  <c r="M24" i="1" s="1"/>
  <c r="M23" i="1" s="1"/>
  <c r="P84" i="12"/>
  <c r="AK84" i="12" s="1"/>
  <c r="P62" i="12"/>
  <c r="AK62" i="12" s="1"/>
  <c r="P101" i="12"/>
  <c r="V101" i="12" s="1"/>
  <c r="P39" i="12"/>
  <c r="AK39" i="12" s="1"/>
  <c r="P91" i="12"/>
  <c r="AK91" i="12" s="1"/>
  <c r="P90" i="12"/>
  <c r="AK90" i="12" s="1"/>
  <c r="P123" i="12"/>
  <c r="V123" i="12" s="1"/>
  <c r="P18" i="12"/>
  <c r="V18" i="12" s="1"/>
  <c r="P144" i="12"/>
  <c r="V144" i="12" s="1"/>
  <c r="P126" i="12"/>
  <c r="AK126" i="12" s="1"/>
  <c r="P183" i="12"/>
  <c r="V183" i="12" s="1"/>
  <c r="P13" i="12"/>
  <c r="AK13" i="12" s="1"/>
  <c r="P28" i="12"/>
  <c r="V28" i="12" s="1"/>
  <c r="P129" i="12"/>
  <c r="V129" i="12" s="1"/>
  <c r="P149" i="12"/>
  <c r="V149" i="12" s="1"/>
  <c r="Q126" i="12"/>
  <c r="AL126" i="12" s="1"/>
  <c r="BA126" i="12" s="1"/>
  <c r="Q48" i="12"/>
  <c r="AL48" i="12" s="1"/>
  <c r="BA48" i="12" s="1"/>
  <c r="Q28" i="12"/>
  <c r="W28" i="12" s="1"/>
  <c r="AO28" i="12" s="1"/>
  <c r="Q119" i="12"/>
  <c r="AL119" i="12" s="1"/>
  <c r="BA119" i="12" s="1"/>
  <c r="Q92" i="12"/>
  <c r="W92" i="12" s="1"/>
  <c r="AC92" i="12" s="1"/>
  <c r="Q100" i="12"/>
  <c r="W100" i="12" s="1"/>
  <c r="Z100" i="12" s="1"/>
  <c r="AR100" i="12" s="1"/>
  <c r="M12" i="1"/>
  <c r="P168" i="12"/>
  <c r="V168" i="12" s="1"/>
  <c r="P152" i="12"/>
  <c r="AK152" i="12" s="1"/>
  <c r="P93" i="12"/>
  <c r="V93" i="12" s="1"/>
  <c r="P160" i="12"/>
  <c r="V160" i="12" s="1"/>
  <c r="P96" i="12"/>
  <c r="V96" i="12" s="1"/>
  <c r="P115" i="12"/>
  <c r="V115" i="12" s="1"/>
  <c r="P73" i="12"/>
  <c r="V73" i="12" s="1"/>
  <c r="P36" i="12"/>
  <c r="AK36" i="12" s="1"/>
  <c r="P157" i="12"/>
  <c r="V157" i="12" s="1"/>
  <c r="P151" i="12"/>
  <c r="AK151" i="12" s="1"/>
  <c r="P110" i="12"/>
  <c r="V110" i="12" s="1"/>
  <c r="P9" i="12"/>
  <c r="AK9" i="12" s="1"/>
  <c r="P53" i="12"/>
  <c r="AK53" i="12" s="1"/>
  <c r="P178" i="12"/>
  <c r="V178" i="12" s="1"/>
  <c r="P82" i="12"/>
  <c r="AK82" i="12" s="1"/>
  <c r="Q160" i="12"/>
  <c r="AL160" i="12" s="1"/>
  <c r="Q26" i="12"/>
  <c r="W26" i="12" s="1"/>
  <c r="AO26" i="12" s="1"/>
  <c r="Q10" i="12"/>
  <c r="W10" i="12" s="1"/>
  <c r="AC10" i="12" s="1"/>
  <c r="Q84" i="12"/>
  <c r="AL84" i="12" s="1"/>
  <c r="BA84" i="12" s="1"/>
  <c r="Q151" i="12"/>
  <c r="AL151" i="12" s="1"/>
  <c r="BA151" i="12" s="1"/>
  <c r="Q171" i="12"/>
  <c r="AL171" i="12" s="1"/>
  <c r="Q130" i="12"/>
  <c r="AL130" i="12" s="1"/>
  <c r="BA130" i="12" s="1"/>
  <c r="Q168" i="12"/>
  <c r="W168" i="12" s="1"/>
  <c r="Z168" i="12" s="1"/>
  <c r="AR168" i="12" s="1"/>
  <c r="Q105" i="12"/>
  <c r="W105" i="12" s="1"/>
  <c r="AC105" i="12" s="1"/>
  <c r="Q125" i="12"/>
  <c r="AL125" i="12" s="1"/>
  <c r="BA125" i="12" s="1"/>
  <c r="P48" i="12"/>
  <c r="AK48" i="12" s="1"/>
  <c r="P180" i="12"/>
  <c r="V180" i="12" s="1"/>
  <c r="P121" i="12"/>
  <c r="AK121" i="12" s="1"/>
  <c r="P100" i="12"/>
  <c r="V100" i="12" s="1"/>
  <c r="P98" i="12"/>
  <c r="AK98" i="12" s="1"/>
  <c r="P40" i="12"/>
  <c r="V40" i="12" s="1"/>
  <c r="P164" i="12"/>
  <c r="V164" i="12" s="1"/>
  <c r="P155" i="12"/>
  <c r="V155" i="12" s="1"/>
  <c r="P47" i="12"/>
  <c r="AK47" i="12" s="1"/>
  <c r="P184" i="12"/>
  <c r="AK184" i="12" s="1"/>
  <c r="P77" i="12"/>
  <c r="AK77" i="12" s="1"/>
  <c r="P182" i="12"/>
  <c r="V182" i="12" s="1"/>
  <c r="P60" i="12"/>
  <c r="AK60" i="12" s="1"/>
  <c r="P5" i="12"/>
  <c r="V5" i="12" s="1"/>
  <c r="P85" i="12"/>
  <c r="V85" i="12" s="1"/>
  <c r="AL61" i="12"/>
  <c r="AL47" i="12"/>
  <c r="BA47" i="12" s="1"/>
  <c r="AL97" i="12"/>
  <c r="BA97" i="12" s="1"/>
  <c r="AL164" i="12"/>
  <c r="W109" i="12"/>
  <c r="Z109" i="12" s="1"/>
  <c r="AR109" i="12" s="1"/>
  <c r="W111" i="12"/>
  <c r="AC111" i="12" s="1"/>
  <c r="W185" i="12"/>
  <c r="AC185" i="12" s="1"/>
  <c r="W59" i="12"/>
  <c r="AL59" i="12"/>
  <c r="V22" i="12"/>
  <c r="AK22" i="12"/>
  <c r="V113" i="12"/>
  <c r="AK113" i="12"/>
  <c r="W23" i="12"/>
  <c r="AK143" i="12"/>
  <c r="V143" i="12"/>
  <c r="AK26" i="12"/>
  <c r="V26" i="12"/>
  <c r="AO16" i="12"/>
  <c r="AC16" i="12"/>
  <c r="Z16" i="12"/>
  <c r="AR16" i="12" s="1"/>
  <c r="BA68" i="12"/>
  <c r="AC178" i="12"/>
  <c r="AO178" i="12"/>
  <c r="Z178" i="12"/>
  <c r="AR178" i="12" s="1"/>
  <c r="AK31" i="12"/>
  <c r="V31" i="12"/>
  <c r="BA99" i="12"/>
  <c r="BA14" i="12"/>
  <c r="AO64" i="12"/>
  <c r="AC64" i="12"/>
  <c r="Z64" i="12"/>
  <c r="AR64" i="12" s="1"/>
  <c r="Z164" i="12"/>
  <c r="AR164" i="12" s="1"/>
  <c r="AO164" i="12"/>
  <c r="AC164" i="12"/>
  <c r="BA144" i="12"/>
  <c r="AL132" i="12"/>
  <c r="W132" i="12"/>
  <c r="AK33" i="12"/>
  <c r="V33" i="12"/>
  <c r="V65" i="12"/>
  <c r="AK65" i="12"/>
  <c r="AK141" i="12"/>
  <c r="V141" i="12"/>
  <c r="AO61" i="12"/>
  <c r="AC61" i="12"/>
  <c r="Z61" i="12"/>
  <c r="AR61" i="12" s="1"/>
  <c r="AO47" i="12"/>
  <c r="AC47" i="12"/>
  <c r="Z47" i="12"/>
  <c r="AR47" i="12" s="1"/>
  <c r="BA79" i="12"/>
  <c r="Z177" i="12"/>
  <c r="AR177" i="12" s="1"/>
  <c r="AO177" i="12"/>
  <c r="AC177" i="12"/>
  <c r="Z50" i="12"/>
  <c r="AR50" i="12" s="1"/>
  <c r="AC50" i="12"/>
  <c r="AO50" i="12"/>
  <c r="BA15" i="12"/>
  <c r="AC82" i="12"/>
  <c r="Z82" i="12"/>
  <c r="AR82" i="12" s="1"/>
  <c r="AO82" i="12"/>
  <c r="BA111" i="12"/>
  <c r="AC21" i="12"/>
  <c r="Z21" i="12"/>
  <c r="AR21" i="12" s="1"/>
  <c r="AO21" i="12"/>
  <c r="AO163" i="12"/>
  <c r="AC163" i="12"/>
  <c r="Z163" i="12"/>
  <c r="AR163" i="12" s="1"/>
  <c r="BA188" i="12"/>
  <c r="BA116" i="12"/>
  <c r="BA6" i="12"/>
  <c r="V76" i="12"/>
  <c r="AK76" i="12"/>
  <c r="BA102" i="12"/>
  <c r="BA86" i="12"/>
  <c r="BA74" i="12"/>
  <c r="Z121" i="12"/>
  <c r="AR121" i="12" s="1"/>
  <c r="AC121" i="12"/>
  <c r="AO121" i="12"/>
  <c r="AC107" i="12"/>
  <c r="Z107" i="12"/>
  <c r="AR107" i="12" s="1"/>
  <c r="AO107" i="12"/>
  <c r="AK177" i="12"/>
  <c r="V177" i="12"/>
  <c r="AC167" i="12"/>
  <c r="AO167" i="12"/>
  <c r="Z167" i="12"/>
  <c r="AR167" i="12" s="1"/>
  <c r="AC88" i="12"/>
  <c r="Z88" i="12"/>
  <c r="AR88" i="12" s="1"/>
  <c r="AO88" i="12"/>
  <c r="BA23" i="12"/>
  <c r="BA185" i="12"/>
  <c r="BA169" i="12"/>
  <c r="BA44" i="12"/>
  <c r="W34" i="12"/>
  <c r="AL34" i="12"/>
  <c r="AK19" i="12"/>
  <c r="V19" i="12"/>
  <c r="AC97" i="12"/>
  <c r="Z97" i="12"/>
  <c r="AR97" i="12" s="1"/>
  <c r="AO97" i="12"/>
  <c r="BA109" i="12"/>
  <c r="BA70" i="12"/>
  <c r="AO153" i="12"/>
  <c r="Z153" i="12"/>
  <c r="AR153" i="12" s="1"/>
  <c r="AC153" i="12"/>
  <c r="AK170" i="12"/>
  <c r="V170" i="12"/>
  <c r="AK172" i="12"/>
  <c r="V172" i="12"/>
  <c r="V130" i="12"/>
  <c r="AK130" i="12"/>
  <c r="V120" i="12"/>
  <c r="AK120" i="12"/>
  <c r="V32" i="12"/>
  <c r="AK32" i="12"/>
  <c r="AK119" i="12"/>
  <c r="V119" i="12"/>
  <c r="AK15" i="12"/>
  <c r="V15" i="12"/>
  <c r="AL163" i="12"/>
  <c r="W14" i="12"/>
  <c r="AL88" i="12"/>
  <c r="V179" i="12"/>
  <c r="AK179" i="12"/>
  <c r="V17" i="12"/>
  <c r="AK17" i="12"/>
  <c r="V159" i="12"/>
  <c r="AK159" i="12"/>
  <c r="AK161" i="12"/>
  <c r="V161" i="12"/>
  <c r="V42" i="12"/>
  <c r="AK42" i="12"/>
  <c r="AK29" i="12"/>
  <c r="V29" i="12"/>
  <c r="V133" i="12"/>
  <c r="AK133" i="12"/>
  <c r="AK127" i="12"/>
  <c r="V127" i="12"/>
  <c r="V69" i="12"/>
  <c r="AK69" i="12"/>
  <c r="AK92" i="12"/>
  <c r="V92" i="12"/>
  <c r="AK66" i="12"/>
  <c r="V66" i="12"/>
  <c r="V11" i="12"/>
  <c r="AK11" i="12"/>
  <c r="W74" i="12"/>
  <c r="W169" i="12"/>
  <c r="AK103" i="12"/>
  <c r="V103" i="12"/>
  <c r="AK153" i="12"/>
  <c r="V153" i="12"/>
  <c r="AK45" i="12"/>
  <c r="V45" i="12"/>
  <c r="V58" i="12"/>
  <c r="AK58" i="12"/>
  <c r="V112" i="12"/>
  <c r="AK112" i="12"/>
  <c r="AK105" i="12"/>
  <c r="V105" i="12"/>
  <c r="AL82" i="12"/>
  <c r="AL50" i="12"/>
  <c r="W188" i="12"/>
  <c r="AL178" i="12"/>
  <c r="V163" i="12"/>
  <c r="AK163" i="12"/>
  <c r="AK56" i="12"/>
  <c r="V56" i="12"/>
  <c r="AK83" i="12"/>
  <c r="V83" i="12"/>
  <c r="V10" i="12"/>
  <c r="AK10" i="12"/>
  <c r="V150" i="12"/>
  <c r="AK150" i="12"/>
  <c r="AK63" i="12"/>
  <c r="V63" i="12"/>
  <c r="V34" i="12"/>
  <c r="AK34" i="12"/>
  <c r="AK94" i="12"/>
  <c r="V94" i="12"/>
  <c r="V80" i="12"/>
  <c r="AK80" i="12"/>
  <c r="V124" i="12"/>
  <c r="AK124" i="12"/>
  <c r="V57" i="12"/>
  <c r="AK57" i="12"/>
  <c r="AK154" i="12"/>
  <c r="V154" i="12"/>
  <c r="AK174" i="12"/>
  <c r="V174" i="12"/>
  <c r="V122" i="12"/>
  <c r="AK122" i="12"/>
  <c r="W70" i="12"/>
  <c r="AL64" i="12"/>
  <c r="AL167" i="12"/>
  <c r="W44" i="12"/>
  <c r="W144" i="12"/>
  <c r="W6" i="12"/>
  <c r="V140" i="12"/>
  <c r="AK140" i="12"/>
  <c r="V181" i="12"/>
  <c r="AK181" i="12"/>
  <c r="AK142" i="12"/>
  <c r="V142" i="12"/>
  <c r="V111" i="12"/>
  <c r="AK111" i="12"/>
  <c r="V132" i="12"/>
  <c r="AK132" i="12"/>
  <c r="AK114" i="12"/>
  <c r="V114" i="12"/>
  <c r="AK188" i="12"/>
  <c r="V188" i="12"/>
  <c r="V72" i="12"/>
  <c r="AK72" i="12"/>
  <c r="W99" i="12"/>
  <c r="AL121" i="12"/>
  <c r="AL153" i="12"/>
  <c r="W79" i="12"/>
  <c r="V109" i="12"/>
  <c r="AK109" i="12"/>
  <c r="V51" i="12"/>
  <c r="AK51" i="12"/>
  <c r="V61" i="12"/>
  <c r="AK61" i="12"/>
  <c r="AK59" i="12"/>
  <c r="V59" i="12"/>
  <c r="AK35" i="12"/>
  <c r="V35" i="12"/>
  <c r="V95" i="12"/>
  <c r="AK95" i="12"/>
  <c r="V7" i="12"/>
  <c r="AK7" i="12"/>
  <c r="AK49" i="12"/>
  <c r="V49" i="12"/>
  <c r="AL107" i="12"/>
  <c r="V52" i="12"/>
  <c r="AK52" i="12"/>
  <c r="AK23" i="12"/>
  <c r="V23" i="12"/>
  <c r="AK71" i="12"/>
  <c r="V71" i="12"/>
  <c r="V173" i="12"/>
  <c r="AK173" i="12"/>
  <c r="AK27" i="12"/>
  <c r="V27" i="12"/>
  <c r="V46" i="12"/>
  <c r="AK46" i="12"/>
  <c r="V6" i="12"/>
  <c r="AK6" i="12"/>
  <c r="AK167" i="12"/>
  <c r="V167" i="12"/>
  <c r="V78" i="12"/>
  <c r="AK78" i="12"/>
  <c r="V166" i="12"/>
  <c r="AK166" i="12"/>
  <c r="W68" i="12"/>
  <c r="W102" i="12"/>
  <c r="AL21" i="12"/>
  <c r="W15" i="12"/>
  <c r="W116" i="12"/>
  <c r="W86" i="12"/>
  <c r="AL177" i="12"/>
  <c r="V128" i="12"/>
  <c r="AK128" i="12"/>
  <c r="K22" i="1"/>
  <c r="K23" i="1" s="1"/>
  <c r="U70" i="12"/>
  <c r="U25" i="12"/>
  <c r="AJ95" i="12"/>
  <c r="U166" i="12"/>
  <c r="AJ56" i="12"/>
  <c r="AJ87" i="12"/>
  <c r="AJ182" i="12"/>
  <c r="U98" i="12"/>
  <c r="AJ54" i="12"/>
  <c r="AJ131" i="12"/>
  <c r="U14" i="12"/>
  <c r="AJ89" i="12"/>
  <c r="U35" i="12"/>
  <c r="AJ151" i="12"/>
  <c r="AJ18" i="12"/>
  <c r="AJ154" i="12"/>
  <c r="AJ98" i="12"/>
  <c r="U9" i="12"/>
  <c r="AJ63" i="12"/>
  <c r="U148" i="12"/>
  <c r="U32" i="12"/>
  <c r="AJ158" i="12"/>
  <c r="AJ44" i="12"/>
  <c r="AJ83" i="12"/>
  <c r="AJ65" i="12"/>
  <c r="AJ73" i="12"/>
  <c r="AJ55" i="12"/>
  <c r="AJ173" i="12"/>
  <c r="U76" i="12"/>
  <c r="AJ82" i="12"/>
  <c r="AJ31" i="12"/>
  <c r="AJ120" i="12"/>
  <c r="U145" i="12"/>
  <c r="AJ15" i="12"/>
  <c r="AJ99" i="12"/>
  <c r="U8" i="12"/>
  <c r="AJ160" i="12"/>
  <c r="U170" i="12"/>
  <c r="U92" i="12"/>
  <c r="U184" i="12"/>
  <c r="U61" i="12"/>
  <c r="U160" i="12"/>
  <c r="U66" i="12"/>
  <c r="U7" i="12"/>
  <c r="U28" i="12"/>
  <c r="U41" i="12"/>
  <c r="AJ163" i="12"/>
  <c r="U24" i="12"/>
  <c r="U83" i="12"/>
  <c r="U165" i="12"/>
  <c r="AJ107" i="12"/>
  <c r="AJ178" i="12"/>
  <c r="U122" i="12"/>
  <c r="AJ21" i="12"/>
  <c r="AJ26" i="12"/>
  <c r="AJ64" i="12"/>
  <c r="U117" i="12"/>
  <c r="AJ124" i="12"/>
  <c r="AJ9" i="12"/>
  <c r="U67" i="12"/>
  <c r="AJ114" i="12"/>
  <c r="AJ166" i="12"/>
  <c r="AJ96" i="12"/>
  <c r="AJ93" i="12"/>
  <c r="AJ116" i="12"/>
  <c r="U77" i="12"/>
  <c r="U40" i="12"/>
  <c r="U113" i="12"/>
  <c r="AJ30" i="12"/>
  <c r="AJ141" i="12"/>
  <c r="AJ37" i="12"/>
  <c r="AJ61" i="12"/>
  <c r="U168" i="12"/>
  <c r="AJ32" i="12"/>
  <c r="U89" i="12"/>
  <c r="U175" i="12"/>
  <c r="U182" i="12"/>
  <c r="U21" i="12"/>
  <c r="U62" i="12"/>
  <c r="AJ90" i="12"/>
  <c r="U100" i="12"/>
  <c r="U185" i="12"/>
  <c r="U47" i="12"/>
  <c r="U59" i="12"/>
  <c r="AJ152" i="12"/>
  <c r="AJ186" i="12"/>
  <c r="AJ43" i="12"/>
  <c r="AJ187" i="12"/>
  <c r="AJ67" i="12"/>
  <c r="U132" i="12"/>
  <c r="AJ33" i="12"/>
  <c r="U147" i="12"/>
  <c r="AJ171" i="12"/>
  <c r="U105" i="12"/>
  <c r="U95" i="12"/>
  <c r="U137" i="12"/>
  <c r="U139" i="12"/>
  <c r="AJ6" i="12"/>
  <c r="AJ150" i="12"/>
  <c r="U102" i="12"/>
  <c r="AJ172" i="12"/>
  <c r="U46" i="12"/>
  <c r="U90" i="12"/>
  <c r="U5" i="12"/>
  <c r="AJ175" i="12"/>
  <c r="U65" i="12"/>
  <c r="AJ36" i="12"/>
  <c r="AJ105" i="12"/>
  <c r="AJ106" i="12"/>
  <c r="AJ7" i="12"/>
  <c r="U131" i="12"/>
  <c r="AJ60" i="12"/>
  <c r="U125" i="12"/>
  <c r="U53" i="12"/>
  <c r="U71" i="12"/>
  <c r="AJ49" i="12"/>
  <c r="AJ66" i="12"/>
  <c r="U73" i="12"/>
  <c r="AJ179" i="12"/>
  <c r="AJ180" i="12"/>
  <c r="AJ39" i="12"/>
  <c r="U129" i="12"/>
  <c r="U106" i="12"/>
  <c r="U26" i="12"/>
  <c r="AJ169" i="12"/>
  <c r="AJ8" i="12"/>
  <c r="U127" i="12"/>
  <c r="U88" i="12"/>
  <c r="U112" i="12"/>
  <c r="AJ34" i="12"/>
  <c r="AJ74" i="12"/>
  <c r="AJ16" i="12"/>
  <c r="U84" i="12"/>
  <c r="U52" i="12"/>
  <c r="AJ137" i="12"/>
  <c r="AJ11" i="12"/>
  <c r="U56" i="12"/>
  <c r="U115" i="12"/>
  <c r="U164" i="12"/>
  <c r="U118" i="12"/>
  <c r="U13" i="12"/>
  <c r="U72" i="12"/>
  <c r="AJ62" i="12"/>
  <c r="U158" i="12"/>
  <c r="AJ183" i="12"/>
  <c r="AJ50" i="12"/>
  <c r="U58" i="12"/>
  <c r="AJ184" i="12"/>
  <c r="AJ58" i="12"/>
  <c r="U114" i="12"/>
  <c r="AJ92" i="12"/>
  <c r="U48" i="12"/>
  <c r="AJ117" i="12"/>
  <c r="U130" i="12"/>
  <c r="U55" i="12"/>
  <c r="AJ14" i="12"/>
  <c r="AJ188" i="12"/>
  <c r="AJ68" i="12"/>
  <c r="AJ80" i="12"/>
  <c r="AJ170" i="12"/>
  <c r="U124" i="12"/>
  <c r="U68" i="12"/>
  <c r="AJ40" i="12"/>
  <c r="AJ165" i="12"/>
  <c r="U180" i="12"/>
  <c r="U163" i="12"/>
  <c r="AJ28" i="12"/>
  <c r="AJ22" i="12"/>
  <c r="U91" i="12"/>
  <c r="U149" i="12"/>
  <c r="U64" i="12"/>
  <c r="U17" i="12"/>
  <c r="U54" i="12"/>
  <c r="U19" i="12"/>
  <c r="U155" i="12"/>
  <c r="U44" i="12"/>
  <c r="U169" i="12"/>
  <c r="U18" i="12"/>
  <c r="AJ48" i="12"/>
  <c r="U36" i="12"/>
  <c r="U43" i="12"/>
  <c r="U172" i="12"/>
  <c r="U159" i="12"/>
  <c r="AJ161" i="12"/>
  <c r="AJ153" i="12"/>
  <c r="AJ29" i="12"/>
  <c r="AJ24" i="12"/>
  <c r="AJ108" i="12"/>
  <c r="U12" i="12"/>
  <c r="AJ100" i="12"/>
  <c r="AJ71" i="12"/>
  <c r="U104" i="12"/>
  <c r="AJ102" i="12"/>
  <c r="AJ42" i="12"/>
  <c r="AJ91" i="12"/>
  <c r="AJ155" i="12"/>
  <c r="U154" i="12"/>
  <c r="AJ27" i="12"/>
  <c r="U15" i="12"/>
  <c r="U80" i="12"/>
  <c r="U103" i="12"/>
  <c r="U87" i="12"/>
  <c r="AJ119" i="12"/>
  <c r="U135" i="12"/>
  <c r="AJ157" i="12"/>
  <c r="U50" i="12"/>
  <c r="AJ104" i="12"/>
  <c r="U108" i="12"/>
  <c r="U171" i="12"/>
  <c r="U27" i="12"/>
  <c r="U10" i="12"/>
  <c r="U45" i="12"/>
  <c r="AJ41" i="12"/>
  <c r="AJ97" i="12"/>
  <c r="U101" i="12"/>
  <c r="U119" i="12"/>
  <c r="AJ135" i="12"/>
  <c r="AJ10" i="12"/>
  <c r="AJ129" i="12"/>
  <c r="AJ118" i="12"/>
  <c r="AJ72" i="12"/>
  <c r="U153" i="12"/>
  <c r="AJ125" i="12"/>
  <c r="AJ45" i="12"/>
  <c r="U33" i="12"/>
  <c r="U69" i="12"/>
  <c r="U82" i="12"/>
  <c r="U85" i="12"/>
  <c r="U97" i="12"/>
  <c r="AJ101" i="12"/>
  <c r="U126" i="12"/>
  <c r="AJ142" i="12"/>
  <c r="AJ81" i="12"/>
  <c r="U107" i="12"/>
  <c r="AJ47" i="12"/>
  <c r="U96" i="12"/>
  <c r="U11" i="12"/>
  <c r="AJ130" i="12"/>
  <c r="AJ53" i="12"/>
  <c r="AJ69" i="12"/>
  <c r="AJ85" i="12"/>
  <c r="AJ126" i="12"/>
  <c r="U142" i="12"/>
  <c r="U144" i="12"/>
  <c r="AJ146" i="12"/>
  <c r="U49" i="12"/>
  <c r="AJ5" i="12"/>
  <c r="AJ88" i="12"/>
  <c r="U116" i="12"/>
  <c r="U141" i="12"/>
  <c r="AJ25" i="12"/>
  <c r="U86" i="12"/>
  <c r="AJ76" i="12"/>
  <c r="AJ121" i="12"/>
  <c r="AJ127" i="12"/>
  <c r="U34" i="12"/>
  <c r="AJ148" i="12"/>
  <c r="U183" i="12"/>
  <c r="AJ23" i="12"/>
  <c r="U51" i="12"/>
  <c r="AJ86" i="12"/>
  <c r="AJ70" i="12"/>
  <c r="U121" i="12"/>
  <c r="AJ143" i="12"/>
  <c r="AJ128" i="12"/>
  <c r="U152" i="12"/>
  <c r="AJ159" i="12"/>
  <c r="AJ168" i="12"/>
  <c r="U173" i="12"/>
  <c r="U30" i="12"/>
  <c r="AJ51" i="12"/>
  <c r="U143" i="12"/>
  <c r="U109" i="12"/>
  <c r="U23" i="12"/>
  <c r="AJ115" i="12"/>
  <c r="U161" i="12"/>
  <c r="U81" i="12"/>
  <c r="AJ57" i="12"/>
  <c r="AJ59" i="12"/>
  <c r="U75" i="12"/>
  <c r="U120" i="12"/>
  <c r="AJ139" i="12"/>
  <c r="U63" i="12"/>
  <c r="AJ35" i="12"/>
  <c r="AJ109" i="12"/>
  <c r="AJ144" i="12"/>
  <c r="AJ147" i="12"/>
  <c r="AJ164" i="12"/>
  <c r="AJ176" i="12"/>
  <c r="U178" i="12"/>
  <c r="AJ77" i="12"/>
  <c r="AJ84" i="12"/>
  <c r="U37" i="12"/>
  <c r="U111" i="12"/>
  <c r="U140" i="12"/>
  <c r="U39" i="12"/>
  <c r="U6" i="12"/>
  <c r="U16" i="12"/>
  <c r="AJ111" i="12"/>
  <c r="AJ140" i="12"/>
  <c r="U176" i="12"/>
  <c r="AJ162" i="12"/>
  <c r="U188" i="12"/>
  <c r="AJ94" i="12"/>
  <c r="AJ110" i="12"/>
  <c r="AJ132" i="12"/>
  <c r="U150" i="12"/>
  <c r="U146" i="12"/>
  <c r="U93" i="12"/>
  <c r="AJ38" i="12"/>
  <c r="AJ19" i="12"/>
  <c r="U60" i="12"/>
  <c r="AJ103" i="12"/>
  <c r="AJ167" i="12"/>
  <c r="AJ177" i="12"/>
  <c r="U99" i="12"/>
  <c r="U78" i="12"/>
  <c r="U162" i="12"/>
  <c r="U174" i="12"/>
  <c r="U186" i="12"/>
  <c r="U22" i="12"/>
  <c r="AJ149" i="12"/>
  <c r="U38" i="12"/>
  <c r="U20" i="12"/>
  <c r="AJ138" i="12"/>
  <c r="U167" i="12"/>
  <c r="U177" i="12"/>
  <c r="U187" i="12"/>
  <c r="U179" i="12"/>
  <c r="AJ46" i="12"/>
  <c r="AJ112" i="12"/>
  <c r="U42" i="12"/>
  <c r="AJ20" i="12"/>
  <c r="AJ145" i="12"/>
  <c r="AJ12" i="12"/>
  <c r="U128" i="12"/>
  <c r="U138" i="12"/>
  <c r="U57" i="12"/>
  <c r="AJ78" i="12"/>
  <c r="U94" i="12"/>
  <c r="U110" i="12"/>
  <c r="AJ79" i="12"/>
  <c r="U156" i="12"/>
  <c r="U151" i="12"/>
  <c r="AJ136" i="12"/>
  <c r="AJ122" i="12"/>
  <c r="AJ13" i="12"/>
  <c r="AJ113" i="12"/>
  <c r="U134" i="12"/>
  <c r="AJ174" i="12"/>
  <c r="U157" i="12"/>
  <c r="U181" i="12"/>
  <c r="U136" i="12"/>
  <c r="AJ75" i="12"/>
  <c r="AJ134" i="12"/>
  <c r="AJ133" i="12"/>
  <c r="AJ185" i="12"/>
  <c r="U29" i="12"/>
  <c r="U79" i="12"/>
  <c r="AJ156" i="12"/>
  <c r="AJ17" i="12"/>
  <c r="U133" i="12"/>
  <c r="AJ181" i="12"/>
  <c r="U123" i="12"/>
  <c r="AJ52" i="12"/>
  <c r="U74" i="12"/>
  <c r="U31" i="12"/>
  <c r="AJ123" i="12"/>
  <c r="AL53" i="12" l="1"/>
  <c r="BA53" i="12" s="1"/>
  <c r="V38" i="12"/>
  <c r="AC29" i="12"/>
  <c r="Z29" i="12"/>
  <c r="AR29" i="12" s="1"/>
  <c r="AL58" i="12"/>
  <c r="AO58" i="12"/>
  <c r="W108" i="12"/>
  <c r="Z108" i="12" s="1"/>
  <c r="AR108" i="12" s="1"/>
  <c r="AL172" i="12"/>
  <c r="BA172" i="12" s="1"/>
  <c r="V187" i="12"/>
  <c r="Y187" i="12" s="1"/>
  <c r="AQ187" i="12" s="1"/>
  <c r="AC172" i="12"/>
  <c r="AI172" i="12" s="1"/>
  <c r="AL131" i="12"/>
  <c r="W148" i="12"/>
  <c r="AO148" i="12" s="1"/>
  <c r="AO172" i="12"/>
  <c r="BA108" i="12"/>
  <c r="AL16" i="12"/>
  <c r="BA16" i="12" s="1"/>
  <c r="BA181" i="12"/>
  <c r="W73" i="12"/>
  <c r="AO73" i="12" s="1"/>
  <c r="W35" i="12"/>
  <c r="AC35" i="12" s="1"/>
  <c r="BA133" i="12"/>
  <c r="Z71" i="12"/>
  <c r="AR71" i="12" s="1"/>
  <c r="AO71" i="12"/>
  <c r="Z41" i="12"/>
  <c r="AR41" i="12" s="1"/>
  <c r="Z122" i="12"/>
  <c r="AR122" i="12" s="1"/>
  <c r="BA66" i="12"/>
  <c r="W66" i="12"/>
  <c r="Z66" i="12" s="1"/>
  <c r="AR66" i="12" s="1"/>
  <c r="Z56" i="12"/>
  <c r="AR56" i="12" s="1"/>
  <c r="AC179" i="12"/>
  <c r="AF179" i="12" s="1"/>
  <c r="AU179" i="12" s="1"/>
  <c r="BA120" i="12"/>
  <c r="AO179" i="12"/>
  <c r="AC53" i="12"/>
  <c r="AF53" i="12" s="1"/>
  <c r="AU53" i="12" s="1"/>
  <c r="AL123" i="12"/>
  <c r="W143" i="12"/>
  <c r="Z143" i="12" s="1"/>
  <c r="AR143" i="12" s="1"/>
  <c r="Z53" i="12"/>
  <c r="AR53" i="12" s="1"/>
  <c r="AO56" i="12"/>
  <c r="AL179" i="12"/>
  <c r="V55" i="12"/>
  <c r="AN55" i="12" s="1"/>
  <c r="W98" i="12"/>
  <c r="AO98" i="12" s="1"/>
  <c r="AC31" i="12"/>
  <c r="AI31" i="12" s="1"/>
  <c r="AK87" i="12"/>
  <c r="AZ87" i="12" s="1"/>
  <c r="W103" i="12"/>
  <c r="Z103" i="12" s="1"/>
  <c r="AR103" i="12" s="1"/>
  <c r="AO122" i="12"/>
  <c r="AL41" i="12"/>
  <c r="V102" i="12"/>
  <c r="AN102" i="12" s="1"/>
  <c r="BA39" i="12"/>
  <c r="W39" i="12"/>
  <c r="AO39" i="12" s="1"/>
  <c r="W166" i="12"/>
  <c r="AC166" i="12" s="1"/>
  <c r="BA103" i="12"/>
  <c r="BA98" i="12"/>
  <c r="AC58" i="12"/>
  <c r="AI58" i="12" s="1"/>
  <c r="AL110" i="12"/>
  <c r="AL56" i="12"/>
  <c r="BA56" i="12" s="1"/>
  <c r="W181" i="12"/>
  <c r="Z181" i="12" s="1"/>
  <c r="AR181" i="12" s="1"/>
  <c r="V117" i="12"/>
  <c r="Y117" i="12" s="1"/>
  <c r="AQ117" i="12" s="1"/>
  <c r="W173" i="12"/>
  <c r="AC173" i="12" s="1"/>
  <c r="AK30" i="12"/>
  <c r="AO83" i="12"/>
  <c r="Z157" i="12"/>
  <c r="AR157" i="12" s="1"/>
  <c r="AL122" i="12"/>
  <c r="AC41" i="12"/>
  <c r="AF41" i="12" s="1"/>
  <c r="AU41" i="12" s="1"/>
  <c r="AL71" i="12"/>
  <c r="BA71" i="12" s="1"/>
  <c r="W120" i="12"/>
  <c r="AO120" i="12" s="1"/>
  <c r="W133" i="12"/>
  <c r="AO133" i="12" s="1"/>
  <c r="AL17" i="12"/>
  <c r="AO157" i="12"/>
  <c r="AL83" i="12"/>
  <c r="AO142" i="12"/>
  <c r="Z110" i="12"/>
  <c r="AR110" i="12" s="1"/>
  <c r="AC110" i="12"/>
  <c r="AF110" i="12" s="1"/>
  <c r="AU110" i="12" s="1"/>
  <c r="AC83" i="12"/>
  <c r="AF83" i="12" s="1"/>
  <c r="AU83" i="12" s="1"/>
  <c r="AO159" i="12"/>
  <c r="AC159" i="12"/>
  <c r="AF159" i="12" s="1"/>
  <c r="AU159" i="12" s="1"/>
  <c r="Z123" i="12"/>
  <c r="AR123" i="12" s="1"/>
  <c r="AO17" i="12"/>
  <c r="AC17" i="12"/>
  <c r="AF17" i="12" s="1"/>
  <c r="AU17" i="12" s="1"/>
  <c r="W127" i="12"/>
  <c r="AC127" i="12" s="1"/>
  <c r="BA127" i="12"/>
  <c r="AL31" i="12"/>
  <c r="BA31" i="12" s="1"/>
  <c r="BA73" i="12"/>
  <c r="AO123" i="12"/>
  <c r="Z142" i="12"/>
  <c r="AR142" i="12" s="1"/>
  <c r="AL29" i="12"/>
  <c r="AL157" i="12"/>
  <c r="BA157" i="12" s="1"/>
  <c r="AL159" i="12"/>
  <c r="Z31" i="12"/>
  <c r="AR31" i="12" s="1"/>
  <c r="W155" i="12"/>
  <c r="AO155" i="12" s="1"/>
  <c r="AL142" i="12"/>
  <c r="W7" i="12"/>
  <c r="Z7" i="12" s="1"/>
  <c r="AR7" i="12" s="1"/>
  <c r="W42" i="12"/>
  <c r="Z42" i="12" s="1"/>
  <c r="AR42" i="12" s="1"/>
  <c r="W183" i="12"/>
  <c r="Z183" i="12" s="1"/>
  <c r="AR183" i="12" s="1"/>
  <c r="AL134" i="12"/>
  <c r="W152" i="12"/>
  <c r="Z152" i="12" s="1"/>
  <c r="AR152" i="12" s="1"/>
  <c r="AC134" i="12"/>
  <c r="AI134" i="12" s="1"/>
  <c r="AO134" i="12"/>
  <c r="AL85" i="12"/>
  <c r="BA85" i="12" s="1"/>
  <c r="Z140" i="12"/>
  <c r="AR140" i="12" s="1"/>
  <c r="W184" i="12"/>
  <c r="AO184" i="12" s="1"/>
  <c r="V118" i="12"/>
  <c r="Y118" i="12" s="1"/>
  <c r="AQ118" i="12" s="1"/>
  <c r="AL140" i="12"/>
  <c r="AC140" i="12"/>
  <c r="AI140" i="12" s="1"/>
  <c r="AL124" i="12"/>
  <c r="W19" i="12"/>
  <c r="AC19" i="12" s="1"/>
  <c r="AL154" i="12"/>
  <c r="W156" i="12"/>
  <c r="AC156" i="12" s="1"/>
  <c r="AF156" i="12" s="1"/>
  <c r="AU156" i="12" s="1"/>
  <c r="W117" i="12"/>
  <c r="AC117" i="12" s="1"/>
  <c r="AI117" i="12" s="1"/>
  <c r="AL149" i="12"/>
  <c r="AC186" i="12"/>
  <c r="AF186" i="12" s="1"/>
  <c r="AU186" i="12" s="1"/>
  <c r="Z186" i="12"/>
  <c r="AR186" i="12" s="1"/>
  <c r="AL186" i="12"/>
  <c r="BA186" i="12" s="1"/>
  <c r="W11" i="12"/>
  <c r="Z11" i="12" s="1"/>
  <c r="AR11" i="12" s="1"/>
  <c r="W40" i="12"/>
  <c r="AC40" i="12" s="1"/>
  <c r="AC124" i="12"/>
  <c r="AF124" i="12" s="1"/>
  <c r="AU124" i="12" s="1"/>
  <c r="BA42" i="12"/>
  <c r="AC149" i="12"/>
  <c r="AF149" i="12" s="1"/>
  <c r="AU149" i="12" s="1"/>
  <c r="Z124" i="12"/>
  <c r="AR124" i="12" s="1"/>
  <c r="Z149" i="12"/>
  <c r="AR149" i="12" s="1"/>
  <c r="AO154" i="12"/>
  <c r="AC154" i="12"/>
  <c r="AI154" i="12" s="1"/>
  <c r="BA40" i="12"/>
  <c r="BA184" i="12"/>
  <c r="BA11" i="12"/>
  <c r="BA183" i="12"/>
  <c r="L23" i="1"/>
  <c r="W145" i="12"/>
  <c r="AC145" i="12" s="1"/>
  <c r="AL46" i="12"/>
  <c r="BA145" i="12"/>
  <c r="AC46" i="12"/>
  <c r="AI46" i="12" s="1"/>
  <c r="Z46" i="12"/>
  <c r="AR46" i="12" s="1"/>
  <c r="V97" i="12"/>
  <c r="Y97" i="12" s="1"/>
  <c r="AQ97" i="12" s="1"/>
  <c r="BA24" i="12"/>
  <c r="V16" i="12"/>
  <c r="AB16" i="12" s="1"/>
  <c r="Z147" i="12"/>
  <c r="AR147" i="12" s="1"/>
  <c r="AL147" i="12"/>
  <c r="BA147" i="12" s="1"/>
  <c r="AK25" i="12"/>
  <c r="AL51" i="12"/>
  <c r="V86" i="12"/>
  <c r="AB86" i="12" s="1"/>
  <c r="W24" i="12"/>
  <c r="AC24" i="12" s="1"/>
  <c r="BA54" i="12"/>
  <c r="BA7" i="12"/>
  <c r="V44" i="12"/>
  <c r="AB44" i="12" s="1"/>
  <c r="AC49" i="12"/>
  <c r="AF49" i="12" s="1"/>
  <c r="AU49" i="12" s="1"/>
  <c r="AO49" i="12"/>
  <c r="AK137" i="12"/>
  <c r="AZ137" i="12" s="1"/>
  <c r="AO147" i="12"/>
  <c r="AK145" i="12"/>
  <c r="AZ145" i="12" s="1"/>
  <c r="BA182" i="12"/>
  <c r="Z51" i="12"/>
  <c r="AR51" i="12" s="1"/>
  <c r="AK175" i="12"/>
  <c r="AC51" i="12"/>
  <c r="AF51" i="12" s="1"/>
  <c r="AU51" i="12" s="1"/>
  <c r="AL18" i="12"/>
  <c r="BA18" i="12" s="1"/>
  <c r="AC62" i="12"/>
  <c r="AI62" i="12" s="1"/>
  <c r="W36" i="12"/>
  <c r="AC36" i="12" s="1"/>
  <c r="Z62" i="12"/>
  <c r="AR62" i="12" s="1"/>
  <c r="W180" i="12"/>
  <c r="Z180" i="12" s="1"/>
  <c r="AR180" i="12" s="1"/>
  <c r="AK169" i="12"/>
  <c r="W174" i="12"/>
  <c r="AC174" i="12" s="1"/>
  <c r="W137" i="12"/>
  <c r="AC137" i="12" s="1"/>
  <c r="AL62" i="12"/>
  <c r="BA62" i="12" s="1"/>
  <c r="AL49" i="12"/>
  <c r="BA137" i="12"/>
  <c r="V89" i="12"/>
  <c r="Y89" i="12" s="1"/>
  <c r="AQ89" i="12" s="1"/>
  <c r="W91" i="12"/>
  <c r="Z91" i="12" s="1"/>
  <c r="AR91" i="12" s="1"/>
  <c r="W170" i="12"/>
  <c r="AC170" i="12" s="1"/>
  <c r="V138" i="12"/>
  <c r="AB138" i="12" s="1"/>
  <c r="V67" i="12"/>
  <c r="AB67" i="12" s="1"/>
  <c r="W182" i="12"/>
  <c r="AC182" i="12" s="1"/>
  <c r="W54" i="12"/>
  <c r="AC54" i="12" s="1"/>
  <c r="W95" i="12"/>
  <c r="AO95" i="12" s="1"/>
  <c r="AK21" i="12"/>
  <c r="AC85" i="12"/>
  <c r="AF85" i="12" s="1"/>
  <c r="AU85" i="12" s="1"/>
  <c r="AO85" i="12"/>
  <c r="V158" i="12"/>
  <c r="AN158" i="12" s="1"/>
  <c r="AK156" i="12"/>
  <c r="V53" i="12"/>
  <c r="AB53" i="12" s="1"/>
  <c r="W138" i="12"/>
  <c r="AC138" i="12" s="1"/>
  <c r="AL37" i="12"/>
  <c r="BA37" i="12" s="1"/>
  <c r="W104" i="12"/>
  <c r="AO104" i="12" s="1"/>
  <c r="W9" i="12"/>
  <c r="AC9" i="12" s="1"/>
  <c r="AL158" i="12"/>
  <c r="AC175" i="12"/>
  <c r="AI175" i="12" s="1"/>
  <c r="AL25" i="12"/>
  <c r="V13" i="12"/>
  <c r="Y13" i="12" s="1"/>
  <c r="AQ13" i="12" s="1"/>
  <c r="AK183" i="12"/>
  <c r="AK182" i="12"/>
  <c r="AZ182" i="12" s="1"/>
  <c r="AC118" i="12"/>
  <c r="AF118" i="12" s="1"/>
  <c r="AU118" i="12" s="1"/>
  <c r="AK75" i="12"/>
  <c r="AZ75" i="12" s="1"/>
  <c r="AC146" i="12"/>
  <c r="AF146" i="12" s="1"/>
  <c r="AU146" i="12" s="1"/>
  <c r="V106" i="12"/>
  <c r="AB106" i="12" s="1"/>
  <c r="BA72" i="12"/>
  <c r="AK139" i="12"/>
  <c r="AZ139" i="12" s="1"/>
  <c r="AL146" i="12"/>
  <c r="BA146" i="12" s="1"/>
  <c r="AL129" i="12"/>
  <c r="BA129" i="12" s="1"/>
  <c r="AK168" i="12"/>
  <c r="AL128" i="12"/>
  <c r="W45" i="12"/>
  <c r="AC45" i="12" s="1"/>
  <c r="AL150" i="12"/>
  <c r="Z37" i="12"/>
  <c r="AR37" i="12" s="1"/>
  <c r="W72" i="12"/>
  <c r="Z72" i="12" s="1"/>
  <c r="AR72" i="12" s="1"/>
  <c r="AO150" i="12"/>
  <c r="V37" i="12"/>
  <c r="AB37" i="12" s="1"/>
  <c r="V185" i="12"/>
  <c r="AN185" i="12" s="1"/>
  <c r="W57" i="12"/>
  <c r="AO57" i="12" s="1"/>
  <c r="Z150" i="12"/>
  <c r="AR150" i="12" s="1"/>
  <c r="AC18" i="12"/>
  <c r="AF18" i="12" s="1"/>
  <c r="AU18" i="12" s="1"/>
  <c r="AO112" i="12"/>
  <c r="AC158" i="12"/>
  <c r="AF158" i="12" s="1"/>
  <c r="AU158" i="12" s="1"/>
  <c r="AO18" i="12"/>
  <c r="BA57" i="12"/>
  <c r="BA45" i="12"/>
  <c r="AO158" i="12"/>
  <c r="BA138" i="12"/>
  <c r="V121" i="12"/>
  <c r="AB121" i="12" s="1"/>
  <c r="AL12" i="12"/>
  <c r="BA12" i="12" s="1"/>
  <c r="V82" i="12"/>
  <c r="AB82" i="12" s="1"/>
  <c r="AK28" i="12"/>
  <c r="W136" i="12"/>
  <c r="Z136" i="12" s="1"/>
  <c r="AR136" i="12" s="1"/>
  <c r="W8" i="12"/>
  <c r="AO8" i="12" s="1"/>
  <c r="AK88" i="12"/>
  <c r="AZ88" i="12" s="1"/>
  <c r="Z112" i="12"/>
  <c r="AR112" i="12" s="1"/>
  <c r="Z128" i="12"/>
  <c r="AR128" i="12" s="1"/>
  <c r="BA69" i="12"/>
  <c r="AL112" i="12"/>
  <c r="V60" i="12"/>
  <c r="AB60" i="12" s="1"/>
  <c r="AK178" i="12"/>
  <c r="AZ178" i="12" s="1"/>
  <c r="AL175" i="12"/>
  <c r="V152" i="12"/>
  <c r="Y152" i="12" s="1"/>
  <c r="AQ152" i="12" s="1"/>
  <c r="Z175" i="12"/>
  <c r="AR175" i="12" s="1"/>
  <c r="V48" i="12"/>
  <c r="AB48" i="12" s="1"/>
  <c r="V74" i="12"/>
  <c r="AN74" i="12" s="1"/>
  <c r="W55" i="12"/>
  <c r="Z55" i="12" s="1"/>
  <c r="AR55" i="12" s="1"/>
  <c r="W69" i="12"/>
  <c r="Z69" i="12" s="1"/>
  <c r="AR69" i="12" s="1"/>
  <c r="AK8" i="12"/>
  <c r="AZ8" i="12" s="1"/>
  <c r="W52" i="12"/>
  <c r="AC52" i="12" s="1"/>
  <c r="V125" i="12"/>
  <c r="Y125" i="12" s="1"/>
  <c r="AQ125" i="12" s="1"/>
  <c r="Z146" i="12"/>
  <c r="AR146" i="12" s="1"/>
  <c r="AL118" i="12"/>
  <c r="BA118" i="12" s="1"/>
  <c r="AC37" i="12"/>
  <c r="AI37" i="12" s="1"/>
  <c r="W125" i="12"/>
  <c r="AO125" i="12" s="1"/>
  <c r="V70" i="12"/>
  <c r="Y70" i="12" s="1"/>
  <c r="AQ70" i="12" s="1"/>
  <c r="V81" i="12"/>
  <c r="Y81" i="12" s="1"/>
  <c r="AQ81" i="12" s="1"/>
  <c r="AK180" i="12"/>
  <c r="V107" i="12"/>
  <c r="AN107" i="12" s="1"/>
  <c r="AL30" i="12"/>
  <c r="BA30" i="12" s="1"/>
  <c r="W160" i="12"/>
  <c r="AO160" i="12" s="1"/>
  <c r="V148" i="12"/>
  <c r="AN148" i="12" s="1"/>
  <c r="W5" i="12"/>
  <c r="Z5" i="12" s="1"/>
  <c r="AR5" i="12" s="1"/>
  <c r="W78" i="12"/>
  <c r="AC78" i="12" s="1"/>
  <c r="AI78" i="12" s="1"/>
  <c r="AC128" i="12"/>
  <c r="AI128" i="12" s="1"/>
  <c r="AO118" i="12"/>
  <c r="AO115" i="12"/>
  <c r="Z115" i="12"/>
  <c r="AR115" i="12" s="1"/>
  <c r="AK85" i="12"/>
  <c r="V41" i="12"/>
  <c r="AN41" i="12" s="1"/>
  <c r="W94" i="12"/>
  <c r="AC94" i="12" s="1"/>
  <c r="W161" i="12"/>
  <c r="AO161" i="12" s="1"/>
  <c r="AK164" i="12"/>
  <c r="AK129" i="12"/>
  <c r="AK40" i="12"/>
  <c r="W187" i="12"/>
  <c r="AO187" i="12" s="1"/>
  <c r="AL114" i="12"/>
  <c r="BA114" i="12" s="1"/>
  <c r="W38" i="12"/>
  <c r="AC38" i="12" s="1"/>
  <c r="AL90" i="12"/>
  <c r="BA90" i="12" s="1"/>
  <c r="AK12" i="12"/>
  <c r="AZ12" i="12" s="1"/>
  <c r="Z33" i="12"/>
  <c r="AR33" i="12" s="1"/>
  <c r="AC33" i="12"/>
  <c r="AI33" i="12" s="1"/>
  <c r="AC80" i="12"/>
  <c r="AF80" i="12" s="1"/>
  <c r="AU80" i="12" s="1"/>
  <c r="BA87" i="12"/>
  <c r="Z80" i="12"/>
  <c r="AR80" i="12" s="1"/>
  <c r="Z141" i="12"/>
  <c r="AR141" i="12" s="1"/>
  <c r="BA32" i="12"/>
  <c r="BA113" i="12"/>
  <c r="AC141" i="12"/>
  <c r="AF141" i="12" s="1"/>
  <c r="AU141" i="12" s="1"/>
  <c r="AC12" i="12"/>
  <c r="AI12" i="12" s="1"/>
  <c r="AO30" i="12"/>
  <c r="AO12" i="12"/>
  <c r="AC114" i="12"/>
  <c r="AF114" i="12" s="1"/>
  <c r="AU114" i="12" s="1"/>
  <c r="Z75" i="12"/>
  <c r="AR75" i="12" s="1"/>
  <c r="AO114" i="12"/>
  <c r="V186" i="12"/>
  <c r="AB186" i="12" s="1"/>
  <c r="AL115" i="12"/>
  <c r="Z176" i="12"/>
  <c r="AR176" i="12" s="1"/>
  <c r="AK101" i="12"/>
  <c r="BA81" i="12"/>
  <c r="V62" i="12"/>
  <c r="Y62" i="12" s="1"/>
  <c r="AQ62" i="12" s="1"/>
  <c r="AK147" i="12"/>
  <c r="AO176" i="12"/>
  <c r="Z25" i="12"/>
  <c r="AR25" i="12" s="1"/>
  <c r="AK5" i="12"/>
  <c r="AZ5" i="12" s="1"/>
  <c r="AK160" i="12"/>
  <c r="W126" i="12"/>
  <c r="AC126" i="12" s="1"/>
  <c r="AL27" i="12"/>
  <c r="AO27" i="12"/>
  <c r="BA38" i="12"/>
  <c r="AL96" i="12"/>
  <c r="BA96" i="12" s="1"/>
  <c r="AC25" i="12"/>
  <c r="AF25" i="12" s="1"/>
  <c r="AU25" i="12" s="1"/>
  <c r="V79" i="12"/>
  <c r="AB79" i="12" s="1"/>
  <c r="AK176" i="12"/>
  <c r="AZ176" i="12" s="1"/>
  <c r="V84" i="12"/>
  <c r="AN84" i="12" s="1"/>
  <c r="V135" i="12"/>
  <c r="Y135" i="12" s="1"/>
  <c r="AQ135" i="12" s="1"/>
  <c r="Z43" i="12"/>
  <c r="AR43" i="12" s="1"/>
  <c r="BA161" i="12"/>
  <c r="V98" i="12"/>
  <c r="AB98" i="12" s="1"/>
  <c r="AC30" i="12"/>
  <c r="AI30" i="12" s="1"/>
  <c r="AK93" i="12"/>
  <c r="AZ93" i="12" s="1"/>
  <c r="AK149" i="12"/>
  <c r="AL10" i="12"/>
  <c r="BA10" i="12" s="1"/>
  <c r="AC139" i="12"/>
  <c r="AF139" i="12" s="1"/>
  <c r="AU139" i="12" s="1"/>
  <c r="AC75" i="12"/>
  <c r="AF75" i="12" s="1"/>
  <c r="AU75" i="12" s="1"/>
  <c r="AO139" i="12"/>
  <c r="BA60" i="12"/>
  <c r="V116" i="12"/>
  <c r="AN116" i="12" s="1"/>
  <c r="AL80" i="12"/>
  <c r="BA80" i="12" s="1"/>
  <c r="W113" i="12"/>
  <c r="AO113" i="12" s="1"/>
  <c r="W32" i="12"/>
  <c r="AO32" i="12" s="1"/>
  <c r="AL176" i="12"/>
  <c r="BA78" i="12"/>
  <c r="Z27" i="12"/>
  <c r="AR27" i="12" s="1"/>
  <c r="W77" i="12"/>
  <c r="AC77" i="12" s="1"/>
  <c r="Z101" i="12"/>
  <c r="AR101" i="12" s="1"/>
  <c r="V131" i="12"/>
  <c r="AB131" i="12" s="1"/>
  <c r="AK14" i="12"/>
  <c r="V36" i="12"/>
  <c r="AB36" i="12" s="1"/>
  <c r="Z13" i="12"/>
  <c r="AR13" i="12" s="1"/>
  <c r="AC22" i="12"/>
  <c r="AI22" i="12" s="1"/>
  <c r="AK136" i="12"/>
  <c r="V20" i="12"/>
  <c r="Y20" i="12" s="1"/>
  <c r="AQ20" i="12" s="1"/>
  <c r="V146" i="12"/>
  <c r="AB146" i="12" s="1"/>
  <c r="V104" i="12"/>
  <c r="Y104" i="12" s="1"/>
  <c r="AQ104" i="12" s="1"/>
  <c r="W20" i="12"/>
  <c r="AC20" i="12" s="1"/>
  <c r="AK43" i="12"/>
  <c r="AL141" i="12"/>
  <c r="BA141" i="12" s="1"/>
  <c r="V162" i="12"/>
  <c r="AN162" i="12" s="1"/>
  <c r="AK24" i="12"/>
  <c r="Z22" i="12"/>
  <c r="AR22" i="12" s="1"/>
  <c r="AO67" i="12"/>
  <c r="Z106" i="12"/>
  <c r="AR106" i="12" s="1"/>
  <c r="W60" i="12"/>
  <c r="AC60" i="12" s="1"/>
  <c r="AO101" i="12"/>
  <c r="AK50" i="12"/>
  <c r="AZ50" i="12" s="1"/>
  <c r="W151" i="12"/>
  <c r="AC151" i="12" s="1"/>
  <c r="AO13" i="12"/>
  <c r="AC89" i="12"/>
  <c r="AF89" i="12" s="1"/>
  <c r="AU89" i="12" s="1"/>
  <c r="W165" i="12"/>
  <c r="AC165" i="12" s="1"/>
  <c r="BA94" i="12"/>
  <c r="AL101" i="12"/>
  <c r="AK73" i="12"/>
  <c r="W135" i="12"/>
  <c r="AO135" i="12" s="1"/>
  <c r="AL75" i="12"/>
  <c r="Z89" i="12"/>
  <c r="AR89" i="12" s="1"/>
  <c r="AK155" i="12"/>
  <c r="AK96" i="12"/>
  <c r="AL13" i="12"/>
  <c r="V54" i="12"/>
  <c r="AN54" i="12" s="1"/>
  <c r="AL22" i="12"/>
  <c r="BA22" i="12" s="1"/>
  <c r="AL43" i="12"/>
  <c r="W87" i="12"/>
  <c r="Z87" i="12" s="1"/>
  <c r="AR87" i="12" s="1"/>
  <c r="AC43" i="12"/>
  <c r="AF43" i="12" s="1"/>
  <c r="AU43" i="12" s="1"/>
  <c r="BA20" i="12"/>
  <c r="Z67" i="12"/>
  <c r="AR67" i="12" s="1"/>
  <c r="AO106" i="12"/>
  <c r="AL106" i="12"/>
  <c r="W81" i="12"/>
  <c r="AC81" i="12" s="1"/>
  <c r="AL139" i="12"/>
  <c r="BA139" i="12" s="1"/>
  <c r="W65" i="12"/>
  <c r="AC65" i="12" s="1"/>
  <c r="AL33" i="12"/>
  <c r="BA33" i="12" s="1"/>
  <c r="AL28" i="12"/>
  <c r="AL89" i="12"/>
  <c r="BA89" i="12" s="1"/>
  <c r="AL67" i="12"/>
  <c r="AK68" i="12"/>
  <c r="V134" i="12"/>
  <c r="Y134" i="12" s="1"/>
  <c r="AQ134" i="12" s="1"/>
  <c r="V171" i="12"/>
  <c r="AB171" i="12" s="1"/>
  <c r="V91" i="12"/>
  <c r="AN91" i="12" s="1"/>
  <c r="AK110" i="12"/>
  <c r="AK99" i="12"/>
  <c r="AZ99" i="12" s="1"/>
  <c r="W84" i="12"/>
  <c r="AO84" i="12" s="1"/>
  <c r="V39" i="12"/>
  <c r="AB39" i="12" s="1"/>
  <c r="W171" i="12"/>
  <c r="Z171" i="12" s="1"/>
  <c r="AR171" i="12" s="1"/>
  <c r="W76" i="12"/>
  <c r="AO76" i="12" s="1"/>
  <c r="Z92" i="12"/>
  <c r="AR92" i="12" s="1"/>
  <c r="AL93" i="12"/>
  <c r="V151" i="12"/>
  <c r="AN151" i="12" s="1"/>
  <c r="W48" i="12"/>
  <c r="AC48" i="12" s="1"/>
  <c r="AK157" i="12"/>
  <c r="W63" i="12"/>
  <c r="AC63" i="12" s="1"/>
  <c r="AK144" i="12"/>
  <c r="V165" i="12"/>
  <c r="AN165" i="12" s="1"/>
  <c r="AL92" i="12"/>
  <c r="AK18" i="12"/>
  <c r="AZ18" i="12" s="1"/>
  <c r="AL168" i="12"/>
  <c r="BA168" i="12" s="1"/>
  <c r="BA76" i="12"/>
  <c r="V184" i="12"/>
  <c r="AN184" i="12" s="1"/>
  <c r="AK100" i="12"/>
  <c r="AK123" i="12"/>
  <c r="AZ123" i="12" s="1"/>
  <c r="AL100" i="12"/>
  <c r="W130" i="12"/>
  <c r="AO130" i="12" s="1"/>
  <c r="V47" i="12"/>
  <c r="Y47" i="12" s="1"/>
  <c r="AQ47" i="12" s="1"/>
  <c r="AK115" i="12"/>
  <c r="AZ115" i="12" s="1"/>
  <c r="V90" i="12"/>
  <c r="AN90" i="12" s="1"/>
  <c r="AK108" i="12"/>
  <c r="AZ108" i="12" s="1"/>
  <c r="AL26" i="12"/>
  <c r="W119" i="12"/>
  <c r="Z119" i="12" s="1"/>
  <c r="AR119" i="12" s="1"/>
  <c r="V64" i="12"/>
  <c r="AN64" i="12" s="1"/>
  <c r="AO92" i="12"/>
  <c r="BA171" i="12"/>
  <c r="Z26" i="12"/>
  <c r="AR26" i="12" s="1"/>
  <c r="W162" i="12"/>
  <c r="AC162" i="12" s="1"/>
  <c r="V77" i="12"/>
  <c r="AB77" i="12" s="1"/>
  <c r="V126" i="12"/>
  <c r="AB126" i="12" s="1"/>
  <c r="AL105" i="12"/>
  <c r="V9" i="12"/>
  <c r="AN9" i="12" s="1"/>
  <c r="AC26" i="12"/>
  <c r="AI26" i="12" s="1"/>
  <c r="AO10" i="12"/>
  <c r="Z28" i="12"/>
  <c r="AR28" i="12" s="1"/>
  <c r="Z93" i="12"/>
  <c r="AR93" i="12" s="1"/>
  <c r="AC168" i="12"/>
  <c r="AI168" i="12" s="1"/>
  <c r="AO100" i="12"/>
  <c r="AO93" i="12"/>
  <c r="AO168" i="12"/>
  <c r="AO105" i="12"/>
  <c r="Z105" i="12"/>
  <c r="AR105" i="12" s="1"/>
  <c r="AC100" i="12"/>
  <c r="AF100" i="12" s="1"/>
  <c r="AU100" i="12" s="1"/>
  <c r="BA162" i="12"/>
  <c r="Z10" i="12"/>
  <c r="AR10" i="12" s="1"/>
  <c r="AC28" i="12"/>
  <c r="AI28" i="12" s="1"/>
  <c r="BA160" i="12"/>
  <c r="BA61" i="12"/>
  <c r="AO185" i="12"/>
  <c r="Z185" i="12"/>
  <c r="AR185" i="12" s="1"/>
  <c r="BA164" i="12"/>
  <c r="AO109" i="12"/>
  <c r="Z111" i="12"/>
  <c r="AR111" i="12" s="1"/>
  <c r="AC109" i="12"/>
  <c r="AI109" i="12" s="1"/>
  <c r="AO111" i="12"/>
  <c r="AM176" i="12"/>
  <c r="AA176" i="12"/>
  <c r="X176" i="12"/>
  <c r="AP176" i="12" s="1"/>
  <c r="AY85" i="12"/>
  <c r="AY188" i="12"/>
  <c r="AA35" i="12"/>
  <c r="X35" i="12"/>
  <c r="AP35" i="12" s="1"/>
  <c r="AM35" i="12"/>
  <c r="Y181" i="12"/>
  <c r="AQ181" i="12" s="1"/>
  <c r="AB181" i="12"/>
  <c r="AN181" i="12"/>
  <c r="Y33" i="12"/>
  <c r="AQ33" i="12" s="1"/>
  <c r="AB33" i="12"/>
  <c r="AN33" i="12"/>
  <c r="AN113" i="12"/>
  <c r="AB113" i="12"/>
  <c r="Y113" i="12"/>
  <c r="AQ113" i="12" s="1"/>
  <c r="AY156" i="12"/>
  <c r="AY113" i="12"/>
  <c r="X128" i="12"/>
  <c r="AP128" i="12" s="1"/>
  <c r="AA128" i="12"/>
  <c r="AM128" i="12"/>
  <c r="AA20" i="12"/>
  <c r="X20" i="12"/>
  <c r="AP20" i="12" s="1"/>
  <c r="AM20" i="12"/>
  <c r="AM60" i="12"/>
  <c r="X60" i="12"/>
  <c r="AP60" i="12" s="1"/>
  <c r="AA60" i="12"/>
  <c r="AY140" i="12"/>
  <c r="AY164" i="12"/>
  <c r="X161" i="12"/>
  <c r="AP161" i="12" s="1"/>
  <c r="AM161" i="12"/>
  <c r="AA161" i="12"/>
  <c r="AY143" i="12"/>
  <c r="AM86" i="12"/>
  <c r="X86" i="12"/>
  <c r="AP86" i="12" s="1"/>
  <c r="AA86" i="12"/>
  <c r="AY69" i="12"/>
  <c r="AM85" i="12"/>
  <c r="X85" i="12"/>
  <c r="AP85" i="12" s="1"/>
  <c r="AA85" i="12"/>
  <c r="AM119" i="12"/>
  <c r="X119" i="12"/>
  <c r="AP119" i="12" s="1"/>
  <c r="AA119" i="12"/>
  <c r="AA135" i="12"/>
  <c r="AM135" i="12"/>
  <c r="X135" i="12"/>
  <c r="AP135" i="12" s="1"/>
  <c r="AM104" i="12"/>
  <c r="X104" i="12"/>
  <c r="AP104" i="12" s="1"/>
  <c r="AA104" i="12"/>
  <c r="AM36" i="12"/>
  <c r="AA36" i="12"/>
  <c r="X36" i="12"/>
  <c r="AP36" i="12" s="1"/>
  <c r="AY22" i="12"/>
  <c r="AY14" i="12"/>
  <c r="AM158" i="12"/>
  <c r="AA158" i="12"/>
  <c r="X158" i="12"/>
  <c r="AP158" i="12" s="1"/>
  <c r="AY16" i="12"/>
  <c r="AY180" i="12"/>
  <c r="AY105" i="12"/>
  <c r="AM137" i="12"/>
  <c r="AA137" i="12"/>
  <c r="X137" i="12"/>
  <c r="AP137" i="12" s="1"/>
  <c r="AM59" i="12"/>
  <c r="X59" i="12"/>
  <c r="AP59" i="12" s="1"/>
  <c r="AA59" i="12"/>
  <c r="AY61" i="12"/>
  <c r="X67" i="12"/>
  <c r="AP67" i="12" s="1"/>
  <c r="AA67" i="12"/>
  <c r="AM67" i="12"/>
  <c r="AA24" i="12"/>
  <c r="X24" i="12"/>
  <c r="AP24" i="12" s="1"/>
  <c r="AM24" i="12"/>
  <c r="X8" i="12"/>
  <c r="AP8" i="12" s="1"/>
  <c r="AA8" i="12"/>
  <c r="AM8" i="12"/>
  <c r="AY83" i="12"/>
  <c r="AY89" i="12"/>
  <c r="AZ77" i="12"/>
  <c r="AZ98" i="12"/>
  <c r="AZ82" i="12"/>
  <c r="Y157" i="12"/>
  <c r="AQ157" i="12" s="1"/>
  <c r="AN157" i="12"/>
  <c r="AB157" i="12"/>
  <c r="Y93" i="12"/>
  <c r="AQ93" i="12" s="1"/>
  <c r="AB93" i="12"/>
  <c r="AN93" i="12"/>
  <c r="AZ126" i="12"/>
  <c r="AZ39" i="12"/>
  <c r="BA21" i="12"/>
  <c r="AN166" i="12"/>
  <c r="Y166" i="12"/>
  <c r="AQ166" i="12" s="1"/>
  <c r="AB166" i="12"/>
  <c r="Y46" i="12"/>
  <c r="AQ46" i="12" s="1"/>
  <c r="AB46" i="12"/>
  <c r="AN46" i="12"/>
  <c r="AB52" i="12"/>
  <c r="Y52" i="12"/>
  <c r="AQ52" i="12" s="1"/>
  <c r="AN52" i="12"/>
  <c r="Y95" i="12"/>
  <c r="AQ95" i="12" s="1"/>
  <c r="AB95" i="12"/>
  <c r="AN95" i="12"/>
  <c r="Y61" i="12"/>
  <c r="AQ61" i="12" s="1"/>
  <c r="AB61" i="12"/>
  <c r="AN61" i="12"/>
  <c r="AZ44" i="12"/>
  <c r="AZ132" i="12"/>
  <c r="AZ140" i="12"/>
  <c r="AZ124" i="12"/>
  <c r="AZ10" i="12"/>
  <c r="BA178" i="12"/>
  <c r="AZ105" i="12"/>
  <c r="AZ45" i="12"/>
  <c r="AN11" i="12"/>
  <c r="Y11" i="12"/>
  <c r="AQ11" i="12" s="1"/>
  <c r="AB11" i="12"/>
  <c r="AZ86" i="12"/>
  <c r="AN159" i="12"/>
  <c r="AB159" i="12"/>
  <c r="Y159" i="12"/>
  <c r="AQ159" i="12" s="1"/>
  <c r="BA163" i="12"/>
  <c r="AN19" i="12"/>
  <c r="AB19" i="12"/>
  <c r="Y19" i="12"/>
  <c r="AQ19" i="12" s="1"/>
  <c r="AF185" i="12"/>
  <c r="AU185" i="12" s="1"/>
  <c r="AI185" i="12"/>
  <c r="M39" i="1" s="1"/>
  <c r="AI167" i="12"/>
  <c r="AF167" i="12"/>
  <c r="AU167" i="12" s="1"/>
  <c r="AZ74" i="12"/>
  <c r="AI61" i="12"/>
  <c r="AF61" i="12"/>
  <c r="AU61" i="12" s="1"/>
  <c r="AZ33" i="12"/>
  <c r="AF29" i="12"/>
  <c r="AU29" i="12" s="1"/>
  <c r="AI29" i="12"/>
  <c r="AZ22" i="12"/>
  <c r="AY17" i="12"/>
  <c r="AM91" i="12"/>
  <c r="X91" i="12"/>
  <c r="AP91" i="12" s="1"/>
  <c r="AA91" i="12"/>
  <c r="AA70" i="12"/>
  <c r="X70" i="12"/>
  <c r="AP70" i="12" s="1"/>
  <c r="AM70" i="12"/>
  <c r="BA58" i="12"/>
  <c r="AZ11" i="12"/>
  <c r="AI97" i="12"/>
  <c r="AF97" i="12"/>
  <c r="AU97" i="12" s="1"/>
  <c r="X79" i="12"/>
  <c r="AP79" i="12" s="1"/>
  <c r="AM79" i="12"/>
  <c r="AA79" i="12"/>
  <c r="X38" i="12"/>
  <c r="AP38" i="12" s="1"/>
  <c r="AA38" i="12"/>
  <c r="AM38" i="12"/>
  <c r="AY19" i="12"/>
  <c r="AY111" i="12"/>
  <c r="AY147" i="12"/>
  <c r="AY115" i="12"/>
  <c r="AM121" i="12"/>
  <c r="X121" i="12"/>
  <c r="AP121" i="12" s="1"/>
  <c r="AA121" i="12"/>
  <c r="AY25" i="12"/>
  <c r="AY53" i="12"/>
  <c r="AM82" i="12"/>
  <c r="AA82" i="12"/>
  <c r="X82" i="12"/>
  <c r="AP82" i="12" s="1"/>
  <c r="X101" i="12"/>
  <c r="AP101" i="12" s="1"/>
  <c r="AM101" i="12"/>
  <c r="AA101" i="12"/>
  <c r="AY119" i="12"/>
  <c r="AY71" i="12"/>
  <c r="AY48" i="12"/>
  <c r="AY28" i="12"/>
  <c r="X55" i="12"/>
  <c r="AP55" i="12" s="1"/>
  <c r="AA55" i="12"/>
  <c r="AM55" i="12"/>
  <c r="AY62" i="12"/>
  <c r="AY74" i="12"/>
  <c r="AY179" i="12"/>
  <c r="AY36" i="12"/>
  <c r="X95" i="12"/>
  <c r="AP95" i="12" s="1"/>
  <c r="AM95" i="12"/>
  <c r="AA95" i="12"/>
  <c r="AM47" i="12"/>
  <c r="X47" i="12"/>
  <c r="AP47" i="12" s="1"/>
  <c r="AA47" i="12"/>
  <c r="AY37" i="12"/>
  <c r="AY9" i="12"/>
  <c r="AY163" i="12"/>
  <c r="AY99" i="12"/>
  <c r="AY44" i="12"/>
  <c r="X14" i="12"/>
  <c r="AP14" i="12" s="1"/>
  <c r="AM14" i="12"/>
  <c r="AA14" i="12"/>
  <c r="AZ128" i="12"/>
  <c r="AN178" i="12"/>
  <c r="AB178" i="12"/>
  <c r="Y178" i="12"/>
  <c r="AQ178" i="12" s="1"/>
  <c r="AN144" i="12"/>
  <c r="Y144" i="12"/>
  <c r="AQ144" i="12" s="1"/>
  <c r="AB144" i="12"/>
  <c r="AO102" i="12"/>
  <c r="Z102" i="12"/>
  <c r="AR102" i="12" s="1"/>
  <c r="AC102" i="12"/>
  <c r="AZ54" i="12"/>
  <c r="AZ134" i="12"/>
  <c r="Y49" i="12"/>
  <c r="AQ49" i="12" s="1"/>
  <c r="AN49" i="12"/>
  <c r="AB49" i="12"/>
  <c r="AZ51" i="12"/>
  <c r="AB132" i="12"/>
  <c r="AN132" i="12"/>
  <c r="Y132" i="12"/>
  <c r="AQ132" i="12" s="1"/>
  <c r="Y140" i="12"/>
  <c r="AQ140" i="12" s="1"/>
  <c r="AN140" i="12"/>
  <c r="AB140" i="12"/>
  <c r="AC44" i="12"/>
  <c r="Z44" i="12"/>
  <c r="AR44" i="12" s="1"/>
  <c r="AO44" i="12"/>
  <c r="Y124" i="12"/>
  <c r="AQ124" i="12" s="1"/>
  <c r="AB124" i="12"/>
  <c r="AN124" i="12"/>
  <c r="Y10" i="12"/>
  <c r="AQ10" i="12" s="1"/>
  <c r="AN10" i="12"/>
  <c r="AB10" i="12"/>
  <c r="BA82" i="12"/>
  <c r="Y66" i="12"/>
  <c r="AQ66" i="12" s="1"/>
  <c r="AB66" i="12"/>
  <c r="AN66" i="12"/>
  <c r="AN127" i="12"/>
  <c r="AB127" i="12"/>
  <c r="Y127" i="12"/>
  <c r="AQ127" i="12" s="1"/>
  <c r="AZ17" i="12"/>
  <c r="AZ162" i="12"/>
  <c r="AN24" i="12"/>
  <c r="AB24" i="12"/>
  <c r="Y24" i="12"/>
  <c r="AQ24" i="12" s="1"/>
  <c r="AZ19" i="12"/>
  <c r="AB30" i="12"/>
  <c r="AN30" i="12"/>
  <c r="Y30" i="12"/>
  <c r="AQ30" i="12" s="1"/>
  <c r="AI27" i="12"/>
  <c r="AF27" i="12"/>
  <c r="AU27" i="12" s="1"/>
  <c r="AF112" i="12"/>
  <c r="AU112" i="12" s="1"/>
  <c r="AI112" i="12"/>
  <c r="AI107" i="12"/>
  <c r="AF107" i="12"/>
  <c r="AU107" i="12" s="1"/>
  <c r="AI121" i="12"/>
  <c r="AF121" i="12"/>
  <c r="AU121" i="12" s="1"/>
  <c r="AZ76" i="12"/>
  <c r="AI50" i="12"/>
  <c r="AF50" i="12"/>
  <c r="AU50" i="12" s="1"/>
  <c r="AC132" i="12"/>
  <c r="Z132" i="12"/>
  <c r="AR132" i="12" s="1"/>
  <c r="AO132" i="12"/>
  <c r="AF115" i="12"/>
  <c r="AU115" i="12" s="1"/>
  <c r="AI115" i="12"/>
  <c r="AB22" i="12"/>
  <c r="Y22" i="12"/>
  <c r="AQ22" i="12" s="1"/>
  <c r="AN22" i="12"/>
  <c r="AY103" i="12"/>
  <c r="AY76" i="12"/>
  <c r="AY183" i="12"/>
  <c r="Y72" i="12"/>
  <c r="AQ72" i="12" s="1"/>
  <c r="AN72" i="12"/>
  <c r="AB72" i="12"/>
  <c r="AB45" i="12"/>
  <c r="Y45" i="12"/>
  <c r="AQ45" i="12" s="1"/>
  <c r="AN45" i="12"/>
  <c r="AZ170" i="12"/>
  <c r="AY13" i="12"/>
  <c r="AY12" i="12"/>
  <c r="AA29" i="12"/>
  <c r="AM29" i="12"/>
  <c r="X29" i="12"/>
  <c r="AP29" i="12" s="1"/>
  <c r="AY122" i="12"/>
  <c r="AY145" i="12"/>
  <c r="AY149" i="12"/>
  <c r="AY38" i="12"/>
  <c r="AA16" i="12"/>
  <c r="AM16" i="12"/>
  <c r="X16" i="12"/>
  <c r="AP16" i="12" s="1"/>
  <c r="AY144" i="12"/>
  <c r="AA23" i="12"/>
  <c r="AM23" i="12"/>
  <c r="X23" i="12"/>
  <c r="AP23" i="12" s="1"/>
  <c r="AY70" i="12"/>
  <c r="X141" i="12"/>
  <c r="AP141" i="12" s="1"/>
  <c r="AM141" i="12"/>
  <c r="AA141" i="12"/>
  <c r="AY130" i="12"/>
  <c r="X69" i="12"/>
  <c r="AP69" i="12" s="1"/>
  <c r="AA69" i="12"/>
  <c r="AM69" i="12"/>
  <c r="AY97" i="12"/>
  <c r="X87" i="12"/>
  <c r="AP87" i="12" s="1"/>
  <c r="AA87" i="12"/>
  <c r="AM87" i="12"/>
  <c r="AY100" i="12"/>
  <c r="AA18" i="12"/>
  <c r="AM18" i="12"/>
  <c r="X18" i="12"/>
  <c r="AP18" i="12" s="1"/>
  <c r="AA163" i="12"/>
  <c r="AM163" i="12"/>
  <c r="X163" i="12"/>
  <c r="AP163" i="12" s="1"/>
  <c r="X130" i="12"/>
  <c r="AP130" i="12" s="1"/>
  <c r="AA130" i="12"/>
  <c r="AM130" i="12"/>
  <c r="X72" i="12"/>
  <c r="AP72" i="12" s="1"/>
  <c r="AM72" i="12"/>
  <c r="AA72" i="12"/>
  <c r="AY34" i="12"/>
  <c r="X73" i="12"/>
  <c r="AP73" i="12" s="1"/>
  <c r="AM73" i="12"/>
  <c r="AA73" i="12"/>
  <c r="X65" i="12"/>
  <c r="AP65" i="12" s="1"/>
  <c r="AM65" i="12"/>
  <c r="AA65" i="12"/>
  <c r="X105" i="12"/>
  <c r="AP105" i="12" s="1"/>
  <c r="AM105" i="12"/>
  <c r="AA105" i="12"/>
  <c r="AA185" i="12"/>
  <c r="AM185" i="12"/>
  <c r="X185" i="12"/>
  <c r="AP185" i="12" s="1"/>
  <c r="AY141" i="12"/>
  <c r="AY124" i="12"/>
  <c r="AM41" i="12"/>
  <c r="X41" i="12"/>
  <c r="AP41" i="12" s="1"/>
  <c r="AA41" i="12"/>
  <c r="AY15" i="12"/>
  <c r="AY158" i="12"/>
  <c r="AY131" i="12"/>
  <c r="AN128" i="12"/>
  <c r="Y128" i="12"/>
  <c r="AQ128" i="12" s="1"/>
  <c r="AB128" i="12"/>
  <c r="AZ184" i="12"/>
  <c r="AN100" i="12"/>
  <c r="AB100" i="12"/>
  <c r="Y100" i="12"/>
  <c r="AQ100" i="12" s="1"/>
  <c r="AZ36" i="12"/>
  <c r="AZ152" i="12"/>
  <c r="AN149" i="12"/>
  <c r="AB149" i="12"/>
  <c r="Y149" i="12"/>
  <c r="AQ149" i="12" s="1"/>
  <c r="Y101" i="12"/>
  <c r="AQ101" i="12" s="1"/>
  <c r="AN101" i="12"/>
  <c r="AB101" i="12"/>
  <c r="AZ165" i="12"/>
  <c r="AC68" i="12"/>
  <c r="Z68" i="12"/>
  <c r="AR68" i="12" s="1"/>
  <c r="AO68" i="12"/>
  <c r="AZ20" i="12"/>
  <c r="AZ146" i="12"/>
  <c r="AZ49" i="12"/>
  <c r="AN139" i="12"/>
  <c r="Y139" i="12"/>
  <c r="AQ139" i="12" s="1"/>
  <c r="AB139" i="12"/>
  <c r="Y51" i="12"/>
  <c r="AQ51" i="12" s="1"/>
  <c r="AB51" i="12"/>
  <c r="AN51" i="12"/>
  <c r="BA167" i="12"/>
  <c r="AN21" i="12"/>
  <c r="AB21" i="12"/>
  <c r="Y21" i="12"/>
  <c r="AQ21" i="12" s="1"/>
  <c r="AZ80" i="12"/>
  <c r="Y83" i="12"/>
  <c r="AQ83" i="12" s="1"/>
  <c r="AB83" i="12"/>
  <c r="AN83" i="12"/>
  <c r="AB12" i="12"/>
  <c r="Y12" i="12"/>
  <c r="AQ12" i="12" s="1"/>
  <c r="AN12" i="12"/>
  <c r="AZ107" i="12"/>
  <c r="AZ66" i="12"/>
  <c r="AZ127" i="12"/>
  <c r="AN17" i="12"/>
  <c r="Y17" i="12"/>
  <c r="AQ17" i="12" s="1"/>
  <c r="AB17" i="12"/>
  <c r="AZ130" i="12"/>
  <c r="Y76" i="12"/>
  <c r="AQ76" i="12" s="1"/>
  <c r="AB76" i="12"/>
  <c r="AN76" i="12"/>
  <c r="AF21" i="12"/>
  <c r="AU21" i="12" s="1"/>
  <c r="AI21" i="12"/>
  <c r="BA132" i="12"/>
  <c r="AZ118" i="12"/>
  <c r="AN26" i="12"/>
  <c r="Y26" i="12"/>
  <c r="AQ26" i="12" s="1"/>
  <c r="AB26" i="12"/>
  <c r="BA59" i="12"/>
  <c r="AY128" i="12"/>
  <c r="AA139" i="12"/>
  <c r="AM139" i="12"/>
  <c r="X139" i="12"/>
  <c r="AP139" i="12" s="1"/>
  <c r="AY65" i="12"/>
  <c r="AZ95" i="12"/>
  <c r="AN120" i="12"/>
  <c r="Y120" i="12"/>
  <c r="AQ120" i="12" s="1"/>
  <c r="AB120" i="12"/>
  <c r="AY185" i="12"/>
  <c r="AY136" i="12"/>
  <c r="AY20" i="12"/>
  <c r="AA22" i="12"/>
  <c r="X22" i="12"/>
  <c r="AP22" i="12" s="1"/>
  <c r="AM22" i="12"/>
  <c r="AM93" i="12"/>
  <c r="AA93" i="12"/>
  <c r="X93" i="12"/>
  <c r="AP93" i="12" s="1"/>
  <c r="X6" i="12"/>
  <c r="AP6" i="12" s="1"/>
  <c r="AA6" i="12"/>
  <c r="AM6" i="12"/>
  <c r="AY109" i="12"/>
  <c r="AA109" i="12"/>
  <c r="AM109" i="12"/>
  <c r="X109" i="12"/>
  <c r="AP109" i="12" s="1"/>
  <c r="AY86" i="12"/>
  <c r="X116" i="12"/>
  <c r="AP116" i="12" s="1"/>
  <c r="AA116" i="12"/>
  <c r="AM116" i="12"/>
  <c r="X11" i="12"/>
  <c r="AP11" i="12" s="1"/>
  <c r="AM11" i="12"/>
  <c r="AA11" i="12"/>
  <c r="X33" i="12"/>
  <c r="AP33" i="12" s="1"/>
  <c r="AM33" i="12"/>
  <c r="AA33" i="12"/>
  <c r="AY41" i="12"/>
  <c r="X103" i="12"/>
  <c r="AP103" i="12" s="1"/>
  <c r="AM103" i="12"/>
  <c r="AA103" i="12"/>
  <c r="X12" i="12"/>
  <c r="AP12" i="12" s="1"/>
  <c r="AM12" i="12"/>
  <c r="AA12" i="12"/>
  <c r="X169" i="12"/>
  <c r="AP169" i="12" s="1"/>
  <c r="AA169" i="12"/>
  <c r="AM169" i="12"/>
  <c r="AA180" i="12"/>
  <c r="AM180" i="12"/>
  <c r="X180" i="12"/>
  <c r="AP180" i="12" s="1"/>
  <c r="AY117" i="12"/>
  <c r="X13" i="12"/>
  <c r="AP13" i="12" s="1"/>
  <c r="AA13" i="12"/>
  <c r="AM13" i="12"/>
  <c r="AM112" i="12"/>
  <c r="AA112" i="12"/>
  <c r="X112" i="12"/>
  <c r="AP112" i="12" s="1"/>
  <c r="AY66" i="12"/>
  <c r="AY175" i="12"/>
  <c r="AY171" i="12"/>
  <c r="AA100" i="12"/>
  <c r="X100" i="12"/>
  <c r="AP100" i="12" s="1"/>
  <c r="AM100" i="12"/>
  <c r="AY30" i="12"/>
  <c r="X117" i="12"/>
  <c r="AP117" i="12" s="1"/>
  <c r="AM117" i="12"/>
  <c r="AA117" i="12"/>
  <c r="AA28" i="12"/>
  <c r="AM28" i="12"/>
  <c r="X28" i="12"/>
  <c r="AP28" i="12" s="1"/>
  <c r="X145" i="12"/>
  <c r="AP145" i="12" s="1"/>
  <c r="AM145" i="12"/>
  <c r="AA145" i="12"/>
  <c r="AA32" i="12"/>
  <c r="AM32" i="12"/>
  <c r="X32" i="12"/>
  <c r="AP32" i="12" s="1"/>
  <c r="AY54" i="12"/>
  <c r="Y18" i="12"/>
  <c r="AQ18" i="12" s="1"/>
  <c r="AB18" i="12"/>
  <c r="AN18" i="12"/>
  <c r="AZ81" i="12"/>
  <c r="AZ78" i="12"/>
  <c r="AN27" i="12"/>
  <c r="AB27" i="12"/>
  <c r="Y27" i="12"/>
  <c r="AQ27" i="12" s="1"/>
  <c r="AN137" i="12"/>
  <c r="Y137" i="12"/>
  <c r="AQ137" i="12" s="1"/>
  <c r="AB137" i="12"/>
  <c r="AN145" i="12"/>
  <c r="Y145" i="12"/>
  <c r="AQ145" i="12" s="1"/>
  <c r="AB145" i="12"/>
  <c r="AZ109" i="12"/>
  <c r="AZ104" i="12"/>
  <c r="AZ148" i="12"/>
  <c r="AN8" i="12"/>
  <c r="AB8" i="12"/>
  <c r="Y8" i="12"/>
  <c r="AQ8" i="12" s="1"/>
  <c r="Y80" i="12"/>
  <c r="AQ80" i="12" s="1"/>
  <c r="AN80" i="12"/>
  <c r="AB80" i="12"/>
  <c r="AZ83" i="12"/>
  <c r="AZ112" i="12"/>
  <c r="Y153" i="12"/>
  <c r="AQ153" i="12" s="1"/>
  <c r="AB153" i="12"/>
  <c r="AN153" i="12"/>
  <c r="AZ38" i="12"/>
  <c r="AZ133" i="12"/>
  <c r="AZ179" i="12"/>
  <c r="Y156" i="12"/>
  <c r="AQ156" i="12" s="1"/>
  <c r="AB156" i="12"/>
  <c r="AN156" i="12"/>
  <c r="AN130" i="12"/>
  <c r="AB130" i="12"/>
  <c r="Y130" i="12"/>
  <c r="AQ130" i="12" s="1"/>
  <c r="AZ138" i="12"/>
  <c r="AI142" i="12"/>
  <c r="AF142" i="12"/>
  <c r="AU142" i="12" s="1"/>
  <c r="AF71" i="12"/>
  <c r="AU71" i="12" s="1"/>
  <c r="AI71" i="12"/>
  <c r="AI177" i="12"/>
  <c r="AF177" i="12"/>
  <c r="AU177" i="12" s="1"/>
  <c r="Y31" i="12"/>
  <c r="AQ31" i="12" s="1"/>
  <c r="AB31" i="12"/>
  <c r="AN31" i="12"/>
  <c r="AZ26" i="12"/>
  <c r="AC59" i="12"/>
  <c r="AO59" i="12"/>
  <c r="Z59" i="12"/>
  <c r="AR59" i="12" s="1"/>
  <c r="AY138" i="12"/>
  <c r="AY157" i="12"/>
  <c r="AY106" i="12"/>
  <c r="AZ119" i="12"/>
  <c r="AF106" i="12"/>
  <c r="AU106" i="12" s="1"/>
  <c r="AI106" i="12"/>
  <c r="X42" i="12"/>
  <c r="AP42" i="12" s="1"/>
  <c r="AM42" i="12"/>
  <c r="AA42" i="12"/>
  <c r="AM186" i="12"/>
  <c r="AA186" i="12"/>
  <c r="X186" i="12"/>
  <c r="AP186" i="12" s="1"/>
  <c r="X39" i="12"/>
  <c r="AP39" i="12" s="1"/>
  <c r="AA39" i="12"/>
  <c r="AM39" i="12"/>
  <c r="AY35" i="12"/>
  <c r="AM143" i="12"/>
  <c r="X143" i="12"/>
  <c r="AP143" i="12" s="1"/>
  <c r="AA143" i="12"/>
  <c r="X51" i="12"/>
  <c r="AP51" i="12" s="1"/>
  <c r="AA51" i="12"/>
  <c r="AM51" i="12"/>
  <c r="AY88" i="12"/>
  <c r="AM96" i="12"/>
  <c r="X96" i="12"/>
  <c r="AP96" i="12" s="1"/>
  <c r="AA96" i="12"/>
  <c r="AY45" i="12"/>
  <c r="X45" i="12"/>
  <c r="AP45" i="12" s="1"/>
  <c r="AM45" i="12"/>
  <c r="AA45" i="12"/>
  <c r="AM80" i="12"/>
  <c r="AA80" i="12"/>
  <c r="X80" i="12"/>
  <c r="AP80" i="12" s="1"/>
  <c r="AY108" i="12"/>
  <c r="AA44" i="12"/>
  <c r="X44" i="12"/>
  <c r="AP44" i="12" s="1"/>
  <c r="AM44" i="12"/>
  <c r="AY165" i="12"/>
  <c r="X48" i="12"/>
  <c r="AP48" i="12" s="1"/>
  <c r="AM48" i="12"/>
  <c r="AA48" i="12"/>
  <c r="AM118" i="12"/>
  <c r="AA118" i="12"/>
  <c r="X118" i="12"/>
  <c r="AP118" i="12" s="1"/>
  <c r="X88" i="12"/>
  <c r="AP88" i="12" s="1"/>
  <c r="AM88" i="12"/>
  <c r="AA88" i="12"/>
  <c r="AY49" i="12"/>
  <c r="AM5" i="12"/>
  <c r="X5" i="12"/>
  <c r="AP5" i="12" s="1"/>
  <c r="AA5" i="12"/>
  <c r="AM147" i="12"/>
  <c r="X147" i="12"/>
  <c r="AP147" i="12" s="1"/>
  <c r="AA147" i="12"/>
  <c r="AY90" i="12"/>
  <c r="AA113" i="12"/>
  <c r="AM113" i="12"/>
  <c r="X113" i="12"/>
  <c r="AP113" i="12" s="1"/>
  <c r="AY64" i="12"/>
  <c r="AA7" i="12"/>
  <c r="X7" i="12"/>
  <c r="AP7" i="12" s="1"/>
  <c r="AM7" i="12"/>
  <c r="AY120" i="12"/>
  <c r="AM148" i="12"/>
  <c r="AA148" i="12"/>
  <c r="X148" i="12"/>
  <c r="AP148" i="12" s="1"/>
  <c r="X98" i="12"/>
  <c r="AP98" i="12" s="1"/>
  <c r="AA98" i="12"/>
  <c r="AM98" i="12"/>
  <c r="AN85" i="12"/>
  <c r="Y85" i="12"/>
  <c r="AQ85" i="12" s="1"/>
  <c r="AB85" i="12"/>
  <c r="AZ47" i="12"/>
  <c r="AZ121" i="12"/>
  <c r="AZ53" i="12"/>
  <c r="Y73" i="12"/>
  <c r="AQ73" i="12" s="1"/>
  <c r="AN73" i="12"/>
  <c r="AB73" i="12"/>
  <c r="AB168" i="12"/>
  <c r="AN168" i="12"/>
  <c r="Y168" i="12"/>
  <c r="AQ168" i="12" s="1"/>
  <c r="Y129" i="12"/>
  <c r="AQ129" i="12" s="1"/>
  <c r="AB129" i="12"/>
  <c r="AN129" i="12"/>
  <c r="AZ62" i="12"/>
  <c r="AB78" i="12"/>
  <c r="Y78" i="12"/>
  <c r="AQ78" i="12" s="1"/>
  <c r="AN78" i="12"/>
  <c r="AZ27" i="12"/>
  <c r="AB109" i="12"/>
  <c r="Y109" i="12"/>
  <c r="AQ109" i="12" s="1"/>
  <c r="AN109" i="12"/>
  <c r="Y188" i="12"/>
  <c r="AQ188" i="12" s="1"/>
  <c r="AB188" i="12"/>
  <c r="AN188" i="12"/>
  <c r="AZ111" i="12"/>
  <c r="AZ122" i="12"/>
  <c r="Y94" i="12"/>
  <c r="AQ94" i="12" s="1"/>
  <c r="AN94" i="12"/>
  <c r="AB94" i="12"/>
  <c r="AN56" i="12"/>
  <c r="AB56" i="12"/>
  <c r="Y56" i="12"/>
  <c r="AQ56" i="12" s="1"/>
  <c r="AB112" i="12"/>
  <c r="AN112" i="12"/>
  <c r="Y112" i="12"/>
  <c r="AQ112" i="12" s="1"/>
  <c r="AZ153" i="12"/>
  <c r="AB38" i="12"/>
  <c r="Y38" i="12"/>
  <c r="AQ38" i="12" s="1"/>
  <c r="AN38" i="12"/>
  <c r="Y133" i="12"/>
  <c r="AQ133" i="12" s="1"/>
  <c r="AN133" i="12"/>
  <c r="AB133" i="12"/>
  <c r="AN179" i="12"/>
  <c r="Y179" i="12"/>
  <c r="AQ179" i="12" s="1"/>
  <c r="AB179" i="12"/>
  <c r="Z14" i="12"/>
  <c r="AR14" i="12" s="1"/>
  <c r="AO14" i="12"/>
  <c r="AC14" i="12"/>
  <c r="AZ32" i="12"/>
  <c r="AZ55" i="12"/>
  <c r="BA34" i="12"/>
  <c r="AB177" i="12"/>
  <c r="Y177" i="12"/>
  <c r="AQ177" i="12" s="1"/>
  <c r="AN177" i="12"/>
  <c r="AI67" i="12"/>
  <c r="AF67" i="12"/>
  <c r="AU67" i="12" s="1"/>
  <c r="AC131" i="12"/>
  <c r="Z131" i="12"/>
  <c r="AR131" i="12" s="1"/>
  <c r="AO131" i="12"/>
  <c r="AO129" i="12"/>
  <c r="Z129" i="12"/>
  <c r="AR129" i="12" s="1"/>
  <c r="AC129" i="12"/>
  <c r="AZ31" i="12"/>
  <c r="AB143" i="12"/>
  <c r="Y143" i="12"/>
  <c r="AQ143" i="12" s="1"/>
  <c r="AN143" i="12"/>
  <c r="AA134" i="12"/>
  <c r="X134" i="12"/>
  <c r="AP134" i="12" s="1"/>
  <c r="AM134" i="12"/>
  <c r="AY135" i="12"/>
  <c r="AY39" i="12"/>
  <c r="AZ166" i="12"/>
  <c r="AB57" i="12"/>
  <c r="AN57" i="12"/>
  <c r="Y57" i="12"/>
  <c r="AQ57" i="12" s="1"/>
  <c r="AM151" i="12"/>
  <c r="X151" i="12"/>
  <c r="AP151" i="12" s="1"/>
  <c r="AA151" i="12"/>
  <c r="AA146" i="12"/>
  <c r="X146" i="12"/>
  <c r="AP146" i="12" s="1"/>
  <c r="AM146" i="12"/>
  <c r="AA31" i="12"/>
  <c r="AM31" i="12"/>
  <c r="X31" i="12"/>
  <c r="AP31" i="12" s="1"/>
  <c r="AY134" i="12"/>
  <c r="X156" i="12"/>
  <c r="AP156" i="12" s="1"/>
  <c r="AM156" i="12"/>
  <c r="AA156" i="12"/>
  <c r="AY112" i="12"/>
  <c r="X174" i="12"/>
  <c r="AP174" i="12" s="1"/>
  <c r="AA174" i="12"/>
  <c r="AM174" i="12"/>
  <c r="X150" i="12"/>
  <c r="AP150" i="12" s="1"/>
  <c r="AA150" i="12"/>
  <c r="AM150" i="12"/>
  <c r="X140" i="12"/>
  <c r="AP140" i="12" s="1"/>
  <c r="AM140" i="12"/>
  <c r="AA140" i="12"/>
  <c r="AM63" i="12"/>
  <c r="X63" i="12"/>
  <c r="AP63" i="12" s="1"/>
  <c r="AA63" i="12"/>
  <c r="AY51" i="12"/>
  <c r="AY23" i="12"/>
  <c r="AY5" i="12"/>
  <c r="AY47" i="12"/>
  <c r="AY125" i="12"/>
  <c r="X10" i="12"/>
  <c r="AP10" i="12" s="1"/>
  <c r="AA10" i="12"/>
  <c r="AM10" i="12"/>
  <c r="AM15" i="12"/>
  <c r="X15" i="12"/>
  <c r="AP15" i="12" s="1"/>
  <c r="AA15" i="12"/>
  <c r="AY24" i="12"/>
  <c r="AM155" i="12"/>
  <c r="AA155" i="12"/>
  <c r="X155" i="12"/>
  <c r="AP155" i="12" s="1"/>
  <c r="AY40" i="12"/>
  <c r="AY92" i="12"/>
  <c r="AA164" i="12"/>
  <c r="X164" i="12"/>
  <c r="AP164" i="12" s="1"/>
  <c r="AM164" i="12"/>
  <c r="X127" i="12"/>
  <c r="AP127" i="12" s="1"/>
  <c r="AM127" i="12"/>
  <c r="AA127" i="12"/>
  <c r="X71" i="12"/>
  <c r="AP71" i="12" s="1"/>
  <c r="AM71" i="12"/>
  <c r="AA71" i="12"/>
  <c r="AA90" i="12"/>
  <c r="AM90" i="12"/>
  <c r="X90" i="12"/>
  <c r="AP90" i="12" s="1"/>
  <c r="AY33" i="12"/>
  <c r="X62" i="12"/>
  <c r="AP62" i="12" s="1"/>
  <c r="AM62" i="12"/>
  <c r="AA62" i="12"/>
  <c r="AA40" i="12"/>
  <c r="X40" i="12"/>
  <c r="AP40" i="12" s="1"/>
  <c r="AM40" i="12"/>
  <c r="AY26" i="12"/>
  <c r="AM66" i="12"/>
  <c r="X66" i="12"/>
  <c r="AP66" i="12" s="1"/>
  <c r="AA66" i="12"/>
  <c r="AY31" i="12"/>
  <c r="AY63" i="12"/>
  <c r="AY182" i="12"/>
  <c r="AZ84" i="12"/>
  <c r="Y50" i="12"/>
  <c r="AQ50" i="12" s="1"/>
  <c r="AB50" i="12"/>
  <c r="AN50" i="12"/>
  <c r="AZ106" i="12"/>
  <c r="AZ171" i="12"/>
  <c r="Y167" i="12"/>
  <c r="AQ167" i="12" s="1"/>
  <c r="AN167" i="12"/>
  <c r="AB167" i="12"/>
  <c r="AZ173" i="12"/>
  <c r="Y35" i="12"/>
  <c r="AQ35" i="12" s="1"/>
  <c r="AN35" i="12"/>
  <c r="AB35" i="12"/>
  <c r="Y175" i="12"/>
  <c r="AQ175" i="12" s="1"/>
  <c r="AN175" i="12"/>
  <c r="AB175" i="12"/>
  <c r="AZ188" i="12"/>
  <c r="AN111" i="12"/>
  <c r="AB111" i="12"/>
  <c r="Y111" i="12"/>
  <c r="AQ111" i="12" s="1"/>
  <c r="BA64" i="12"/>
  <c r="AN122" i="12"/>
  <c r="Y122" i="12"/>
  <c r="AQ122" i="12" s="1"/>
  <c r="AB122" i="12"/>
  <c r="AZ94" i="12"/>
  <c r="AZ56" i="12"/>
  <c r="Z188" i="12"/>
  <c r="AR188" i="12" s="1"/>
  <c r="AC188" i="12"/>
  <c r="AO188" i="12"/>
  <c r="Y25" i="12"/>
  <c r="AQ25" i="12" s="1"/>
  <c r="AN25" i="12"/>
  <c r="AB25" i="12"/>
  <c r="AN92" i="12"/>
  <c r="AB92" i="12"/>
  <c r="Y92" i="12"/>
  <c r="AQ92" i="12" s="1"/>
  <c r="AN29" i="12"/>
  <c r="Y29" i="12"/>
  <c r="AQ29" i="12" s="1"/>
  <c r="AB29" i="12"/>
  <c r="AZ187" i="12"/>
  <c r="AB32" i="12"/>
  <c r="Y32" i="12"/>
  <c r="AQ32" i="12" s="1"/>
  <c r="AN32" i="12"/>
  <c r="AI153" i="12"/>
  <c r="AF153" i="12"/>
  <c r="AU153" i="12" s="1"/>
  <c r="AC34" i="12"/>
  <c r="AO34" i="12"/>
  <c r="Z34" i="12"/>
  <c r="AR34" i="12" s="1"/>
  <c r="AZ177" i="12"/>
  <c r="AZ37" i="12"/>
  <c r="BA77" i="12"/>
  <c r="AF157" i="12"/>
  <c r="AU157" i="12" s="1"/>
  <c r="AI157" i="12"/>
  <c r="AZ143" i="12"/>
  <c r="AA97" i="12"/>
  <c r="X97" i="12"/>
  <c r="AP97" i="12" s="1"/>
  <c r="AM97" i="12"/>
  <c r="X83" i="12"/>
  <c r="AP83" i="12" s="1"/>
  <c r="AM83" i="12"/>
  <c r="AA83" i="12"/>
  <c r="Y68" i="12"/>
  <c r="AQ68" i="12" s="1"/>
  <c r="AN68" i="12"/>
  <c r="AB68" i="12"/>
  <c r="AA74" i="12"/>
  <c r="AM74" i="12"/>
  <c r="X74" i="12"/>
  <c r="AP74" i="12" s="1"/>
  <c r="AY79" i="12"/>
  <c r="AY46" i="12"/>
  <c r="X162" i="12"/>
  <c r="AP162" i="12" s="1"/>
  <c r="AA162" i="12"/>
  <c r="AM162" i="12"/>
  <c r="AY132" i="12"/>
  <c r="X111" i="12"/>
  <c r="AP111" i="12" s="1"/>
  <c r="AA111" i="12"/>
  <c r="AM111" i="12"/>
  <c r="AY139" i="12"/>
  <c r="AA30" i="12"/>
  <c r="AM30" i="12"/>
  <c r="X30" i="12"/>
  <c r="AP30" i="12" s="1"/>
  <c r="X183" i="12"/>
  <c r="AP183" i="12" s="1"/>
  <c r="AA183" i="12"/>
  <c r="AM183" i="12"/>
  <c r="X49" i="12"/>
  <c r="AP49" i="12" s="1"/>
  <c r="AA49" i="12"/>
  <c r="AM49" i="12"/>
  <c r="X107" i="12"/>
  <c r="AP107" i="12" s="1"/>
  <c r="AM107" i="12"/>
  <c r="AA107" i="12"/>
  <c r="X153" i="12"/>
  <c r="AP153" i="12" s="1"/>
  <c r="AM153" i="12"/>
  <c r="AA153" i="12"/>
  <c r="X27" i="12"/>
  <c r="AP27" i="12" s="1"/>
  <c r="AA27" i="12"/>
  <c r="AM27" i="12"/>
  <c r="AY27" i="12"/>
  <c r="AY29" i="12"/>
  <c r="AA19" i="12"/>
  <c r="AM19" i="12"/>
  <c r="X19" i="12"/>
  <c r="AP19" i="12" s="1"/>
  <c r="X68" i="12"/>
  <c r="AP68" i="12" s="1"/>
  <c r="AM68" i="12"/>
  <c r="AA68" i="12"/>
  <c r="X114" i="12"/>
  <c r="AP114" i="12" s="1"/>
  <c r="AM114" i="12"/>
  <c r="AA114" i="12"/>
  <c r="X115" i="12"/>
  <c r="AP115" i="12" s="1"/>
  <c r="AA115" i="12"/>
  <c r="AM115" i="12"/>
  <c r="AY8" i="12"/>
  <c r="AA53" i="12"/>
  <c r="AM53" i="12"/>
  <c r="X53" i="12"/>
  <c r="AP53" i="12" s="1"/>
  <c r="X46" i="12"/>
  <c r="AP46" i="12" s="1"/>
  <c r="AM46" i="12"/>
  <c r="AA46" i="12"/>
  <c r="AM132" i="12"/>
  <c r="X132" i="12"/>
  <c r="AP132" i="12" s="1"/>
  <c r="AA132" i="12"/>
  <c r="X21" i="12"/>
  <c r="AP21" i="12" s="1"/>
  <c r="AM21" i="12"/>
  <c r="AA21" i="12"/>
  <c r="X77" i="12"/>
  <c r="AP77" i="12" s="1"/>
  <c r="AA77" i="12"/>
  <c r="AM77" i="12"/>
  <c r="AY21" i="12"/>
  <c r="AM160" i="12"/>
  <c r="X160" i="12"/>
  <c r="AP160" i="12" s="1"/>
  <c r="AA160" i="12"/>
  <c r="AY82" i="12"/>
  <c r="X9" i="12"/>
  <c r="AP9" i="12" s="1"/>
  <c r="AM9" i="12"/>
  <c r="AA9" i="12"/>
  <c r="AY87" i="12"/>
  <c r="Y5" i="12"/>
  <c r="AQ5" i="12" s="1"/>
  <c r="AB5" i="12"/>
  <c r="AN5" i="12"/>
  <c r="Y155" i="12"/>
  <c r="AQ155" i="12" s="1"/>
  <c r="AN155" i="12"/>
  <c r="AB155" i="12"/>
  <c r="Y180" i="12"/>
  <c r="AQ180" i="12" s="1"/>
  <c r="AN180" i="12"/>
  <c r="AB180" i="12"/>
  <c r="AZ9" i="12"/>
  <c r="AN115" i="12"/>
  <c r="AB115" i="12"/>
  <c r="Y115" i="12"/>
  <c r="AQ115" i="12" s="1"/>
  <c r="AB28" i="12"/>
  <c r="AN28" i="12"/>
  <c r="Y28" i="12"/>
  <c r="AQ28" i="12" s="1"/>
  <c r="AN123" i="12"/>
  <c r="AB123" i="12"/>
  <c r="Y123" i="12"/>
  <c r="AQ123" i="12" s="1"/>
  <c r="Y75" i="12"/>
  <c r="AQ75" i="12" s="1"/>
  <c r="AN75" i="12"/>
  <c r="AB75" i="12"/>
  <c r="AZ167" i="12"/>
  <c r="Y173" i="12"/>
  <c r="AQ173" i="12" s="1"/>
  <c r="AB173" i="12"/>
  <c r="AN173" i="12"/>
  <c r="AZ117" i="12"/>
  <c r="AZ35" i="12"/>
  <c r="BA153" i="12"/>
  <c r="AB142" i="12"/>
  <c r="AN142" i="12"/>
  <c r="Y142" i="12"/>
  <c r="AQ142" i="12" s="1"/>
  <c r="Z70" i="12"/>
  <c r="AR70" i="12" s="1"/>
  <c r="AC70" i="12"/>
  <c r="AO70" i="12"/>
  <c r="AN174" i="12"/>
  <c r="AB174" i="12"/>
  <c r="Y174" i="12"/>
  <c r="AQ174" i="12" s="1"/>
  <c r="AZ34" i="12"/>
  <c r="AZ163" i="12"/>
  <c r="AZ158" i="12"/>
  <c r="AZ89" i="12"/>
  <c r="AZ92" i="12"/>
  <c r="AZ29" i="12"/>
  <c r="BA88" i="12"/>
  <c r="AB14" i="12"/>
  <c r="AN14" i="12"/>
  <c r="Y14" i="12"/>
  <c r="AQ14" i="12" s="1"/>
  <c r="BA5" i="12"/>
  <c r="AC23" i="12"/>
  <c r="AO23" i="12"/>
  <c r="Z23" i="12"/>
  <c r="AR23" i="12" s="1"/>
  <c r="AM138" i="12"/>
  <c r="X138" i="12"/>
  <c r="AP138" i="12" s="1"/>
  <c r="AA138" i="12"/>
  <c r="AY102" i="12"/>
  <c r="AY152" i="12"/>
  <c r="AY133" i="12"/>
  <c r="AY52" i="12"/>
  <c r="X110" i="12"/>
  <c r="AP110" i="12" s="1"/>
  <c r="AA110" i="12"/>
  <c r="AM110" i="12"/>
  <c r="AM179" i="12"/>
  <c r="AA179" i="12"/>
  <c r="X179" i="12"/>
  <c r="AP179" i="12" s="1"/>
  <c r="AA78" i="12"/>
  <c r="X78" i="12"/>
  <c r="AP78" i="12" s="1"/>
  <c r="AM78" i="12"/>
  <c r="AY110" i="12"/>
  <c r="AA37" i="12"/>
  <c r="X37" i="12"/>
  <c r="AP37" i="12" s="1"/>
  <c r="AM37" i="12"/>
  <c r="AM120" i="12"/>
  <c r="X120" i="12"/>
  <c r="AP120" i="12" s="1"/>
  <c r="AA120" i="12"/>
  <c r="AM173" i="12"/>
  <c r="X173" i="12"/>
  <c r="AP173" i="12" s="1"/>
  <c r="AA173" i="12"/>
  <c r="AY148" i="12"/>
  <c r="AY146" i="12"/>
  <c r="AY81" i="12"/>
  <c r="AY72" i="12"/>
  <c r="X171" i="12"/>
  <c r="AP171" i="12" s="1"/>
  <c r="AA171" i="12"/>
  <c r="AM171" i="12"/>
  <c r="X154" i="12"/>
  <c r="AP154" i="12" s="1"/>
  <c r="AA154" i="12"/>
  <c r="AM154" i="12"/>
  <c r="AY153" i="12"/>
  <c r="X54" i="12"/>
  <c r="AP54" i="12" s="1"/>
  <c r="AM54" i="12"/>
  <c r="AA54" i="12"/>
  <c r="AA124" i="12"/>
  <c r="AM124" i="12"/>
  <c r="X124" i="12"/>
  <c r="AP124" i="12" s="1"/>
  <c r="AY58" i="12"/>
  <c r="X56" i="12"/>
  <c r="AP56" i="12" s="1"/>
  <c r="AM56" i="12"/>
  <c r="AA56" i="12"/>
  <c r="AY169" i="12"/>
  <c r="AA125" i="12"/>
  <c r="X125" i="12"/>
  <c r="AP125" i="12" s="1"/>
  <c r="AM125" i="12"/>
  <c r="AY172" i="12"/>
  <c r="AY67" i="12"/>
  <c r="X182" i="12"/>
  <c r="AP182" i="12" s="1"/>
  <c r="AA182" i="12"/>
  <c r="AM182" i="12"/>
  <c r="AY116" i="12"/>
  <c r="AA122" i="12"/>
  <c r="X122" i="12"/>
  <c r="AP122" i="12" s="1"/>
  <c r="AM122" i="12"/>
  <c r="X61" i="12"/>
  <c r="AP61" i="12" s="1"/>
  <c r="AM61" i="12"/>
  <c r="AA61" i="12"/>
  <c r="X76" i="12"/>
  <c r="AP76" i="12" s="1"/>
  <c r="AM76" i="12"/>
  <c r="AA76" i="12"/>
  <c r="AY98" i="12"/>
  <c r="AY56" i="12"/>
  <c r="Y164" i="12"/>
  <c r="AQ164" i="12" s="1"/>
  <c r="AB164" i="12"/>
  <c r="AN164" i="12"/>
  <c r="Z15" i="12"/>
  <c r="AR15" i="12" s="1"/>
  <c r="AC15" i="12"/>
  <c r="AO15" i="12"/>
  <c r="AZ116" i="12"/>
  <c r="AN99" i="12"/>
  <c r="Y99" i="12"/>
  <c r="AQ99" i="12" s="1"/>
  <c r="AB99" i="12"/>
  <c r="Y71" i="12"/>
  <c r="AQ71" i="12" s="1"/>
  <c r="AN71" i="12"/>
  <c r="AB71" i="12"/>
  <c r="BA107" i="12"/>
  <c r="Z79" i="12"/>
  <c r="AR79" i="12" s="1"/>
  <c r="AC79" i="12"/>
  <c r="AO79" i="12"/>
  <c r="AN88" i="12"/>
  <c r="AB88" i="12"/>
  <c r="Y88" i="12"/>
  <c r="AQ88" i="12" s="1"/>
  <c r="AZ142" i="12"/>
  <c r="AC6" i="12"/>
  <c r="AO6" i="12"/>
  <c r="Z6" i="12"/>
  <c r="AR6" i="12" s="1"/>
  <c r="AZ174" i="12"/>
  <c r="AB34" i="12"/>
  <c r="AN34" i="12"/>
  <c r="Y34" i="12"/>
  <c r="AQ34" i="12" s="1"/>
  <c r="AN163" i="12"/>
  <c r="AB163" i="12"/>
  <c r="Y163" i="12"/>
  <c r="AQ163" i="12" s="1"/>
  <c r="AZ42" i="12"/>
  <c r="AZ135" i="12"/>
  <c r="AZ70" i="12"/>
  <c r="BA8" i="12"/>
  <c r="AI92" i="12"/>
  <c r="AF92" i="12"/>
  <c r="AU92" i="12" s="1"/>
  <c r="BA174" i="12"/>
  <c r="AF147" i="12"/>
  <c r="AU147" i="12" s="1"/>
  <c r="AI147" i="12"/>
  <c r="AN141" i="12"/>
  <c r="Y141" i="12"/>
  <c r="AQ141" i="12" s="1"/>
  <c r="AB141" i="12"/>
  <c r="AI10" i="12"/>
  <c r="AF10" i="12"/>
  <c r="AU10" i="12" s="1"/>
  <c r="AI164" i="12"/>
  <c r="AF164" i="12"/>
  <c r="AU164" i="12" s="1"/>
  <c r="AI16" i="12"/>
  <c r="AF16" i="12"/>
  <c r="AU16" i="12" s="1"/>
  <c r="AO90" i="12"/>
  <c r="Z90" i="12"/>
  <c r="AR90" i="12" s="1"/>
  <c r="AC90" i="12"/>
  <c r="AY176" i="12"/>
  <c r="AA84" i="12"/>
  <c r="X84" i="12"/>
  <c r="AP84" i="12" s="1"/>
  <c r="AM84" i="12"/>
  <c r="AY160" i="12"/>
  <c r="AZ46" i="12"/>
  <c r="Y150" i="12"/>
  <c r="AQ150" i="12" s="1"/>
  <c r="AB150" i="12"/>
  <c r="AN150" i="12"/>
  <c r="AZ159" i="12"/>
  <c r="AI64" i="12"/>
  <c r="AF64" i="12"/>
  <c r="AU64" i="12" s="1"/>
  <c r="AY123" i="12"/>
  <c r="AY75" i="12"/>
  <c r="AM136" i="12"/>
  <c r="X136" i="12"/>
  <c r="AP136" i="12" s="1"/>
  <c r="AA136" i="12"/>
  <c r="X123" i="12"/>
  <c r="AP123" i="12" s="1"/>
  <c r="AM123" i="12"/>
  <c r="AA123" i="12"/>
  <c r="X181" i="12"/>
  <c r="AP181" i="12" s="1"/>
  <c r="AM181" i="12"/>
  <c r="AA181" i="12"/>
  <c r="X94" i="12"/>
  <c r="AP94" i="12" s="1"/>
  <c r="AM94" i="12"/>
  <c r="AA94" i="12"/>
  <c r="AM187" i="12"/>
  <c r="AA187" i="12"/>
  <c r="X187" i="12"/>
  <c r="AP187" i="12" s="1"/>
  <c r="AA99" i="12"/>
  <c r="AM99" i="12"/>
  <c r="X99" i="12"/>
  <c r="AP99" i="12" s="1"/>
  <c r="AY94" i="12"/>
  <c r="AY84" i="12"/>
  <c r="AM75" i="12"/>
  <c r="AA75" i="12"/>
  <c r="X75" i="12"/>
  <c r="AP75" i="12" s="1"/>
  <c r="AY168" i="12"/>
  <c r="AA34" i="12"/>
  <c r="X34" i="12"/>
  <c r="AP34" i="12" s="1"/>
  <c r="AM34" i="12"/>
  <c r="X144" i="12"/>
  <c r="AP144" i="12" s="1"/>
  <c r="AA144" i="12"/>
  <c r="AM144" i="12"/>
  <c r="AY142" i="12"/>
  <c r="AY118" i="12"/>
  <c r="X108" i="12"/>
  <c r="AP108" i="12" s="1"/>
  <c r="AM108" i="12"/>
  <c r="AA108" i="12"/>
  <c r="AY155" i="12"/>
  <c r="AY161" i="12"/>
  <c r="AA17" i="12"/>
  <c r="AM17" i="12"/>
  <c r="X17" i="12"/>
  <c r="AP17" i="12" s="1"/>
  <c r="AY170" i="12"/>
  <c r="AY184" i="12"/>
  <c r="AY11" i="12"/>
  <c r="X26" i="12"/>
  <c r="AP26" i="12" s="1"/>
  <c r="AA26" i="12"/>
  <c r="AM26" i="12"/>
  <c r="AY60" i="12"/>
  <c r="AM102" i="12"/>
  <c r="AA102" i="12"/>
  <c r="X102" i="12"/>
  <c r="AP102" i="12" s="1"/>
  <c r="AY187" i="12"/>
  <c r="AM175" i="12"/>
  <c r="AA175" i="12"/>
  <c r="X175" i="12"/>
  <c r="AP175" i="12" s="1"/>
  <c r="AY93" i="12"/>
  <c r="AY178" i="12"/>
  <c r="AM184" i="12"/>
  <c r="X184" i="12"/>
  <c r="AP184" i="12" s="1"/>
  <c r="AA184" i="12"/>
  <c r="AY173" i="12"/>
  <c r="AY154" i="12"/>
  <c r="AM166" i="12"/>
  <c r="X166" i="12"/>
  <c r="AP166" i="12" s="1"/>
  <c r="AA166" i="12"/>
  <c r="AZ60" i="12"/>
  <c r="AZ48" i="12"/>
  <c r="Y110" i="12"/>
  <c r="AQ110" i="12" s="1"/>
  <c r="AB110" i="12"/>
  <c r="AN110" i="12"/>
  <c r="Y96" i="12"/>
  <c r="AQ96" i="12" s="1"/>
  <c r="AN96" i="12"/>
  <c r="AB96" i="12"/>
  <c r="AZ13" i="12"/>
  <c r="AZ90" i="12"/>
  <c r="AZ79" i="12"/>
  <c r="AZ131" i="12"/>
  <c r="AZ186" i="12"/>
  <c r="AZ71" i="12"/>
  <c r="AZ16" i="12"/>
  <c r="AZ67" i="12"/>
  <c r="BA121" i="12"/>
  <c r="AB154" i="12"/>
  <c r="AN154" i="12"/>
  <c r="Y154" i="12"/>
  <c r="AQ154" i="12" s="1"/>
  <c r="AN63" i="12"/>
  <c r="Y63" i="12"/>
  <c r="AQ63" i="12" s="1"/>
  <c r="AB63" i="12"/>
  <c r="Y43" i="12"/>
  <c r="AQ43" i="12" s="1"/>
  <c r="AB43" i="12"/>
  <c r="AN43" i="12"/>
  <c r="AN176" i="12"/>
  <c r="AB176" i="12"/>
  <c r="Y176" i="12"/>
  <c r="AQ176" i="12" s="1"/>
  <c r="AN87" i="12"/>
  <c r="AB87" i="12"/>
  <c r="Y87" i="12"/>
  <c r="AQ87" i="12" s="1"/>
  <c r="Z74" i="12"/>
  <c r="AR74" i="12" s="1"/>
  <c r="AC74" i="12"/>
  <c r="AO74" i="12"/>
  <c r="Y169" i="12"/>
  <c r="AQ169" i="12" s="1"/>
  <c r="AN169" i="12"/>
  <c r="AB169" i="12"/>
  <c r="Y42" i="12"/>
  <c r="AQ42" i="12" s="1"/>
  <c r="AB42" i="12"/>
  <c r="AN42" i="12"/>
  <c r="AN15" i="12"/>
  <c r="AB15" i="12"/>
  <c r="Y15" i="12"/>
  <c r="AQ15" i="12" s="1"/>
  <c r="AZ102" i="12"/>
  <c r="AN172" i="12"/>
  <c r="AB172" i="12"/>
  <c r="Y172" i="12"/>
  <c r="AQ172" i="12" s="1"/>
  <c r="AF56" i="12"/>
  <c r="AU56" i="12" s="1"/>
  <c r="AI56" i="12"/>
  <c r="AI122" i="12"/>
  <c r="AF122" i="12"/>
  <c r="AU122" i="12" s="1"/>
  <c r="AZ141" i="12"/>
  <c r="BA55" i="12"/>
  <c r="X81" i="12"/>
  <c r="AP81" i="12" s="1"/>
  <c r="AA81" i="12"/>
  <c r="AM81" i="12"/>
  <c r="X168" i="12"/>
  <c r="AP168" i="12" s="1"/>
  <c r="AM168" i="12"/>
  <c r="AA168" i="12"/>
  <c r="AZ52" i="12"/>
  <c r="AZ114" i="12"/>
  <c r="AY181" i="12"/>
  <c r="X157" i="12"/>
  <c r="AP157" i="12" s="1"/>
  <c r="AM157" i="12"/>
  <c r="AA157" i="12"/>
  <c r="AY78" i="12"/>
  <c r="X177" i="12"/>
  <c r="AP177" i="12" s="1"/>
  <c r="AM177" i="12"/>
  <c r="AA177" i="12"/>
  <c r="AY177" i="12"/>
  <c r="AM188" i="12"/>
  <c r="AA188" i="12"/>
  <c r="X188" i="12"/>
  <c r="AP188" i="12" s="1"/>
  <c r="AY77" i="12"/>
  <c r="AY59" i="12"/>
  <c r="AY159" i="12"/>
  <c r="AY127" i="12"/>
  <c r="AM142" i="12"/>
  <c r="AA142" i="12"/>
  <c r="X142" i="12"/>
  <c r="AP142" i="12" s="1"/>
  <c r="AM126" i="12"/>
  <c r="AA126" i="12"/>
  <c r="X126" i="12"/>
  <c r="AP126" i="12" s="1"/>
  <c r="AY129" i="12"/>
  <c r="AY104" i="12"/>
  <c r="AY91" i="12"/>
  <c r="AA159" i="12"/>
  <c r="AM159" i="12"/>
  <c r="X159" i="12"/>
  <c r="AP159" i="12" s="1"/>
  <c r="X64" i="12"/>
  <c r="AP64" i="12" s="1"/>
  <c r="AA64" i="12"/>
  <c r="AM64" i="12"/>
  <c r="AY80" i="12"/>
  <c r="AA58" i="12"/>
  <c r="AM58" i="12"/>
  <c r="X58" i="12"/>
  <c r="AP58" i="12" s="1"/>
  <c r="AY137" i="12"/>
  <c r="X106" i="12"/>
  <c r="AP106" i="12" s="1"/>
  <c r="AA106" i="12"/>
  <c r="AM106" i="12"/>
  <c r="X131" i="12"/>
  <c r="AP131" i="12" s="1"/>
  <c r="AA131" i="12"/>
  <c r="AM131" i="12"/>
  <c r="AY150" i="12"/>
  <c r="AY43" i="12"/>
  <c r="AM89" i="12"/>
  <c r="AA89" i="12"/>
  <c r="X89" i="12"/>
  <c r="AP89" i="12" s="1"/>
  <c r="AY96" i="12"/>
  <c r="AY107" i="12"/>
  <c r="X92" i="12"/>
  <c r="AP92" i="12" s="1"/>
  <c r="AM92" i="12"/>
  <c r="AA92" i="12"/>
  <c r="AY55" i="12"/>
  <c r="AY18" i="12"/>
  <c r="AY95" i="12"/>
  <c r="BA177" i="12"/>
  <c r="Y160" i="12"/>
  <c r="AQ160" i="12" s="1"/>
  <c r="AN160" i="12"/>
  <c r="AB160" i="12"/>
  <c r="AC86" i="12"/>
  <c r="AO86" i="12"/>
  <c r="Z86" i="12"/>
  <c r="AR86" i="12" s="1"/>
  <c r="AZ64" i="12"/>
  <c r="Y108" i="12"/>
  <c r="AQ108" i="12" s="1"/>
  <c r="AN108" i="12"/>
  <c r="AB108" i="12"/>
  <c r="AZ6" i="12"/>
  <c r="AN23" i="12"/>
  <c r="AB23" i="12"/>
  <c r="Y23" i="12"/>
  <c r="AQ23" i="12" s="1"/>
  <c r="AZ7" i="12"/>
  <c r="AB59" i="12"/>
  <c r="AN59" i="12"/>
  <c r="Y59" i="12"/>
  <c r="AQ59" i="12" s="1"/>
  <c r="Z99" i="12"/>
  <c r="AR99" i="12" s="1"/>
  <c r="AO99" i="12"/>
  <c r="AC99" i="12"/>
  <c r="Y147" i="12"/>
  <c r="AQ147" i="12" s="1"/>
  <c r="AN147" i="12"/>
  <c r="AB147" i="12"/>
  <c r="AZ41" i="12"/>
  <c r="AZ154" i="12"/>
  <c r="AZ63" i="12"/>
  <c r="BA50" i="12"/>
  <c r="AZ58" i="12"/>
  <c r="AB103" i="12"/>
  <c r="Y103" i="12"/>
  <c r="AQ103" i="12" s="1"/>
  <c r="AN103" i="12"/>
  <c r="Z169" i="12"/>
  <c r="AR169" i="12" s="1"/>
  <c r="AO169" i="12"/>
  <c r="AC169" i="12"/>
  <c r="AZ69" i="12"/>
  <c r="Y161" i="12"/>
  <c r="AQ161" i="12" s="1"/>
  <c r="AB161" i="12"/>
  <c r="AN161" i="12"/>
  <c r="AZ15" i="12"/>
  <c r="AZ172" i="12"/>
  <c r="AI123" i="12"/>
  <c r="AF123" i="12"/>
  <c r="AU123" i="12" s="1"/>
  <c r="AI88" i="12"/>
  <c r="AF88" i="12"/>
  <c r="AU88" i="12" s="1"/>
  <c r="AC96" i="12"/>
  <c r="AO96" i="12"/>
  <c r="Z96" i="12"/>
  <c r="AR96" i="12" s="1"/>
  <c r="AF13" i="12"/>
  <c r="AU13" i="12" s="1"/>
  <c r="AI13" i="12"/>
  <c r="AI47" i="12"/>
  <c r="AF47" i="12"/>
  <c r="AU47" i="12" s="1"/>
  <c r="AZ65" i="12"/>
  <c r="AI105" i="12"/>
  <c r="AF105" i="12"/>
  <c r="AU105" i="12" s="1"/>
  <c r="X43" i="12"/>
  <c r="AP43" i="12" s="1"/>
  <c r="AM43" i="12"/>
  <c r="AA43" i="12"/>
  <c r="AY114" i="12"/>
  <c r="AZ61" i="12"/>
  <c r="Y105" i="12"/>
  <c r="AQ105" i="12" s="1"/>
  <c r="AB105" i="12"/>
  <c r="AN105" i="12"/>
  <c r="X133" i="12"/>
  <c r="AP133" i="12" s="1"/>
  <c r="AA133" i="12"/>
  <c r="AM133" i="12"/>
  <c r="AY174" i="12"/>
  <c r="X57" i="12"/>
  <c r="AP57" i="12" s="1"/>
  <c r="AA57" i="12"/>
  <c r="AM57" i="12"/>
  <c r="AA167" i="12"/>
  <c r="AM167" i="12"/>
  <c r="X167" i="12"/>
  <c r="AP167" i="12" s="1"/>
  <c r="AY167" i="12"/>
  <c r="AY162" i="12"/>
  <c r="AM178" i="12"/>
  <c r="AA178" i="12"/>
  <c r="X178" i="12"/>
  <c r="AP178" i="12" s="1"/>
  <c r="AY57" i="12"/>
  <c r="AM152" i="12"/>
  <c r="X152" i="12"/>
  <c r="AP152" i="12" s="1"/>
  <c r="AA152" i="12"/>
  <c r="AY121" i="12"/>
  <c r="AY126" i="12"/>
  <c r="AY101" i="12"/>
  <c r="AY10" i="12"/>
  <c r="X50" i="12"/>
  <c r="AP50" i="12" s="1"/>
  <c r="AM50" i="12"/>
  <c r="AA50" i="12"/>
  <c r="AY42" i="12"/>
  <c r="X172" i="12"/>
  <c r="AP172" i="12" s="1"/>
  <c r="AA172" i="12"/>
  <c r="AM172" i="12"/>
  <c r="X149" i="12"/>
  <c r="AP149" i="12" s="1"/>
  <c r="AM149" i="12"/>
  <c r="AA149" i="12"/>
  <c r="AY68" i="12"/>
  <c r="AY50" i="12"/>
  <c r="X52" i="12"/>
  <c r="AP52" i="12" s="1"/>
  <c r="AA52" i="12"/>
  <c r="AM52" i="12"/>
  <c r="AA129" i="12"/>
  <c r="AM129" i="12"/>
  <c r="X129" i="12"/>
  <c r="AP129" i="12" s="1"/>
  <c r="AY7" i="12"/>
  <c r="AY6" i="12"/>
  <c r="AY186" i="12"/>
  <c r="AY32" i="12"/>
  <c r="AY166" i="12"/>
  <c r="X165" i="12"/>
  <c r="AP165" i="12" s="1"/>
  <c r="AM165" i="12"/>
  <c r="AA165" i="12"/>
  <c r="X170" i="12"/>
  <c r="AP170" i="12" s="1"/>
  <c r="AM170" i="12"/>
  <c r="AA170" i="12"/>
  <c r="AY73" i="12"/>
  <c r="AY151" i="12"/>
  <c r="AA25" i="12"/>
  <c r="AM25" i="12"/>
  <c r="X25" i="12"/>
  <c r="AP25" i="12" s="1"/>
  <c r="Y182" i="12"/>
  <c r="AQ182" i="12" s="1"/>
  <c r="AB182" i="12"/>
  <c r="AN182" i="12"/>
  <c r="AN40" i="12"/>
  <c r="Y40" i="12"/>
  <c r="AQ40" i="12" s="1"/>
  <c r="AB40" i="12"/>
  <c r="AZ151" i="12"/>
  <c r="AO116" i="12"/>
  <c r="Z116" i="12"/>
  <c r="AR116" i="12" s="1"/>
  <c r="AC116" i="12"/>
  <c r="AN183" i="12"/>
  <c r="Y183" i="12"/>
  <c r="AQ183" i="12" s="1"/>
  <c r="AB183" i="12"/>
  <c r="AZ91" i="12"/>
  <c r="AN136" i="12"/>
  <c r="Y136" i="12"/>
  <c r="AQ136" i="12" s="1"/>
  <c r="AB136" i="12"/>
  <c r="AZ185" i="12"/>
  <c r="AN6" i="12"/>
  <c r="Y6" i="12"/>
  <c r="AQ6" i="12" s="1"/>
  <c r="AB6" i="12"/>
  <c r="AZ23" i="12"/>
  <c r="AB7" i="12"/>
  <c r="Y7" i="12"/>
  <c r="AQ7" i="12" s="1"/>
  <c r="AN7" i="12"/>
  <c r="AZ59" i="12"/>
  <c r="AZ72" i="12"/>
  <c r="Y114" i="12"/>
  <c r="AQ114" i="12" s="1"/>
  <c r="AN114" i="12"/>
  <c r="AB114" i="12"/>
  <c r="AZ181" i="12"/>
  <c r="Z144" i="12"/>
  <c r="AR144" i="12" s="1"/>
  <c r="AC144" i="12"/>
  <c r="AO144" i="12"/>
  <c r="AZ57" i="12"/>
  <c r="AZ150" i="12"/>
  <c r="AZ125" i="12"/>
  <c r="AN58" i="12"/>
  <c r="AB58" i="12"/>
  <c r="Y58" i="12"/>
  <c r="AQ58" i="12" s="1"/>
  <c r="AZ103" i="12"/>
  <c r="AZ97" i="12"/>
  <c r="Y69" i="12"/>
  <c r="AQ69" i="12" s="1"/>
  <c r="AN69" i="12"/>
  <c r="AB69" i="12"/>
  <c r="AZ161" i="12"/>
  <c r="Y119" i="12"/>
  <c r="AQ119" i="12" s="1"/>
  <c r="AN119" i="12"/>
  <c r="AB119" i="12"/>
  <c r="AZ120" i="12"/>
  <c r="AB170" i="12"/>
  <c r="AN170" i="12"/>
  <c r="Y170" i="12"/>
  <c r="AQ170" i="12" s="1"/>
  <c r="AI93" i="12"/>
  <c r="AF93" i="12"/>
  <c r="AU93" i="12" s="1"/>
  <c r="AF150" i="12"/>
  <c r="AU150" i="12" s="1"/>
  <c r="AI150" i="12"/>
  <c r="AI176" i="12"/>
  <c r="AF176" i="12"/>
  <c r="AU176" i="12" s="1"/>
  <c r="AF111" i="12"/>
  <c r="AU111" i="12" s="1"/>
  <c r="AI111" i="12"/>
  <c r="AF101" i="12"/>
  <c r="AU101" i="12" s="1"/>
  <c r="AI101" i="12"/>
  <c r="AI163" i="12"/>
  <c r="AF163" i="12"/>
  <c r="AU163" i="12" s="1"/>
  <c r="AF82" i="12"/>
  <c r="AU82" i="12" s="1"/>
  <c r="AI82" i="12"/>
  <c r="AB65" i="12"/>
  <c r="Y65" i="12"/>
  <c r="AQ65" i="12" s="1"/>
  <c r="AN65" i="12"/>
  <c r="AI178" i="12"/>
  <c r="AF178" i="12"/>
  <c r="AU178" i="12" s="1"/>
  <c r="AZ113" i="12"/>
  <c r="AO108" i="12" l="1"/>
  <c r="AC108" i="12"/>
  <c r="AN187" i="12"/>
  <c r="AF172" i="12"/>
  <c r="AU172" i="12" s="1"/>
  <c r="AB187" i="12"/>
  <c r="AH187" i="12" s="1"/>
  <c r="L41" i="1" s="1"/>
  <c r="BA131" i="12"/>
  <c r="Z148" i="12"/>
  <c r="AR148" i="12" s="1"/>
  <c r="AC148" i="12"/>
  <c r="AF148" i="12" s="1"/>
  <c r="AU148" i="12" s="1"/>
  <c r="AO35" i="12"/>
  <c r="Z35" i="12"/>
  <c r="AR35" i="12" s="1"/>
  <c r="Z39" i="12"/>
  <c r="AR39" i="12" s="1"/>
  <c r="AC39" i="12"/>
  <c r="AI39" i="12" s="1"/>
  <c r="AC73" i="12"/>
  <c r="AF73" i="12" s="1"/>
  <c r="AU73" i="12" s="1"/>
  <c r="Z73" i="12"/>
  <c r="AR73" i="12" s="1"/>
  <c r="AC66" i="12"/>
  <c r="AI66" i="12" s="1"/>
  <c r="AO66" i="12"/>
  <c r="AF134" i="12"/>
  <c r="AU134" i="12" s="1"/>
  <c r="BA17" i="12"/>
  <c r="AB118" i="12"/>
  <c r="AH118" i="12" s="1"/>
  <c r="Z40" i="12"/>
  <c r="AR40" i="12" s="1"/>
  <c r="AI179" i="12"/>
  <c r="AF31" i="12"/>
  <c r="AU31" i="12" s="1"/>
  <c r="AI17" i="12"/>
  <c r="Z98" i="12"/>
  <c r="AR98" i="12" s="1"/>
  <c r="AI53" i="12"/>
  <c r="AZ30" i="12"/>
  <c r="Z173" i="12"/>
  <c r="AR173" i="12" s="1"/>
  <c r="AO173" i="12"/>
  <c r="BA41" i="12"/>
  <c r="AB117" i="12"/>
  <c r="AE117" i="12" s="1"/>
  <c r="AT117" i="12" s="1"/>
  <c r="AO103" i="12"/>
  <c r="AC103" i="12"/>
  <c r="AF103" i="12" s="1"/>
  <c r="AU103" i="12" s="1"/>
  <c r="BA123" i="12"/>
  <c r="AO181" i="12"/>
  <c r="AN117" i="12"/>
  <c r="AC181" i="12"/>
  <c r="AF181" i="12" s="1"/>
  <c r="AU181" i="12" s="1"/>
  <c r="BA179" i="12"/>
  <c r="AC98" i="12"/>
  <c r="AI98" i="12" s="1"/>
  <c r="BA122" i="12"/>
  <c r="Z120" i="12"/>
  <c r="AR120" i="12" s="1"/>
  <c r="AB102" i="12"/>
  <c r="AE102" i="12" s="1"/>
  <c r="AT102" i="12" s="1"/>
  <c r="AC143" i="12"/>
  <c r="AF143" i="12" s="1"/>
  <c r="AU143" i="12" s="1"/>
  <c r="AI159" i="12"/>
  <c r="AI41" i="12"/>
  <c r="AB55" i="12"/>
  <c r="AH55" i="12" s="1"/>
  <c r="Y102" i="12"/>
  <c r="AQ102" i="12" s="1"/>
  <c r="AI110" i="12"/>
  <c r="Y55" i="12"/>
  <c r="AQ55" i="12" s="1"/>
  <c r="AO143" i="12"/>
  <c r="AC133" i="12"/>
  <c r="AF133" i="12" s="1"/>
  <c r="AU133" i="12" s="1"/>
  <c r="Z133" i="12"/>
  <c r="AR133" i="12" s="1"/>
  <c r="AO166" i="12"/>
  <c r="AI83" i="12"/>
  <c r="BA83" i="12"/>
  <c r="AF58" i="12"/>
  <c r="AU58" i="12" s="1"/>
  <c r="AI156" i="12"/>
  <c r="Z166" i="12"/>
  <c r="AR166" i="12" s="1"/>
  <c r="BA110" i="12"/>
  <c r="AC120" i="12"/>
  <c r="AF120" i="12" s="1"/>
  <c r="AU120" i="12" s="1"/>
  <c r="AO183" i="12"/>
  <c r="AC7" i="12"/>
  <c r="AF7" i="12" s="1"/>
  <c r="AU7" i="12" s="1"/>
  <c r="AC155" i="12"/>
  <c r="AI155" i="12" s="1"/>
  <c r="AO127" i="12"/>
  <c r="Z155" i="12"/>
  <c r="AR155" i="12" s="1"/>
  <c r="AO7" i="12"/>
  <c r="BA159" i="12"/>
  <c r="Z127" i="12"/>
  <c r="AR127" i="12" s="1"/>
  <c r="BA154" i="12"/>
  <c r="BA142" i="12"/>
  <c r="BA140" i="12"/>
  <c r="AC152" i="12"/>
  <c r="AI152" i="12" s="1"/>
  <c r="AC183" i="12"/>
  <c r="AF183" i="12" s="1"/>
  <c r="AU183" i="12" s="1"/>
  <c r="BA51" i="12"/>
  <c r="AO40" i="12"/>
  <c r="BA134" i="12"/>
  <c r="AI186" i="12"/>
  <c r="M40" i="1" s="1"/>
  <c r="BA46" i="12"/>
  <c r="Z145" i="12"/>
  <c r="AR145" i="12" s="1"/>
  <c r="AO145" i="12"/>
  <c r="AF117" i="12"/>
  <c r="AU117" i="12" s="1"/>
  <c r="BA149" i="12"/>
  <c r="AC42" i="12"/>
  <c r="AF42" i="12" s="1"/>
  <c r="AU42" i="12" s="1"/>
  <c r="Z117" i="12"/>
  <c r="AR117" i="12" s="1"/>
  <c r="BA29" i="12"/>
  <c r="AO42" i="12"/>
  <c r="AO152" i="12"/>
  <c r="Z156" i="12"/>
  <c r="AR156" i="12" s="1"/>
  <c r="AO156" i="12"/>
  <c r="AO117" i="12"/>
  <c r="AC11" i="12"/>
  <c r="AF11" i="12" s="1"/>
  <c r="AU11" i="12" s="1"/>
  <c r="AO11" i="12"/>
  <c r="Z184" i="12"/>
  <c r="AR184" i="12" s="1"/>
  <c r="AN118" i="12"/>
  <c r="AC184" i="12"/>
  <c r="AF184" i="12" s="1"/>
  <c r="AU184" i="12" s="1"/>
  <c r="BA124" i="12"/>
  <c r="AI149" i="12"/>
  <c r="Z19" i="12"/>
  <c r="AR19" i="12" s="1"/>
  <c r="AO19" i="12"/>
  <c r="AF140" i="12"/>
  <c r="AU140" i="12" s="1"/>
  <c r="AI124" i="12"/>
  <c r="AF154" i="12"/>
  <c r="AU154" i="12" s="1"/>
  <c r="AF46" i="12"/>
  <c r="AU46" i="12" s="1"/>
  <c r="AN97" i="12"/>
  <c r="AB97" i="12"/>
  <c r="AH97" i="12" s="1"/>
  <c r="Y16" i="12"/>
  <c r="AQ16" i="12" s="1"/>
  <c r="AZ25" i="12"/>
  <c r="Y86" i="12"/>
  <c r="AQ86" i="12" s="1"/>
  <c r="Z24" i="12"/>
  <c r="AR24" i="12" s="1"/>
  <c r="AN86" i="12"/>
  <c r="AO24" i="12"/>
  <c r="AN16" i="12"/>
  <c r="AN44" i="12"/>
  <c r="Y44" i="12"/>
  <c r="AQ44" i="12" s="1"/>
  <c r="AI49" i="12"/>
  <c r="AN53" i="12"/>
  <c r="AZ175" i="12"/>
  <c r="Z95" i="12"/>
  <c r="AR95" i="12" s="1"/>
  <c r="BA49" i="12"/>
  <c r="AB89" i="12"/>
  <c r="AE89" i="12" s="1"/>
  <c r="AT89" i="12" s="1"/>
  <c r="AI51" i="12"/>
  <c r="AF62" i="12"/>
  <c r="AU62" i="12" s="1"/>
  <c r="AN89" i="12"/>
  <c r="AO36" i="12"/>
  <c r="AZ169" i="12"/>
  <c r="AI85" i="12"/>
  <c r="AZ21" i="12"/>
  <c r="AI146" i="12"/>
  <c r="Z36" i="12"/>
  <c r="AR36" i="12" s="1"/>
  <c r="AO170" i="12"/>
  <c r="AO69" i="12"/>
  <c r="AO174" i="12"/>
  <c r="Z174" i="12"/>
  <c r="AR174" i="12" s="1"/>
  <c r="AC95" i="12"/>
  <c r="AF95" i="12" s="1"/>
  <c r="AU95" i="12" s="1"/>
  <c r="AO137" i="12"/>
  <c r="AO180" i="12"/>
  <c r="AO54" i="12"/>
  <c r="Z137" i="12"/>
  <c r="AR137" i="12" s="1"/>
  <c r="AZ156" i="12"/>
  <c r="AC180" i="12"/>
  <c r="AI180" i="12" s="1"/>
  <c r="Z54" i="12"/>
  <c r="AR54" i="12" s="1"/>
  <c r="Y53" i="12"/>
  <c r="AQ53" i="12" s="1"/>
  <c r="Y67" i="12"/>
  <c r="AQ67" i="12" s="1"/>
  <c r="AO91" i="12"/>
  <c r="AC91" i="12"/>
  <c r="AI91" i="12" s="1"/>
  <c r="AB158" i="12"/>
  <c r="AE158" i="12" s="1"/>
  <c r="AT158" i="12" s="1"/>
  <c r="Y138" i="12"/>
  <c r="AQ138" i="12" s="1"/>
  <c r="Y158" i="12"/>
  <c r="AQ158" i="12" s="1"/>
  <c r="AN67" i="12"/>
  <c r="Z170" i="12"/>
  <c r="AR170" i="12" s="1"/>
  <c r="AO182" i="12"/>
  <c r="Z182" i="12"/>
  <c r="AR182" i="12" s="1"/>
  <c r="AN138" i="12"/>
  <c r="AO138" i="12"/>
  <c r="Z138" i="12"/>
  <c r="AR138" i="12" s="1"/>
  <c r="AN106" i="12"/>
  <c r="AZ28" i="12"/>
  <c r="AB107" i="12"/>
  <c r="AH107" i="12" s="1"/>
  <c r="AZ180" i="12"/>
  <c r="AB74" i="12"/>
  <c r="AH74" i="12" s="1"/>
  <c r="AF175" i="12"/>
  <c r="AU175" i="12" s="1"/>
  <c r="Y74" i="12"/>
  <c r="AQ74" i="12" s="1"/>
  <c r="AI18" i="12"/>
  <c r="AZ168" i="12"/>
  <c r="AO136" i="12"/>
  <c r="Z9" i="12"/>
  <c r="AR9" i="12" s="1"/>
  <c r="AO45" i="12"/>
  <c r="BA128" i="12"/>
  <c r="AI158" i="12"/>
  <c r="AC8" i="12"/>
  <c r="AF8" i="12" s="1"/>
  <c r="AU8" i="12" s="1"/>
  <c r="Y48" i="12"/>
  <c r="AQ48" i="12" s="1"/>
  <c r="Z8" i="12"/>
  <c r="AR8" i="12" s="1"/>
  <c r="AN48" i="12"/>
  <c r="Z104" i="12"/>
  <c r="AR104" i="12" s="1"/>
  <c r="AB70" i="12"/>
  <c r="AE70" i="12" s="1"/>
  <c r="AT70" i="12" s="1"/>
  <c r="AC104" i="12"/>
  <c r="AI104" i="12" s="1"/>
  <c r="AZ183" i="12"/>
  <c r="AN70" i="12"/>
  <c r="AC136" i="12"/>
  <c r="AI136" i="12" s="1"/>
  <c r="BA158" i="12"/>
  <c r="AO9" i="12"/>
  <c r="Z45" i="12"/>
  <c r="AR45" i="12" s="1"/>
  <c r="Y107" i="12"/>
  <c r="AQ107" i="12" s="1"/>
  <c r="AO55" i="12"/>
  <c r="AI118" i="12"/>
  <c r="BA25" i="12"/>
  <c r="AC55" i="12"/>
  <c r="AF55" i="12" s="1"/>
  <c r="AU55" i="12" s="1"/>
  <c r="AN13" i="12"/>
  <c r="BA150" i="12"/>
  <c r="AB13" i="12"/>
  <c r="AE13" i="12" s="1"/>
  <c r="AT13" i="12" s="1"/>
  <c r="AO52" i="12"/>
  <c r="AC72" i="12"/>
  <c r="AI72" i="12" s="1"/>
  <c r="Z57" i="12"/>
  <c r="AR57" i="12" s="1"/>
  <c r="Y106" i="12"/>
  <c r="AQ106" i="12" s="1"/>
  <c r="AC57" i="12"/>
  <c r="AI57" i="12" s="1"/>
  <c r="AN37" i="12"/>
  <c r="AC69" i="12"/>
  <c r="AF69" i="12" s="1"/>
  <c r="AU69" i="12" s="1"/>
  <c r="Y37" i="12"/>
  <c r="AQ37" i="12" s="1"/>
  <c r="Z52" i="12"/>
  <c r="AR52" i="12" s="1"/>
  <c r="AO72" i="12"/>
  <c r="AB185" i="12"/>
  <c r="AH185" i="12" s="1"/>
  <c r="L39" i="1" s="1"/>
  <c r="BA112" i="12"/>
  <c r="Y185" i="12"/>
  <c r="AQ185" i="12" s="1"/>
  <c r="AB125" i="12"/>
  <c r="AE125" i="12" s="1"/>
  <c r="AT125" i="12" s="1"/>
  <c r="AN125" i="12"/>
  <c r="Y82" i="12"/>
  <c r="AQ82" i="12" s="1"/>
  <c r="AN121" i="12"/>
  <c r="AF78" i="12"/>
  <c r="AU78" i="12" s="1"/>
  <c r="AN82" i="12"/>
  <c r="Y121" i="12"/>
  <c r="AQ121" i="12" s="1"/>
  <c r="AN152" i="12"/>
  <c r="AF128" i="12"/>
  <c r="AU128" i="12" s="1"/>
  <c r="BA175" i="12"/>
  <c r="AB152" i="12"/>
  <c r="AE152" i="12" s="1"/>
  <c r="AT152" i="12" s="1"/>
  <c r="AC125" i="12"/>
  <c r="AI125" i="12" s="1"/>
  <c r="Z125" i="12"/>
  <c r="AR125" i="12" s="1"/>
  <c r="AF37" i="12"/>
  <c r="AU37" i="12" s="1"/>
  <c r="AN60" i="12"/>
  <c r="Y60" i="12"/>
  <c r="AQ60" i="12" s="1"/>
  <c r="Y148" i="12"/>
  <c r="AQ148" i="12" s="1"/>
  <c r="AB148" i="12"/>
  <c r="AH148" i="12" s="1"/>
  <c r="AN81" i="12"/>
  <c r="AB81" i="12"/>
  <c r="AE81" i="12" s="1"/>
  <c r="AT81" i="12" s="1"/>
  <c r="Z160" i="12"/>
  <c r="AR160" i="12" s="1"/>
  <c r="AC5" i="12"/>
  <c r="AF5" i="12" s="1"/>
  <c r="AU5" i="12" s="1"/>
  <c r="AF33" i="12"/>
  <c r="AU33" i="12" s="1"/>
  <c r="AO5" i="12"/>
  <c r="AC160" i="12"/>
  <c r="AI160" i="12" s="1"/>
  <c r="AO78" i="12"/>
  <c r="Z78" i="12"/>
  <c r="AR78" i="12" s="1"/>
  <c r="Y41" i="12"/>
  <c r="AQ41" i="12" s="1"/>
  <c r="AZ164" i="12"/>
  <c r="AB41" i="12"/>
  <c r="AE41" i="12" s="1"/>
  <c r="AT41" i="12" s="1"/>
  <c r="AO94" i="12"/>
  <c r="AN135" i="12"/>
  <c r="Z94" i="12"/>
  <c r="AR94" i="12" s="1"/>
  <c r="AZ85" i="12"/>
  <c r="AB116" i="12"/>
  <c r="AE116" i="12" s="1"/>
  <c r="AT116" i="12" s="1"/>
  <c r="BA28" i="12"/>
  <c r="Y116" i="12"/>
  <c r="AQ116" i="12" s="1"/>
  <c r="Z38" i="12"/>
  <c r="AR38" i="12" s="1"/>
  <c r="AZ40" i="12"/>
  <c r="Z161" i="12"/>
  <c r="AR161" i="12" s="1"/>
  <c r="AO38" i="12"/>
  <c r="AC161" i="12"/>
  <c r="AF161" i="12" s="1"/>
  <c r="AU161" i="12" s="1"/>
  <c r="AC187" i="12"/>
  <c r="AI187" i="12" s="1"/>
  <c r="M41" i="1" s="1"/>
  <c r="Z187" i="12"/>
  <c r="AR187" i="12" s="1"/>
  <c r="AZ129" i="12"/>
  <c r="AI114" i="12"/>
  <c r="AZ136" i="12"/>
  <c r="AI80" i="12"/>
  <c r="Y186" i="12"/>
  <c r="AQ186" i="12" s="1"/>
  <c r="AN186" i="12"/>
  <c r="AC32" i="12"/>
  <c r="AI32" i="12" s="1"/>
  <c r="Y151" i="12"/>
  <c r="AQ151" i="12" s="1"/>
  <c r="Z32" i="12"/>
  <c r="AR32" i="12" s="1"/>
  <c r="AI43" i="12"/>
  <c r="AI141" i="12"/>
  <c r="BA115" i="12"/>
  <c r="AF30" i="12"/>
  <c r="AU30" i="12" s="1"/>
  <c r="AO60" i="12"/>
  <c r="AZ144" i="12"/>
  <c r="AO171" i="12"/>
  <c r="AF12" i="12"/>
  <c r="AU12" i="12" s="1"/>
  <c r="Z20" i="12"/>
  <c r="AR20" i="12" s="1"/>
  <c r="AZ24" i="12"/>
  <c r="AB135" i="12"/>
  <c r="AH135" i="12" s="1"/>
  <c r="AC171" i="12"/>
  <c r="AI171" i="12" s="1"/>
  <c r="BA13" i="12"/>
  <c r="AN47" i="12"/>
  <c r="Y79" i="12"/>
  <c r="AQ79" i="12" s="1"/>
  <c r="AN79" i="12"/>
  <c r="AB47" i="12"/>
  <c r="AE47" i="12" s="1"/>
  <c r="AT47" i="12" s="1"/>
  <c r="AO151" i="12"/>
  <c r="Z151" i="12"/>
  <c r="AR151" i="12" s="1"/>
  <c r="AB91" i="12"/>
  <c r="AH91" i="12" s="1"/>
  <c r="AZ43" i="12"/>
  <c r="AN146" i="12"/>
  <c r="AN131" i="12"/>
  <c r="Y131" i="12"/>
  <c r="AQ131" i="12" s="1"/>
  <c r="AO65" i="12"/>
  <c r="Z65" i="12"/>
  <c r="AR65" i="12" s="1"/>
  <c r="AI25" i="12"/>
  <c r="BA100" i="12"/>
  <c r="Y91" i="12"/>
  <c r="AQ91" i="12" s="1"/>
  <c r="AB162" i="12"/>
  <c r="AE162" i="12" s="1"/>
  <c r="AT162" i="12" s="1"/>
  <c r="AN126" i="12"/>
  <c r="AZ147" i="12"/>
  <c r="AO77" i="12"/>
  <c r="Y84" i="12"/>
  <c r="AQ84" i="12" s="1"/>
  <c r="AZ155" i="12"/>
  <c r="AC135" i="12"/>
  <c r="AI135" i="12" s="1"/>
  <c r="AZ149" i="12"/>
  <c r="BA27" i="12"/>
  <c r="AI75" i="12"/>
  <c r="Z135" i="12"/>
  <c r="AR135" i="12" s="1"/>
  <c r="AI139" i="12"/>
  <c r="Y146" i="12"/>
  <c r="AQ146" i="12" s="1"/>
  <c r="Y126" i="12"/>
  <c r="AQ126" i="12" s="1"/>
  <c r="Y54" i="12"/>
  <c r="AQ54" i="12" s="1"/>
  <c r="AZ110" i="12"/>
  <c r="AB84" i="12"/>
  <c r="AH84" i="12" s="1"/>
  <c r="Y98" i="12"/>
  <c r="AQ98" i="12" s="1"/>
  <c r="AZ14" i="12"/>
  <c r="Z165" i="12"/>
  <c r="AR165" i="12" s="1"/>
  <c r="AN98" i="12"/>
  <c r="BA67" i="12"/>
  <c r="Y162" i="12"/>
  <c r="AQ162" i="12" s="1"/>
  <c r="AB54" i="12"/>
  <c r="AE54" i="12" s="1"/>
  <c r="AT54" i="12" s="1"/>
  <c r="AN36" i="12"/>
  <c r="AO126" i="12"/>
  <c r="Y36" i="12"/>
  <c r="AQ36" i="12" s="1"/>
  <c r="BA43" i="12"/>
  <c r="Z113" i="12"/>
  <c r="AR113" i="12" s="1"/>
  <c r="AB62" i="12"/>
  <c r="AE62" i="12" s="1"/>
  <c r="AT62" i="12" s="1"/>
  <c r="AC87" i="12"/>
  <c r="AF87" i="12" s="1"/>
  <c r="AU87" i="12" s="1"/>
  <c r="Z126" i="12"/>
  <c r="AR126" i="12" s="1"/>
  <c r="AZ101" i="12"/>
  <c r="AI89" i="12"/>
  <c r="AC84" i="12"/>
  <c r="AI84" i="12" s="1"/>
  <c r="AZ160" i="12"/>
  <c r="AN62" i="12"/>
  <c r="BA101" i="12"/>
  <c r="AO165" i="12"/>
  <c r="Z84" i="12"/>
  <c r="AR84" i="12" s="1"/>
  <c r="AC113" i="12"/>
  <c r="AF113" i="12" s="1"/>
  <c r="AU113" i="12" s="1"/>
  <c r="AZ96" i="12"/>
  <c r="Z162" i="12"/>
  <c r="AR162" i="12" s="1"/>
  <c r="AN39" i="12"/>
  <c r="Z48" i="12"/>
  <c r="AR48" i="12" s="1"/>
  <c r="Z77" i="12"/>
  <c r="AR77" i="12" s="1"/>
  <c r="BA75" i="12"/>
  <c r="AN104" i="12"/>
  <c r="AB20" i="12"/>
  <c r="AE20" i="12" s="1"/>
  <c r="AT20" i="12" s="1"/>
  <c r="AB104" i="12"/>
  <c r="AE104" i="12" s="1"/>
  <c r="AT104" i="12" s="1"/>
  <c r="AO81" i="12"/>
  <c r="AN20" i="12"/>
  <c r="AB134" i="12"/>
  <c r="AH134" i="12" s="1"/>
  <c r="Z81" i="12"/>
  <c r="AR81" i="12" s="1"/>
  <c r="BA176" i="12"/>
  <c r="BA106" i="12"/>
  <c r="AF22" i="12"/>
  <c r="AU22" i="12" s="1"/>
  <c r="AZ100" i="12"/>
  <c r="Z63" i="12"/>
  <c r="AR63" i="12" s="1"/>
  <c r="Y171" i="12"/>
  <c r="AQ171" i="12" s="1"/>
  <c r="AZ157" i="12"/>
  <c r="AN171" i="12"/>
  <c r="AN134" i="12"/>
  <c r="AZ68" i="12"/>
  <c r="AZ73" i="12"/>
  <c r="Y184" i="12"/>
  <c r="AQ184" i="12" s="1"/>
  <c r="Z76" i="12"/>
  <c r="AR76" i="12" s="1"/>
  <c r="BA93" i="12"/>
  <c r="AO63" i="12"/>
  <c r="AB151" i="12"/>
  <c r="AH151" i="12" s="1"/>
  <c r="AO20" i="12"/>
  <c r="Z60" i="12"/>
  <c r="AR60" i="12" s="1"/>
  <c r="AO87" i="12"/>
  <c r="AB184" i="12"/>
  <c r="AH184" i="12" s="1"/>
  <c r="AO48" i="12"/>
  <c r="Y39" i="12"/>
  <c r="AQ39" i="12" s="1"/>
  <c r="AB90" i="12"/>
  <c r="AH90" i="12" s="1"/>
  <c r="Y165" i="12"/>
  <c r="AQ165" i="12" s="1"/>
  <c r="Y90" i="12"/>
  <c r="AQ90" i="12" s="1"/>
  <c r="AB165" i="12"/>
  <c r="AH165" i="12" s="1"/>
  <c r="BA26" i="12"/>
  <c r="AO162" i="12"/>
  <c r="AO119" i="12"/>
  <c r="Y9" i="12"/>
  <c r="AQ9" i="12" s="1"/>
  <c r="AC119" i="12"/>
  <c r="AF119" i="12" s="1"/>
  <c r="AU119" i="12" s="1"/>
  <c r="Z130" i="12"/>
  <c r="AR130" i="12" s="1"/>
  <c r="AB9" i="12"/>
  <c r="AE9" i="12" s="1"/>
  <c r="AT9" i="12" s="1"/>
  <c r="AC76" i="12"/>
  <c r="AI76" i="12" s="1"/>
  <c r="AC130" i="12"/>
  <c r="AF130" i="12" s="1"/>
  <c r="AU130" i="12" s="1"/>
  <c r="BA92" i="12"/>
  <c r="Y64" i="12"/>
  <c r="AQ64" i="12" s="1"/>
  <c r="AB64" i="12"/>
  <c r="AE64" i="12" s="1"/>
  <c r="AT64" i="12" s="1"/>
  <c r="AF26" i="12"/>
  <c r="AU26" i="12" s="1"/>
  <c r="Y77" i="12"/>
  <c r="AQ77" i="12" s="1"/>
  <c r="AN77" i="12"/>
  <c r="BA105" i="12"/>
  <c r="AF168" i="12"/>
  <c r="AU168" i="12" s="1"/>
  <c r="AI100" i="12"/>
  <c r="AF28" i="12"/>
  <c r="AU28" i="12" s="1"/>
  <c r="AF109" i="12"/>
  <c r="AU109" i="12" s="1"/>
  <c r="AH14" i="12"/>
  <c r="AE14" i="12"/>
  <c r="AT14" i="12" s="1"/>
  <c r="AG71" i="12"/>
  <c r="AD71" i="12"/>
  <c r="AS71" i="12" s="1"/>
  <c r="AE18" i="12"/>
  <c r="AT18" i="12" s="1"/>
  <c r="AH18" i="12"/>
  <c r="AI126" i="12"/>
  <c r="AF126" i="12"/>
  <c r="AU126" i="12" s="1"/>
  <c r="AG149" i="12"/>
  <c r="AD149" i="12"/>
  <c r="AS149" i="12" s="1"/>
  <c r="AH29" i="12"/>
  <c r="AE29" i="12"/>
  <c r="AT29" i="12" s="1"/>
  <c r="AD103" i="12"/>
  <c r="AS103" i="12" s="1"/>
  <c r="AG103" i="12"/>
  <c r="AE83" i="12"/>
  <c r="AT83" i="12" s="1"/>
  <c r="AH83" i="12"/>
  <c r="AD105" i="12"/>
  <c r="AS105" i="12" s="1"/>
  <c r="AG105" i="12"/>
  <c r="AE69" i="12"/>
  <c r="AT69" i="12" s="1"/>
  <c r="AH69" i="12"/>
  <c r="AH136" i="12"/>
  <c r="AE136" i="12"/>
  <c r="AT136" i="12" s="1"/>
  <c r="AH182" i="12"/>
  <c r="AE182" i="12"/>
  <c r="AT182" i="12" s="1"/>
  <c r="AG178" i="12"/>
  <c r="AD178" i="12"/>
  <c r="AS178" i="12" s="1"/>
  <c r="AI96" i="12"/>
  <c r="AF96" i="12"/>
  <c r="AU96" i="12" s="1"/>
  <c r="AH160" i="12"/>
  <c r="AE160" i="12"/>
  <c r="AT160" i="12" s="1"/>
  <c r="AD106" i="12"/>
  <c r="AS106" i="12" s="1"/>
  <c r="AG106" i="12"/>
  <c r="AD188" i="12"/>
  <c r="AS188" i="12" s="1"/>
  <c r="AG188" i="12"/>
  <c r="K42" i="1" s="1"/>
  <c r="AG102" i="12"/>
  <c r="AD102" i="12"/>
  <c r="AS102" i="12" s="1"/>
  <c r="AG75" i="12"/>
  <c r="AD75" i="12"/>
  <c r="AS75" i="12" s="1"/>
  <c r="AG94" i="12"/>
  <c r="AD94" i="12"/>
  <c r="AS94" i="12" s="1"/>
  <c r="AI90" i="12"/>
  <c r="AF90" i="12"/>
  <c r="AU90" i="12" s="1"/>
  <c r="AH131" i="12"/>
  <c r="AE131" i="12"/>
  <c r="AT131" i="12" s="1"/>
  <c r="AE48" i="12"/>
  <c r="AT48" i="12" s="1"/>
  <c r="AH48" i="12"/>
  <c r="AG56" i="12"/>
  <c r="AD56" i="12"/>
  <c r="AS56" i="12" s="1"/>
  <c r="AE39" i="12"/>
  <c r="AT39" i="12" s="1"/>
  <c r="AH39" i="12"/>
  <c r="AE75" i="12"/>
  <c r="AT75" i="12" s="1"/>
  <c r="AH75" i="12"/>
  <c r="AD19" i="12"/>
  <c r="AS19" i="12" s="1"/>
  <c r="AG19" i="12"/>
  <c r="AD83" i="12"/>
  <c r="AS83" i="12" s="1"/>
  <c r="AG83" i="12"/>
  <c r="AG155" i="12"/>
  <c r="AD155" i="12"/>
  <c r="AS155" i="12" s="1"/>
  <c r="AE98" i="12"/>
  <c r="AT98" i="12" s="1"/>
  <c r="AH98" i="12"/>
  <c r="AH38" i="12"/>
  <c r="AE38" i="12"/>
  <c r="AT38" i="12" s="1"/>
  <c r="AI24" i="12"/>
  <c r="AF24" i="12"/>
  <c r="AU24" i="12" s="1"/>
  <c r="AG88" i="12"/>
  <c r="AD88" i="12"/>
  <c r="AS88" i="12" s="1"/>
  <c r="AG96" i="12"/>
  <c r="AD96" i="12"/>
  <c r="AS96" i="12" s="1"/>
  <c r="AH80" i="12"/>
  <c r="AE80" i="12"/>
  <c r="AT80" i="12" s="1"/>
  <c r="AG93" i="12"/>
  <c r="AD93" i="12"/>
  <c r="AS93" i="12" s="1"/>
  <c r="AE138" i="12"/>
  <c r="AT138" i="12" s="1"/>
  <c r="AH138" i="12"/>
  <c r="AE17" i="12"/>
  <c r="AT17" i="12" s="1"/>
  <c r="AH17" i="12"/>
  <c r="AI68" i="12"/>
  <c r="AF68" i="12"/>
  <c r="AU68" i="12" s="1"/>
  <c r="AE100" i="12"/>
  <c r="AT100" i="12" s="1"/>
  <c r="AH100" i="12"/>
  <c r="AE30" i="12"/>
  <c r="AT30" i="12" s="1"/>
  <c r="AH30" i="12"/>
  <c r="AE19" i="12"/>
  <c r="AT19" i="12" s="1"/>
  <c r="AH19" i="12"/>
  <c r="AG85" i="12"/>
  <c r="AD85" i="12"/>
  <c r="AS85" i="12" s="1"/>
  <c r="AG128" i="12"/>
  <c r="AD128" i="12"/>
  <c r="AS128" i="12" s="1"/>
  <c r="AD126" i="12"/>
  <c r="AS126" i="12" s="1"/>
  <c r="AG126" i="12"/>
  <c r="AG187" i="12"/>
  <c r="K41" i="1" s="1"/>
  <c r="AD187" i="12"/>
  <c r="AS187" i="12" s="1"/>
  <c r="AF23" i="12"/>
  <c r="AU23" i="12" s="1"/>
  <c r="AI23" i="12"/>
  <c r="AD30" i="12"/>
  <c r="AS30" i="12" s="1"/>
  <c r="AG30" i="12"/>
  <c r="AG156" i="12"/>
  <c r="AD156" i="12"/>
  <c r="AS156" i="12" s="1"/>
  <c r="AH73" i="12"/>
  <c r="AE73" i="12"/>
  <c r="AT73" i="12" s="1"/>
  <c r="AD16" i="12"/>
  <c r="AS16" i="12" s="1"/>
  <c r="AG16" i="12"/>
  <c r="AH33" i="12"/>
  <c r="AE33" i="12"/>
  <c r="AT33" i="12" s="1"/>
  <c r="AD184" i="12"/>
  <c r="AS184" i="12" s="1"/>
  <c r="AG184" i="12"/>
  <c r="AF36" i="12"/>
  <c r="AU36" i="12" s="1"/>
  <c r="AI36" i="12"/>
  <c r="AG107" i="12"/>
  <c r="AD107" i="12"/>
  <c r="AS107" i="12" s="1"/>
  <c r="AD100" i="12"/>
  <c r="AS100" i="12" s="1"/>
  <c r="AG100" i="12"/>
  <c r="AF170" i="12"/>
  <c r="AU170" i="12" s="1"/>
  <c r="AI170" i="12"/>
  <c r="AF145" i="12"/>
  <c r="AU145" i="12" s="1"/>
  <c r="AI145" i="12"/>
  <c r="AH170" i="12"/>
  <c r="AE170" i="12"/>
  <c r="AT170" i="12" s="1"/>
  <c r="AG165" i="12"/>
  <c r="AD165" i="12"/>
  <c r="AS165" i="12" s="1"/>
  <c r="AD142" i="12"/>
  <c r="AS142" i="12" s="1"/>
  <c r="AG142" i="12"/>
  <c r="AD168" i="12"/>
  <c r="AS168" i="12" s="1"/>
  <c r="AG168" i="12"/>
  <c r="AF138" i="12"/>
  <c r="AU138" i="12" s="1"/>
  <c r="AI138" i="12"/>
  <c r="AE88" i="12"/>
  <c r="AT88" i="12" s="1"/>
  <c r="AH88" i="12"/>
  <c r="AH16" i="12"/>
  <c r="AE16" i="12"/>
  <c r="AT16" i="12" s="1"/>
  <c r="AH99" i="12"/>
  <c r="AE99" i="12"/>
  <c r="AT99" i="12" s="1"/>
  <c r="AD76" i="12"/>
  <c r="AS76" i="12" s="1"/>
  <c r="AG76" i="12"/>
  <c r="AD182" i="12"/>
  <c r="AS182" i="12" s="1"/>
  <c r="AG182" i="12"/>
  <c r="AE142" i="12"/>
  <c r="AT142" i="12" s="1"/>
  <c r="AH142" i="12"/>
  <c r="AD40" i="12"/>
  <c r="AS40" i="12" s="1"/>
  <c r="AG40" i="12"/>
  <c r="AG127" i="12"/>
  <c r="AD127" i="12"/>
  <c r="AS127" i="12" s="1"/>
  <c r="AF131" i="12"/>
  <c r="AU131" i="12" s="1"/>
  <c r="AI131" i="12"/>
  <c r="AI14" i="12"/>
  <c r="AF14" i="12"/>
  <c r="AU14" i="12" s="1"/>
  <c r="AE78" i="12"/>
  <c r="AT78" i="12" s="1"/>
  <c r="AH78" i="12"/>
  <c r="AD113" i="12"/>
  <c r="AS113" i="12" s="1"/>
  <c r="AG113" i="12"/>
  <c r="AG44" i="12"/>
  <c r="AD44" i="12"/>
  <c r="AS44" i="12" s="1"/>
  <c r="AH31" i="12"/>
  <c r="AE31" i="12"/>
  <c r="AT31" i="12" s="1"/>
  <c r="AH153" i="12"/>
  <c r="AE153" i="12"/>
  <c r="AT153" i="12" s="1"/>
  <c r="AG41" i="12"/>
  <c r="AD41" i="12"/>
  <c r="AS41" i="12" s="1"/>
  <c r="AG87" i="12"/>
  <c r="AD87" i="12"/>
  <c r="AS87" i="12" s="1"/>
  <c r="AH77" i="12"/>
  <c r="AE77" i="12"/>
  <c r="AT77" i="12" s="1"/>
  <c r="AF102" i="12"/>
  <c r="AU102" i="12" s="1"/>
  <c r="AI102" i="12"/>
  <c r="AE159" i="12"/>
  <c r="AT159" i="12" s="1"/>
  <c r="AH159" i="12"/>
  <c r="AG67" i="12"/>
  <c r="AD67" i="12"/>
  <c r="AS67" i="12" s="1"/>
  <c r="AD36" i="12"/>
  <c r="AS36" i="12" s="1"/>
  <c r="AG36" i="12"/>
  <c r="AF116" i="12"/>
  <c r="AU116" i="12" s="1"/>
  <c r="AI116" i="12"/>
  <c r="AH23" i="12"/>
  <c r="AE23" i="12"/>
  <c r="AT23" i="12" s="1"/>
  <c r="AH43" i="12"/>
  <c r="AE43" i="12"/>
  <c r="AT43" i="12" s="1"/>
  <c r="AH143" i="12"/>
  <c r="AE143" i="12"/>
  <c r="AT143" i="12" s="1"/>
  <c r="AD24" i="12"/>
  <c r="AS24" i="12" s="1"/>
  <c r="AG24" i="12"/>
  <c r="AE6" i="12"/>
  <c r="AT6" i="12" s="1"/>
  <c r="AH6" i="12"/>
  <c r="AG89" i="12"/>
  <c r="AD89" i="12"/>
  <c r="AS89" i="12" s="1"/>
  <c r="AD159" i="12"/>
  <c r="AS159" i="12" s="1"/>
  <c r="AG159" i="12"/>
  <c r="AI182" i="12"/>
  <c r="AF182" i="12"/>
  <c r="AU182" i="12" s="1"/>
  <c r="AH141" i="12"/>
  <c r="AE141" i="12"/>
  <c r="AT141" i="12" s="1"/>
  <c r="AE34" i="12"/>
  <c r="AT34" i="12" s="1"/>
  <c r="AH34" i="12"/>
  <c r="AG154" i="12"/>
  <c r="AD154" i="12"/>
  <c r="AS154" i="12" s="1"/>
  <c r="AF77" i="12"/>
  <c r="AU77" i="12" s="1"/>
  <c r="AI77" i="12"/>
  <c r="AH28" i="12"/>
  <c r="AE28" i="12"/>
  <c r="AT28" i="12" s="1"/>
  <c r="AH155" i="12"/>
  <c r="AE155" i="12"/>
  <c r="AT155" i="12" s="1"/>
  <c r="AG132" i="12"/>
  <c r="AD132" i="12"/>
  <c r="AS132" i="12" s="1"/>
  <c r="AD115" i="12"/>
  <c r="AS115" i="12" s="1"/>
  <c r="AG115" i="12"/>
  <c r="AG111" i="12"/>
  <c r="AD111" i="12"/>
  <c r="AS111" i="12" s="1"/>
  <c r="AH122" i="12"/>
  <c r="AE122" i="12"/>
  <c r="AT122" i="12" s="1"/>
  <c r="AG62" i="12"/>
  <c r="AD62" i="12"/>
  <c r="AS62" i="12" s="1"/>
  <c r="AH109" i="12"/>
  <c r="AE109" i="12"/>
  <c r="AT109" i="12" s="1"/>
  <c r="AG148" i="12"/>
  <c r="AD148" i="12"/>
  <c r="AS148" i="12" s="1"/>
  <c r="AD39" i="12"/>
  <c r="AS39" i="12" s="1"/>
  <c r="AG39" i="12"/>
  <c r="AE130" i="12"/>
  <c r="AT130" i="12" s="1"/>
  <c r="AH130" i="12"/>
  <c r="AH120" i="12"/>
  <c r="AE120" i="12"/>
  <c r="AT120" i="12" s="1"/>
  <c r="AG65" i="12"/>
  <c r="AD65" i="12"/>
  <c r="AS65" i="12" s="1"/>
  <c r="AD130" i="12"/>
  <c r="AS130" i="12" s="1"/>
  <c r="AG130" i="12"/>
  <c r="AI52" i="12"/>
  <c r="AF52" i="12"/>
  <c r="AU52" i="12" s="1"/>
  <c r="AF44" i="12"/>
  <c r="AU44" i="12" s="1"/>
  <c r="AI44" i="12"/>
  <c r="AE52" i="12"/>
  <c r="AT52" i="12" s="1"/>
  <c r="AH52" i="12"/>
  <c r="AG35" i="12"/>
  <c r="AD35" i="12"/>
  <c r="AS35" i="12" s="1"/>
  <c r="AH139" i="12"/>
  <c r="AE139" i="12"/>
  <c r="AT139" i="12" s="1"/>
  <c r="AD20" i="12"/>
  <c r="AS20" i="12" s="1"/>
  <c r="AG20" i="12"/>
  <c r="AD98" i="12"/>
  <c r="AS98" i="12" s="1"/>
  <c r="AG98" i="12"/>
  <c r="AE65" i="12"/>
  <c r="AT65" i="12" s="1"/>
  <c r="AH65" i="12"/>
  <c r="AG129" i="12"/>
  <c r="AD129" i="12"/>
  <c r="AS129" i="12" s="1"/>
  <c r="AG133" i="12"/>
  <c r="AD133" i="12"/>
  <c r="AS133" i="12" s="1"/>
  <c r="AI169" i="12"/>
  <c r="AF169" i="12"/>
  <c r="AU169" i="12" s="1"/>
  <c r="AH59" i="12"/>
  <c r="AE59" i="12"/>
  <c r="AT59" i="12" s="1"/>
  <c r="AD17" i="12"/>
  <c r="AS17" i="12" s="1"/>
  <c r="AG17" i="12"/>
  <c r="AD181" i="12"/>
  <c r="AS181" i="12" s="1"/>
  <c r="AG181" i="12"/>
  <c r="AD173" i="12"/>
  <c r="AS173" i="12" s="1"/>
  <c r="AG173" i="12"/>
  <c r="AH174" i="12"/>
  <c r="AE174" i="12"/>
  <c r="AT174" i="12" s="1"/>
  <c r="AG160" i="12"/>
  <c r="AD160" i="12"/>
  <c r="AS160" i="12" s="1"/>
  <c r="AG49" i="12"/>
  <c r="AD49" i="12"/>
  <c r="AS49" i="12" s="1"/>
  <c r="AG74" i="12"/>
  <c r="AD74" i="12"/>
  <c r="AS74" i="12" s="1"/>
  <c r="AH32" i="12"/>
  <c r="AE32" i="12"/>
  <c r="AT32" i="12" s="1"/>
  <c r="AH92" i="12"/>
  <c r="AE92" i="12"/>
  <c r="AT92" i="12" s="1"/>
  <c r="AI137" i="12"/>
  <c r="AF137" i="12"/>
  <c r="AU137" i="12" s="1"/>
  <c r="AD150" i="12"/>
  <c r="AS150" i="12" s="1"/>
  <c r="AG150" i="12"/>
  <c r="AH27" i="12"/>
  <c r="AE27" i="12"/>
  <c r="AT27" i="12" s="1"/>
  <c r="AG28" i="12"/>
  <c r="AD28" i="12"/>
  <c r="AS28" i="12" s="1"/>
  <c r="AE149" i="12"/>
  <c r="AT149" i="12" s="1"/>
  <c r="AH149" i="12"/>
  <c r="AH10" i="12"/>
  <c r="AE10" i="12"/>
  <c r="AT10" i="12" s="1"/>
  <c r="AH140" i="12"/>
  <c r="AE140" i="12"/>
  <c r="AT140" i="12" s="1"/>
  <c r="AE146" i="12"/>
  <c r="AT146" i="12" s="1"/>
  <c r="AH146" i="12"/>
  <c r="AG14" i="12"/>
  <c r="AD14" i="12"/>
  <c r="AS14" i="12" s="1"/>
  <c r="AD121" i="12"/>
  <c r="AS121" i="12" s="1"/>
  <c r="AG121" i="12"/>
  <c r="AD38" i="12"/>
  <c r="AS38" i="12" s="1"/>
  <c r="AG38" i="12"/>
  <c r="AH93" i="12"/>
  <c r="AE93" i="12"/>
  <c r="AT93" i="12" s="1"/>
  <c r="AD104" i="12"/>
  <c r="AS104" i="12" s="1"/>
  <c r="AG104" i="12"/>
  <c r="AH79" i="12"/>
  <c r="AE79" i="12"/>
  <c r="AT79" i="12" s="1"/>
  <c r="AH163" i="12"/>
  <c r="AE163" i="12"/>
  <c r="AT163" i="12" s="1"/>
  <c r="AH123" i="12"/>
  <c r="AE123" i="12"/>
  <c r="AT123" i="12" s="1"/>
  <c r="AH22" i="12"/>
  <c r="AE22" i="12"/>
  <c r="AT22" i="12" s="1"/>
  <c r="AH119" i="12"/>
  <c r="AE119" i="12"/>
  <c r="AT119" i="12" s="1"/>
  <c r="AD172" i="12"/>
  <c r="AS172" i="12" s="1"/>
  <c r="AG172" i="12"/>
  <c r="AD43" i="12"/>
  <c r="AS43" i="12" s="1"/>
  <c r="AG43" i="12"/>
  <c r="AD25" i="12"/>
  <c r="AS25" i="12" s="1"/>
  <c r="AG25" i="12"/>
  <c r="AH147" i="12"/>
  <c r="AE147" i="12"/>
  <c r="AT147" i="12" s="1"/>
  <c r="AD177" i="12"/>
  <c r="AS177" i="12" s="1"/>
  <c r="AG177" i="12"/>
  <c r="AH172" i="12"/>
  <c r="AE172" i="12"/>
  <c r="AT172" i="12" s="1"/>
  <c r="AE42" i="12"/>
  <c r="AT42" i="12" s="1"/>
  <c r="AH42" i="12"/>
  <c r="AE87" i="12"/>
  <c r="AT87" i="12" s="1"/>
  <c r="AH87" i="12"/>
  <c r="AE63" i="12"/>
  <c r="AT63" i="12" s="1"/>
  <c r="AH63" i="12"/>
  <c r="AE96" i="12"/>
  <c r="AT96" i="12" s="1"/>
  <c r="AH96" i="12"/>
  <c r="AD166" i="12"/>
  <c r="AS166" i="12" s="1"/>
  <c r="AG166" i="12"/>
  <c r="AG144" i="12"/>
  <c r="AD144" i="12"/>
  <c r="AS144" i="12" s="1"/>
  <c r="AH71" i="12"/>
  <c r="AE71" i="12"/>
  <c r="AT71" i="12" s="1"/>
  <c r="AH164" i="12"/>
  <c r="AE164" i="12"/>
  <c r="AT164" i="12" s="1"/>
  <c r="AG61" i="12"/>
  <c r="AD61" i="12"/>
  <c r="AS61" i="12" s="1"/>
  <c r="AD78" i="12"/>
  <c r="AS78" i="12" s="1"/>
  <c r="AG78" i="12"/>
  <c r="AE173" i="12"/>
  <c r="AT173" i="12" s="1"/>
  <c r="AH173" i="12"/>
  <c r="AD114" i="12"/>
  <c r="AS114" i="12" s="1"/>
  <c r="AG114" i="12"/>
  <c r="AH25" i="12"/>
  <c r="AE25" i="12"/>
  <c r="AT25" i="12" s="1"/>
  <c r="AI108" i="12"/>
  <c r="AF108" i="12"/>
  <c r="AU108" i="12" s="1"/>
  <c r="AD15" i="12"/>
  <c r="AS15" i="12" s="1"/>
  <c r="AG15" i="12"/>
  <c r="AH37" i="12"/>
  <c r="AE37" i="12"/>
  <c r="AT37" i="12" s="1"/>
  <c r="AH179" i="12"/>
  <c r="AE179" i="12"/>
  <c r="AT179" i="12" s="1"/>
  <c r="AG147" i="12"/>
  <c r="AD147" i="12"/>
  <c r="AS147" i="12" s="1"/>
  <c r="AD118" i="12"/>
  <c r="AS118" i="12" s="1"/>
  <c r="AG118" i="12"/>
  <c r="AD117" i="12"/>
  <c r="AS117" i="12" s="1"/>
  <c r="AG117" i="12"/>
  <c r="AG180" i="12"/>
  <c r="AD180" i="12"/>
  <c r="AS180" i="12" s="1"/>
  <c r="AG33" i="12"/>
  <c r="AD33" i="12"/>
  <c r="AS33" i="12" s="1"/>
  <c r="AG22" i="12"/>
  <c r="AD22" i="12"/>
  <c r="AS22" i="12" s="1"/>
  <c r="AG139" i="12"/>
  <c r="AD139" i="12"/>
  <c r="AS139" i="12" s="1"/>
  <c r="AE21" i="12"/>
  <c r="AT21" i="12" s="1"/>
  <c r="AH21" i="12"/>
  <c r="AH128" i="12"/>
  <c r="AE128" i="12"/>
  <c r="AT128" i="12" s="1"/>
  <c r="AE36" i="12"/>
  <c r="AT36" i="12" s="1"/>
  <c r="AH36" i="12"/>
  <c r="AG47" i="12"/>
  <c r="AD47" i="12"/>
  <c r="AS47" i="12" s="1"/>
  <c r="AE46" i="12"/>
  <c r="AT46" i="12" s="1"/>
  <c r="AH46" i="12"/>
  <c r="AG53" i="12"/>
  <c r="AD53" i="12"/>
  <c r="AS53" i="12" s="1"/>
  <c r="AD145" i="12"/>
  <c r="AS145" i="12" s="1"/>
  <c r="AG145" i="12"/>
  <c r="AD185" i="12"/>
  <c r="AS185" i="12" s="1"/>
  <c r="AG185" i="12"/>
  <c r="K39" i="1" s="1"/>
  <c r="AG37" i="12"/>
  <c r="AD37" i="12"/>
  <c r="AS37" i="12" s="1"/>
  <c r="AF144" i="12"/>
  <c r="AU144" i="12" s="1"/>
  <c r="AI144" i="12"/>
  <c r="AD52" i="12"/>
  <c r="AS52" i="12" s="1"/>
  <c r="AG52" i="12"/>
  <c r="AH108" i="12"/>
  <c r="AE108" i="12"/>
  <c r="AT108" i="12" s="1"/>
  <c r="AD81" i="12"/>
  <c r="AS81" i="12" s="1"/>
  <c r="AG81" i="12"/>
  <c r="AG26" i="12"/>
  <c r="AD26" i="12"/>
  <c r="AS26" i="12" s="1"/>
  <c r="AF45" i="12"/>
  <c r="AU45" i="12" s="1"/>
  <c r="AI45" i="12"/>
  <c r="AD171" i="12"/>
  <c r="AS171" i="12" s="1"/>
  <c r="AG171" i="12"/>
  <c r="AD138" i="12"/>
  <c r="AS138" i="12" s="1"/>
  <c r="AG138" i="12"/>
  <c r="AD46" i="12"/>
  <c r="AS46" i="12" s="1"/>
  <c r="AG46" i="12"/>
  <c r="AG97" i="12"/>
  <c r="AD97" i="12"/>
  <c r="AS97" i="12" s="1"/>
  <c r="AI34" i="12"/>
  <c r="AF34" i="12"/>
  <c r="AU34" i="12" s="1"/>
  <c r="AH175" i="12"/>
  <c r="AE175" i="12"/>
  <c r="AT175" i="12" s="1"/>
  <c r="AH50" i="12"/>
  <c r="AE50" i="12"/>
  <c r="AT50" i="12" s="1"/>
  <c r="AG31" i="12"/>
  <c r="AD31" i="12"/>
  <c r="AS31" i="12" s="1"/>
  <c r="AE56" i="12"/>
  <c r="AT56" i="12" s="1"/>
  <c r="AH56" i="12"/>
  <c r="AE171" i="12"/>
  <c r="AT171" i="12" s="1"/>
  <c r="AH171" i="12"/>
  <c r="AH129" i="12"/>
  <c r="AE129" i="12"/>
  <c r="AT129" i="12" s="1"/>
  <c r="AG80" i="12"/>
  <c r="AD80" i="12"/>
  <c r="AS80" i="12" s="1"/>
  <c r="AD186" i="12"/>
  <c r="AS186" i="12" s="1"/>
  <c r="AG186" i="12"/>
  <c r="K40" i="1" s="1"/>
  <c r="AE156" i="12"/>
  <c r="AT156" i="12" s="1"/>
  <c r="AH156" i="12"/>
  <c r="AG109" i="12"/>
  <c r="AD109" i="12"/>
  <c r="AS109" i="12" s="1"/>
  <c r="AH12" i="12"/>
  <c r="AE12" i="12"/>
  <c r="AT12" i="12" s="1"/>
  <c r="AD73" i="12"/>
  <c r="AS73" i="12" s="1"/>
  <c r="AG73" i="12"/>
  <c r="AD23" i="12"/>
  <c r="AS23" i="12" s="1"/>
  <c r="AG23" i="12"/>
  <c r="AG101" i="12"/>
  <c r="AD101" i="12"/>
  <c r="AS101" i="12" s="1"/>
  <c r="AD79" i="12"/>
  <c r="AS79" i="12" s="1"/>
  <c r="AG79" i="12"/>
  <c r="AH11" i="12"/>
  <c r="AE11" i="12"/>
  <c r="AT11" i="12" s="1"/>
  <c r="AI48" i="12"/>
  <c r="AF48" i="12"/>
  <c r="AU48" i="12" s="1"/>
  <c r="AH61" i="12"/>
  <c r="AE61" i="12"/>
  <c r="AT61" i="12" s="1"/>
  <c r="AE157" i="12"/>
  <c r="AT157" i="12" s="1"/>
  <c r="AH157" i="12"/>
  <c r="AD59" i="12"/>
  <c r="AS59" i="12" s="1"/>
  <c r="AG59" i="12"/>
  <c r="AG86" i="12"/>
  <c r="AD86" i="12"/>
  <c r="AS86" i="12" s="1"/>
  <c r="AD60" i="12"/>
  <c r="AS60" i="12" s="1"/>
  <c r="AG60" i="12"/>
  <c r="AD64" i="12"/>
  <c r="AS64" i="12" s="1"/>
  <c r="AG64" i="12"/>
  <c r="AE112" i="12"/>
  <c r="AT112" i="12" s="1"/>
  <c r="AH112" i="12"/>
  <c r="AH66" i="12"/>
  <c r="AE66" i="12"/>
  <c r="AT66" i="12" s="1"/>
  <c r="AE180" i="12"/>
  <c r="AT180" i="12" s="1"/>
  <c r="AH180" i="12"/>
  <c r="AG152" i="12"/>
  <c r="AD152" i="12"/>
  <c r="AS152" i="12" s="1"/>
  <c r="AH105" i="12"/>
  <c r="AE105" i="12"/>
  <c r="AT105" i="12" s="1"/>
  <c r="AI162" i="12"/>
  <c r="AF162" i="12"/>
  <c r="AU162" i="12" s="1"/>
  <c r="AD92" i="12"/>
  <c r="AS92" i="12" s="1"/>
  <c r="AG92" i="12"/>
  <c r="AD58" i="12"/>
  <c r="AS58" i="12" s="1"/>
  <c r="AG58" i="12"/>
  <c r="AH169" i="12"/>
  <c r="AE169" i="12"/>
  <c r="AT169" i="12" s="1"/>
  <c r="AG123" i="12"/>
  <c r="AD123" i="12"/>
  <c r="AS123" i="12" s="1"/>
  <c r="AF79" i="12"/>
  <c r="AU79" i="12" s="1"/>
  <c r="AI79" i="12"/>
  <c r="AE60" i="12"/>
  <c r="AT60" i="12" s="1"/>
  <c r="AH60" i="12"/>
  <c r="AD120" i="12"/>
  <c r="AS120" i="12" s="1"/>
  <c r="AG120" i="12"/>
  <c r="AG179" i="12"/>
  <c r="AD179" i="12"/>
  <c r="AS179" i="12" s="1"/>
  <c r="AF127" i="12"/>
  <c r="AU127" i="12" s="1"/>
  <c r="AI127" i="12"/>
  <c r="AI174" i="12"/>
  <c r="AF174" i="12"/>
  <c r="AU174" i="12" s="1"/>
  <c r="AI70" i="12"/>
  <c r="AF70" i="12"/>
  <c r="AU70" i="12" s="1"/>
  <c r="AH5" i="12"/>
  <c r="AE5" i="12"/>
  <c r="AT5" i="12" s="1"/>
  <c r="AD27" i="12"/>
  <c r="AS27" i="12" s="1"/>
  <c r="AG27" i="12"/>
  <c r="AG183" i="12"/>
  <c r="AD183" i="12"/>
  <c r="AS183" i="12" s="1"/>
  <c r="AD66" i="12"/>
  <c r="AS66" i="12" s="1"/>
  <c r="AG66" i="12"/>
  <c r="AG164" i="12"/>
  <c r="AD164" i="12"/>
  <c r="AS164" i="12" s="1"/>
  <c r="AG174" i="12"/>
  <c r="AD174" i="12"/>
  <c r="AS174" i="12" s="1"/>
  <c r="AI129" i="12"/>
  <c r="AF129" i="12"/>
  <c r="AU129" i="12" s="1"/>
  <c r="AD48" i="12"/>
  <c r="AS48" i="12" s="1"/>
  <c r="AG48" i="12"/>
  <c r="AG51" i="12"/>
  <c r="AD51" i="12"/>
  <c r="AS51" i="12" s="1"/>
  <c r="AF166" i="12"/>
  <c r="AU166" i="12" s="1"/>
  <c r="AI166" i="12"/>
  <c r="AE145" i="12"/>
  <c r="AT145" i="12" s="1"/>
  <c r="AH145" i="12"/>
  <c r="AG169" i="12"/>
  <c r="AD169" i="12"/>
  <c r="AS169" i="12" s="1"/>
  <c r="AD163" i="12"/>
  <c r="AS163" i="12" s="1"/>
  <c r="AG163" i="12"/>
  <c r="AD69" i="12"/>
  <c r="AS69" i="12" s="1"/>
  <c r="AG69" i="12"/>
  <c r="AH45" i="12"/>
  <c r="AE45" i="12"/>
  <c r="AT45" i="12" s="1"/>
  <c r="AH24" i="12"/>
  <c r="AE24" i="12"/>
  <c r="AT24" i="12" s="1"/>
  <c r="AE144" i="12"/>
  <c r="AT144" i="12" s="1"/>
  <c r="AH144" i="12"/>
  <c r="AE178" i="12"/>
  <c r="AT178" i="12" s="1"/>
  <c r="AH178" i="12"/>
  <c r="AI38" i="12"/>
  <c r="AF38" i="12"/>
  <c r="AU38" i="12" s="1"/>
  <c r="AE166" i="12"/>
  <c r="AT166" i="12" s="1"/>
  <c r="AH166" i="12"/>
  <c r="AG158" i="12"/>
  <c r="AD158" i="12"/>
  <c r="AS158" i="12" s="1"/>
  <c r="AE86" i="12"/>
  <c r="AT86" i="12" s="1"/>
  <c r="AH86" i="12"/>
  <c r="AI74" i="12"/>
  <c r="AF74" i="12"/>
  <c r="AU74" i="12" s="1"/>
  <c r="AD9" i="12"/>
  <c r="AS9" i="12" s="1"/>
  <c r="AG9" i="12"/>
  <c r="AE111" i="12"/>
  <c r="AT111" i="12" s="1"/>
  <c r="AH111" i="12"/>
  <c r="AG161" i="12"/>
  <c r="AD161" i="12"/>
  <c r="AS161" i="12" s="1"/>
  <c r="AI94" i="12"/>
  <c r="AF94" i="12"/>
  <c r="AU94" i="12" s="1"/>
  <c r="AE76" i="12"/>
  <c r="AT76" i="12" s="1"/>
  <c r="AH76" i="12"/>
  <c r="AF99" i="12"/>
  <c r="AU99" i="12" s="1"/>
  <c r="AI99" i="12"/>
  <c r="AE176" i="12"/>
  <c r="AT176" i="12" s="1"/>
  <c r="AH176" i="12"/>
  <c r="AD175" i="12"/>
  <c r="AS175" i="12" s="1"/>
  <c r="AG175" i="12"/>
  <c r="AD84" i="12"/>
  <c r="AS84" i="12" s="1"/>
  <c r="AG84" i="12"/>
  <c r="AF20" i="12"/>
  <c r="AU20" i="12" s="1"/>
  <c r="AI20" i="12"/>
  <c r="AG124" i="12"/>
  <c r="AD124" i="12"/>
  <c r="AS124" i="12" s="1"/>
  <c r="AE115" i="12"/>
  <c r="AT115" i="12" s="1"/>
  <c r="AH115" i="12"/>
  <c r="AG68" i="12"/>
  <c r="AD68" i="12"/>
  <c r="AS68" i="12" s="1"/>
  <c r="AG162" i="12"/>
  <c r="AD162" i="12"/>
  <c r="AS162" i="12" s="1"/>
  <c r="AE167" i="12"/>
  <c r="AT167" i="12" s="1"/>
  <c r="AH167" i="12"/>
  <c r="AE133" i="12"/>
  <c r="AT133" i="12" s="1"/>
  <c r="AH133" i="12"/>
  <c r="AH94" i="12"/>
  <c r="AE94" i="12"/>
  <c r="AT94" i="12" s="1"/>
  <c r="AH85" i="12"/>
  <c r="AE85" i="12"/>
  <c r="AT85" i="12" s="1"/>
  <c r="AG5" i="12"/>
  <c r="AD5" i="12"/>
  <c r="AS5" i="12" s="1"/>
  <c r="AG45" i="12"/>
  <c r="AD45" i="12"/>
  <c r="AS45" i="12" s="1"/>
  <c r="AD42" i="12"/>
  <c r="AS42" i="12" s="1"/>
  <c r="AG42" i="12"/>
  <c r="AF59" i="12"/>
  <c r="AU59" i="12" s="1"/>
  <c r="AI59" i="12"/>
  <c r="AD112" i="12"/>
  <c r="AS112" i="12" s="1"/>
  <c r="AG112" i="12"/>
  <c r="AG11" i="12"/>
  <c r="AD11" i="12"/>
  <c r="AS11" i="12" s="1"/>
  <c r="AE72" i="12"/>
  <c r="AT72" i="12" s="1"/>
  <c r="AH72" i="12"/>
  <c r="AI132" i="12"/>
  <c r="AF132" i="12"/>
  <c r="AU132" i="12" s="1"/>
  <c r="AH127" i="12"/>
  <c r="AE127" i="12"/>
  <c r="AT127" i="12" s="1"/>
  <c r="AE124" i="12"/>
  <c r="AT124" i="12" s="1"/>
  <c r="AH124" i="12"/>
  <c r="AE49" i="12"/>
  <c r="AT49" i="12" s="1"/>
  <c r="AH49" i="12"/>
  <c r="AG95" i="12"/>
  <c r="AD95" i="12"/>
  <c r="AS95" i="12" s="1"/>
  <c r="AD55" i="12"/>
  <c r="AS55" i="12" s="1"/>
  <c r="AG55" i="12"/>
  <c r="AD8" i="12"/>
  <c r="AS8" i="12" s="1"/>
  <c r="AG8" i="12"/>
  <c r="AH113" i="12"/>
  <c r="AE113" i="12"/>
  <c r="AT113" i="12" s="1"/>
  <c r="AG57" i="12"/>
  <c r="AD57" i="12"/>
  <c r="AS57" i="12" s="1"/>
  <c r="AD72" i="12"/>
  <c r="AS72" i="12" s="1"/>
  <c r="AG72" i="12"/>
  <c r="AH58" i="12"/>
  <c r="AE58" i="12"/>
  <c r="AT58" i="12" s="1"/>
  <c r="AH177" i="12"/>
  <c r="AE177" i="12"/>
  <c r="AT177" i="12" s="1"/>
  <c r="AH121" i="12"/>
  <c r="AE121" i="12"/>
  <c r="AT121" i="12" s="1"/>
  <c r="AF173" i="12"/>
  <c r="AU173" i="12" s="1"/>
  <c r="AI173" i="12"/>
  <c r="AH183" i="12"/>
  <c r="AE183" i="12"/>
  <c r="AT183" i="12" s="1"/>
  <c r="AH7" i="12"/>
  <c r="AE7" i="12"/>
  <c r="AT7" i="12" s="1"/>
  <c r="AD167" i="12"/>
  <c r="AS167" i="12" s="1"/>
  <c r="AG167" i="12"/>
  <c r="AH161" i="12"/>
  <c r="AE161" i="12"/>
  <c r="AT161" i="12" s="1"/>
  <c r="AE103" i="12"/>
  <c r="AT103" i="12" s="1"/>
  <c r="AH103" i="12"/>
  <c r="AI54" i="12"/>
  <c r="AF54" i="12"/>
  <c r="AU54" i="12" s="1"/>
  <c r="AH110" i="12"/>
  <c r="AE110" i="12"/>
  <c r="AT110" i="12" s="1"/>
  <c r="AD108" i="12"/>
  <c r="AS108" i="12" s="1"/>
  <c r="AG108" i="12"/>
  <c r="AD34" i="12"/>
  <c r="AS34" i="12" s="1"/>
  <c r="AG34" i="12"/>
  <c r="AG99" i="12"/>
  <c r="AD99" i="12"/>
  <c r="AS99" i="12" s="1"/>
  <c r="AH67" i="12"/>
  <c r="AE67" i="12"/>
  <c r="AT67" i="12" s="1"/>
  <c r="AE186" i="12"/>
  <c r="AT186" i="12" s="1"/>
  <c r="AH186" i="12"/>
  <c r="L40" i="1" s="1"/>
  <c r="AD54" i="12"/>
  <c r="AS54" i="12" s="1"/>
  <c r="AG54" i="12"/>
  <c r="AG153" i="12"/>
  <c r="AD153" i="12"/>
  <c r="AS153" i="12" s="1"/>
  <c r="AI188" i="12"/>
  <c r="M42" i="1" s="1"/>
  <c r="AF188" i="12"/>
  <c r="AU188" i="12" s="1"/>
  <c r="AH35" i="12"/>
  <c r="AE35" i="12"/>
  <c r="AT35" i="12" s="1"/>
  <c r="AD10" i="12"/>
  <c r="AS10" i="12" s="1"/>
  <c r="AG10" i="12"/>
  <c r="AD63" i="12"/>
  <c r="AS63" i="12" s="1"/>
  <c r="AG63" i="12"/>
  <c r="AG146" i="12"/>
  <c r="AD146" i="12"/>
  <c r="AS146" i="12" s="1"/>
  <c r="AH57" i="12"/>
  <c r="AE57" i="12"/>
  <c r="AT57" i="12" s="1"/>
  <c r="AG134" i="12"/>
  <c r="AD134" i="12"/>
  <c r="AS134" i="12" s="1"/>
  <c r="AE188" i="12"/>
  <c r="AT188" i="12" s="1"/>
  <c r="AH188" i="12"/>
  <c r="L42" i="1" s="1"/>
  <c r="AE106" i="12"/>
  <c r="AT106" i="12" s="1"/>
  <c r="AH106" i="12"/>
  <c r="AD7" i="12"/>
  <c r="AS7" i="12" s="1"/>
  <c r="AG7" i="12"/>
  <c r="AG143" i="12"/>
  <c r="AD143" i="12"/>
  <c r="AS143" i="12" s="1"/>
  <c r="AI63" i="12"/>
  <c r="AF63" i="12"/>
  <c r="AU63" i="12" s="1"/>
  <c r="AE8" i="12"/>
  <c r="AT8" i="12" s="1"/>
  <c r="AH8" i="12"/>
  <c r="AE53" i="12"/>
  <c r="AT53" i="12" s="1"/>
  <c r="AH53" i="12"/>
  <c r="AG12" i="12"/>
  <c r="AD12" i="12"/>
  <c r="AS12" i="12" s="1"/>
  <c r="AF60" i="12"/>
  <c r="AU60" i="12" s="1"/>
  <c r="AI60" i="12"/>
  <c r="AE51" i="12"/>
  <c r="AT51" i="12" s="1"/>
  <c r="AH51" i="12"/>
  <c r="AE132" i="12"/>
  <c r="AT132" i="12" s="1"/>
  <c r="AH132" i="12"/>
  <c r="AH95" i="12"/>
  <c r="AE95" i="12"/>
  <c r="AT95" i="12" s="1"/>
  <c r="AD135" i="12"/>
  <c r="AS135" i="12" s="1"/>
  <c r="AG135" i="12"/>
  <c r="AE181" i="12"/>
  <c r="AT181" i="12" s="1"/>
  <c r="AH181" i="12"/>
  <c r="AG176" i="12"/>
  <c r="AD176" i="12"/>
  <c r="AS176" i="12" s="1"/>
  <c r="AE126" i="12"/>
  <c r="AT126" i="12" s="1"/>
  <c r="AH126" i="12"/>
  <c r="AG13" i="12"/>
  <c r="AD13" i="12"/>
  <c r="AS13" i="12" s="1"/>
  <c r="AG141" i="12"/>
  <c r="AD141" i="12"/>
  <c r="AS141" i="12" s="1"/>
  <c r="AG91" i="12"/>
  <c r="AD91" i="12"/>
  <c r="AS91" i="12" s="1"/>
  <c r="AF86" i="12"/>
  <c r="AU86" i="12" s="1"/>
  <c r="AI86" i="12"/>
  <c r="AG21" i="12"/>
  <c r="AD21" i="12"/>
  <c r="AS21" i="12" s="1"/>
  <c r="AG140" i="12"/>
  <c r="AD140" i="12"/>
  <c r="AS140" i="12" s="1"/>
  <c r="AG116" i="12"/>
  <c r="AD116" i="12"/>
  <c r="AS116" i="12" s="1"/>
  <c r="AI40" i="12"/>
  <c r="AF40" i="12"/>
  <c r="AU40" i="12" s="1"/>
  <c r="AG50" i="12"/>
  <c r="AD50" i="12"/>
  <c r="AS50" i="12" s="1"/>
  <c r="AH40" i="12"/>
  <c r="AE40" i="12"/>
  <c r="AT40" i="12" s="1"/>
  <c r="AE114" i="12"/>
  <c r="AT114" i="12" s="1"/>
  <c r="AH114" i="12"/>
  <c r="AF81" i="12"/>
  <c r="AU81" i="12" s="1"/>
  <c r="AI81" i="12"/>
  <c r="AD170" i="12"/>
  <c r="AS170" i="12" s="1"/>
  <c r="AG170" i="12"/>
  <c r="AG131" i="12"/>
  <c r="AD131" i="12"/>
  <c r="AS131" i="12" s="1"/>
  <c r="AG157" i="12"/>
  <c r="AD157" i="12"/>
  <c r="AS157" i="12" s="1"/>
  <c r="AH15" i="12"/>
  <c r="AE15" i="12"/>
  <c r="AT15" i="12" s="1"/>
  <c r="AH154" i="12"/>
  <c r="AE154" i="12"/>
  <c r="AT154" i="12" s="1"/>
  <c r="AD136" i="12"/>
  <c r="AS136" i="12" s="1"/>
  <c r="AG136" i="12"/>
  <c r="AE150" i="12"/>
  <c r="AT150" i="12" s="1"/>
  <c r="AH150" i="12"/>
  <c r="AF165" i="12"/>
  <c r="AU165" i="12" s="1"/>
  <c r="AI165" i="12"/>
  <c r="AF6" i="12"/>
  <c r="AU6" i="12" s="1"/>
  <c r="AI6" i="12"/>
  <c r="AI15" i="12"/>
  <c r="AF15" i="12"/>
  <c r="AU15" i="12" s="1"/>
  <c r="AG122" i="12"/>
  <c r="AD122" i="12"/>
  <c r="AS122" i="12" s="1"/>
  <c r="AG125" i="12"/>
  <c r="AD125" i="12"/>
  <c r="AS125" i="12" s="1"/>
  <c r="AG110" i="12"/>
  <c r="AD110" i="12"/>
  <c r="AS110" i="12" s="1"/>
  <c r="AF35" i="12"/>
  <c r="AU35" i="12" s="1"/>
  <c r="AI35" i="12"/>
  <c r="AG77" i="12"/>
  <c r="AD77" i="12"/>
  <c r="AS77" i="12" s="1"/>
  <c r="AH68" i="12"/>
  <c r="AE68" i="12"/>
  <c r="AT68" i="12" s="1"/>
  <c r="AG90" i="12"/>
  <c r="AD90" i="12"/>
  <c r="AS90" i="12" s="1"/>
  <c r="AD151" i="12"/>
  <c r="AS151" i="12" s="1"/>
  <c r="AG151" i="12"/>
  <c r="AE168" i="12"/>
  <c r="AT168" i="12" s="1"/>
  <c r="AH168" i="12"/>
  <c r="AE82" i="12"/>
  <c r="AT82" i="12" s="1"/>
  <c r="AH82" i="12"/>
  <c r="AF151" i="12"/>
  <c r="AU151" i="12" s="1"/>
  <c r="AI151" i="12"/>
  <c r="AF19" i="12"/>
  <c r="AU19" i="12" s="1"/>
  <c r="AI19" i="12"/>
  <c r="AE137" i="12"/>
  <c r="AT137" i="12" s="1"/>
  <c r="AH137" i="12"/>
  <c r="AF65" i="12"/>
  <c r="AU65" i="12" s="1"/>
  <c r="AI65" i="12"/>
  <c r="AD32" i="12"/>
  <c r="AS32" i="12" s="1"/>
  <c r="AG32" i="12"/>
  <c r="AG6" i="12"/>
  <c r="AD6" i="12"/>
  <c r="AS6" i="12" s="1"/>
  <c r="AH26" i="12"/>
  <c r="AE26" i="12"/>
  <c r="AT26" i="12" s="1"/>
  <c r="AH101" i="12"/>
  <c r="AE101" i="12"/>
  <c r="AT101" i="12" s="1"/>
  <c r="AD18" i="12"/>
  <c r="AS18" i="12" s="1"/>
  <c r="AG18" i="12"/>
  <c r="AG29" i="12"/>
  <c r="AD29" i="12"/>
  <c r="AS29" i="12" s="1"/>
  <c r="AH44" i="12"/>
  <c r="AE44" i="12"/>
  <c r="AT44" i="12" s="1"/>
  <c r="AG82" i="12"/>
  <c r="AD82" i="12"/>
  <c r="AS82" i="12" s="1"/>
  <c r="AD70" i="12"/>
  <c r="AS70" i="12" s="1"/>
  <c r="AG70" i="12"/>
  <c r="AI9" i="12"/>
  <c r="AF9" i="12"/>
  <c r="AU9" i="12" s="1"/>
  <c r="AD137" i="12"/>
  <c r="AS137" i="12" s="1"/>
  <c r="AG137" i="12"/>
  <c r="AG119" i="12"/>
  <c r="AD119" i="12"/>
  <c r="AS119" i="12" s="1"/>
  <c r="AE187" i="12" l="1"/>
  <c r="AT187" i="12" s="1"/>
  <c r="AI148" i="12"/>
  <c r="AF66" i="12"/>
  <c r="AF39" i="12"/>
  <c r="AI73" i="12"/>
  <c r="AF155" i="12"/>
  <c r="AH102" i="12"/>
  <c r="AE118" i="12"/>
  <c r="AI143" i="12"/>
  <c r="AH117" i="12"/>
  <c r="AI103" i="12"/>
  <c r="AF98" i="12"/>
  <c r="AI133" i="12"/>
  <c r="AI7" i="12"/>
  <c r="AE55" i="12"/>
  <c r="AI181" i="12"/>
  <c r="AI11" i="12"/>
  <c r="AI120" i="12"/>
  <c r="AF152" i="12"/>
  <c r="AI42" i="12"/>
  <c r="AI183" i="12"/>
  <c r="AI184" i="12"/>
  <c r="AE97" i="12"/>
  <c r="AH89" i="12"/>
  <c r="AH158" i="12"/>
  <c r="AI95" i="12"/>
  <c r="AE107" i="12"/>
  <c r="AF180" i="12"/>
  <c r="AF91" i="12"/>
  <c r="AH13" i="12"/>
  <c r="AE74" i="12"/>
  <c r="AI55" i="12"/>
  <c r="AF136" i="12"/>
  <c r="AF57" i="12"/>
  <c r="AF72" i="12"/>
  <c r="AH70" i="12"/>
  <c r="AF125" i="12"/>
  <c r="AF104" i="12"/>
  <c r="AH125" i="12"/>
  <c r="AI8" i="12"/>
  <c r="AE185" i="12"/>
  <c r="AI69" i="12"/>
  <c r="AH81" i="12"/>
  <c r="AE148" i="12"/>
  <c r="AH152" i="12"/>
  <c r="AI5" i="12"/>
  <c r="AF160" i="12"/>
  <c r="AH41" i="12"/>
  <c r="AH116" i="12"/>
  <c r="AE91" i="12"/>
  <c r="AI161" i="12"/>
  <c r="AH20" i="12"/>
  <c r="AF187" i="12"/>
  <c r="AF32" i="12"/>
  <c r="AE151" i="12"/>
  <c r="AE135" i="12"/>
  <c r="AF171" i="12"/>
  <c r="AF135" i="12"/>
  <c r="AH64" i="12"/>
  <c r="AI87" i="12"/>
  <c r="AE84" i="12"/>
  <c r="AH162" i="12"/>
  <c r="AH47" i="12"/>
  <c r="AI113" i="12"/>
  <c r="AH104" i="12"/>
  <c r="AI130" i="12"/>
  <c r="AH54" i="12"/>
  <c r="AF84" i="12"/>
  <c r="AH62" i="12"/>
  <c r="AH9" i="12"/>
  <c r="AF76" i="12"/>
  <c r="AE184" i="12"/>
  <c r="AE134" i="12"/>
  <c r="AE165" i="12"/>
  <c r="AE90" i="12"/>
  <c r="AI119" i="12"/>
  <c r="M38" i="1"/>
  <c r="L38" i="1"/>
  <c r="K38" i="1"/>
  <c r="AX151" i="12"/>
  <c r="AV60" i="12"/>
  <c r="AX31" i="12"/>
  <c r="AW163" i="12"/>
  <c r="AW161" i="12"/>
  <c r="AX18" i="12"/>
  <c r="AX146" i="12"/>
  <c r="AV169" i="12"/>
  <c r="AX51" i="12"/>
  <c r="AX80" i="12"/>
  <c r="AW106" i="12"/>
  <c r="AW173" i="12"/>
  <c r="AX52" i="12"/>
  <c r="AX86" i="12"/>
  <c r="AX130" i="12"/>
  <c r="AV51" i="12"/>
  <c r="AV108" i="12"/>
  <c r="AW24" i="12"/>
  <c r="AW39" i="12"/>
  <c r="AX95" i="12"/>
  <c r="AX158" i="12"/>
  <c r="AW40" i="12"/>
  <c r="AW45" i="12"/>
  <c r="AX103" i="12"/>
  <c r="AW159" i="12"/>
  <c r="AW23" i="12"/>
  <c r="AW51" i="12"/>
  <c r="AW112" i="12"/>
  <c r="AX159" i="12"/>
  <c r="AW7" i="12"/>
  <c r="AV65" i="12"/>
  <c r="AW131" i="12"/>
  <c r="AX83" i="12"/>
  <c r="AV185" i="12"/>
  <c r="AV68" i="12"/>
  <c r="AW73" i="12"/>
  <c r="AW25" i="12"/>
  <c r="AX44" i="12"/>
  <c r="AV126" i="12"/>
  <c r="AX127" i="12"/>
  <c r="AV7" i="12"/>
  <c r="AW64" i="12"/>
  <c r="AX141" i="12"/>
  <c r="AV166" i="12"/>
  <c r="AX43" i="12"/>
  <c r="AW123" i="12"/>
  <c r="AV11" i="12"/>
  <c r="AV120" i="12"/>
  <c r="AV70" i="12"/>
  <c r="AV121" i="12"/>
  <c r="AX7" i="12"/>
  <c r="AW71" i="12"/>
  <c r="AW111" i="12"/>
  <c r="AX161" i="12"/>
  <c r="AX8" i="12"/>
  <c r="AV74" i="12"/>
  <c r="AV30" i="12"/>
  <c r="AV61" i="12"/>
  <c r="AV131" i="12"/>
  <c r="AV38" i="12"/>
  <c r="AX13" i="12"/>
  <c r="AV31" i="12"/>
  <c r="AV115" i="12"/>
  <c r="AX179" i="12"/>
  <c r="AW13" i="12"/>
  <c r="AV39" i="12"/>
  <c r="AV125" i="12"/>
  <c r="AX6" i="12"/>
  <c r="AV72" i="12"/>
  <c r="AW126" i="12"/>
  <c r="AV165" i="12"/>
  <c r="AV18" i="12"/>
  <c r="AW65" i="12"/>
  <c r="AX131" i="12"/>
  <c r="AW179" i="12"/>
  <c r="AV183" i="12"/>
  <c r="AV20" i="12"/>
  <c r="AV141" i="12"/>
  <c r="AW42" i="12"/>
  <c r="AV119" i="12"/>
  <c r="AX175" i="12"/>
  <c r="AV118" i="12"/>
  <c r="AW119" i="12"/>
  <c r="AV188" i="12"/>
  <c r="AW58" i="12"/>
  <c r="AV73" i="12"/>
  <c r="AX134" i="12"/>
  <c r="AX48" i="12"/>
  <c r="AX148" i="12"/>
  <c r="AX65" i="12"/>
  <c r="AW18" i="12"/>
  <c r="AX11" i="12"/>
  <c r="AV77" i="12"/>
  <c r="AV91" i="12"/>
  <c r="AW34" i="12"/>
  <c r="AX12" i="12"/>
  <c r="AX30" i="12"/>
  <c r="AW99" i="12"/>
  <c r="AW61" i="12"/>
  <c r="AV76" i="12"/>
  <c r="AX107" i="12"/>
  <c r="AX170" i="12"/>
  <c r="AV17" i="12"/>
  <c r="AV64" i="12"/>
  <c r="AW125" i="12"/>
  <c r="AW5" i="12"/>
  <c r="AX71" i="12"/>
  <c r="AX35" i="12"/>
  <c r="AX23" i="12"/>
  <c r="AX137" i="12"/>
  <c r="AX14" i="12"/>
  <c r="AV21" i="12"/>
  <c r="AW19" i="12"/>
  <c r="AW94" i="12"/>
  <c r="AX156" i="12"/>
  <c r="AV170" i="12"/>
  <c r="AV98" i="12"/>
  <c r="AV79" i="12"/>
  <c r="AX108" i="12"/>
  <c r="AV80" i="12"/>
  <c r="AV181" i="12"/>
  <c r="AW137" i="12"/>
  <c r="AX163" i="12"/>
  <c r="AW21" i="12"/>
  <c r="AV40" i="12"/>
  <c r="AW132" i="12"/>
  <c r="AV102" i="12"/>
  <c r="AV129" i="12"/>
  <c r="AV42" i="12"/>
  <c r="AX79" i="12"/>
  <c r="AX105" i="12"/>
  <c r="AV184" i="12"/>
  <c r="AW114" i="12"/>
  <c r="AV83" i="12"/>
  <c r="AW127" i="12"/>
  <c r="AV159" i="12"/>
  <c r="AX10" i="12"/>
  <c r="AX150" i="12"/>
  <c r="AV167" i="12"/>
  <c r="AX42" i="12"/>
  <c r="AV164" i="12"/>
  <c r="AV47" i="12"/>
  <c r="AX74" i="12"/>
  <c r="AV113" i="12"/>
  <c r="AV6" i="12"/>
  <c r="AV145" i="12"/>
  <c r="AW138" i="12"/>
  <c r="AW31" i="12"/>
  <c r="AX49" i="12"/>
  <c r="AW170" i="12"/>
  <c r="AX67" i="12"/>
  <c r="AV174" i="12"/>
  <c r="AV5" i="12"/>
  <c r="AW104" i="12"/>
  <c r="AX118" i="12"/>
  <c r="AV173" i="12"/>
  <c r="AV56" i="12"/>
  <c r="AW133" i="12"/>
  <c r="AW172" i="12"/>
  <c r="AX26" i="12"/>
  <c r="AX101" i="12"/>
  <c r="AX153" i="12"/>
  <c r="AW82" i="12"/>
  <c r="AV140" i="12"/>
  <c r="AX40" i="12"/>
  <c r="AV114" i="12"/>
  <c r="AW143" i="12"/>
  <c r="AX45" i="12"/>
  <c r="AV62" i="12"/>
  <c r="AW115" i="12"/>
  <c r="AW168" i="12"/>
  <c r="AW46" i="12"/>
  <c r="AV66" i="12"/>
  <c r="AX120" i="12"/>
  <c r="AV41" i="12"/>
  <c r="AV81" i="12"/>
  <c r="AV110" i="12"/>
  <c r="AV157" i="12"/>
  <c r="AV151" i="12"/>
  <c r="AW8" i="12"/>
  <c r="AX70" i="12"/>
  <c r="AV116" i="12"/>
  <c r="AX25" i="12"/>
  <c r="AX22" i="12"/>
  <c r="AV37" i="12"/>
  <c r="AX124" i="12"/>
  <c r="AV175" i="12"/>
  <c r="AW56" i="12"/>
  <c r="AW49" i="12"/>
  <c r="AX123" i="12"/>
  <c r="AV54" i="12"/>
  <c r="AW32" i="12"/>
  <c r="AV29" i="12"/>
  <c r="AW101" i="12"/>
  <c r="AV122" i="12"/>
  <c r="AW53" i="12"/>
  <c r="AV67" i="12"/>
  <c r="AV132" i="12"/>
  <c r="AX162" i="12"/>
  <c r="AW95" i="12"/>
  <c r="AW33" i="12"/>
  <c r="AW78" i="12"/>
  <c r="AW75" i="12"/>
  <c r="AX149" i="12"/>
  <c r="AX92" i="12"/>
  <c r="AV19" i="12"/>
  <c r="AX165" i="12"/>
  <c r="AX20" i="12"/>
  <c r="AV94" i="12"/>
  <c r="AV135" i="12"/>
  <c r="AW16" i="12"/>
  <c r="AW92" i="12"/>
  <c r="AX93" i="12"/>
  <c r="AV150" i="12"/>
  <c r="AV36" i="12"/>
  <c r="AW70" i="12"/>
  <c r="AV127" i="12"/>
  <c r="AW154" i="12"/>
  <c r="AV105" i="12"/>
  <c r="AX63" i="12"/>
  <c r="AV138" i="12"/>
  <c r="AX24" i="12"/>
  <c r="AW11" i="12"/>
  <c r="AW59" i="12"/>
  <c r="AV84" i="12"/>
  <c r="AV148" i="12"/>
  <c r="AW22" i="12"/>
  <c r="AX78" i="12"/>
  <c r="AV147" i="12"/>
  <c r="AX5" i="12"/>
  <c r="AX61" i="12"/>
  <c r="AX89" i="12"/>
  <c r="AW93" i="12"/>
  <c r="AW188" i="12"/>
  <c r="AX28" i="12"/>
  <c r="AV89" i="12"/>
  <c r="AV106" i="12"/>
  <c r="AV156" i="12"/>
  <c r="AX33" i="12"/>
  <c r="AX116" i="12"/>
  <c r="AX168" i="12"/>
  <c r="AW35" i="12"/>
  <c r="AW100" i="12"/>
  <c r="AW117" i="12"/>
  <c r="AW178" i="12"/>
  <c r="AX9" i="12"/>
  <c r="AW89" i="12"/>
  <c r="AW130" i="12"/>
  <c r="AV15" i="12"/>
  <c r="AV44" i="12"/>
  <c r="AV82" i="12"/>
  <c r="AX132" i="12"/>
  <c r="AW155" i="12"/>
  <c r="AX41" i="12"/>
  <c r="AW79" i="12"/>
  <c r="AW142" i="12"/>
  <c r="AV176" i="12"/>
  <c r="AX27" i="12"/>
  <c r="AW69" i="12"/>
  <c r="AX133" i="12"/>
  <c r="AV59" i="12"/>
  <c r="AW96" i="12"/>
  <c r="AW83" i="12"/>
  <c r="AW87" i="12"/>
  <c r="AW162" i="12"/>
  <c r="AX50" i="12"/>
  <c r="AV43" i="12"/>
  <c r="AW17" i="12"/>
  <c r="AV71" i="12"/>
  <c r="AV117" i="12"/>
  <c r="AV143" i="12"/>
  <c r="AX58" i="12"/>
  <c r="AW124" i="12"/>
  <c r="AX154" i="12"/>
  <c r="AW36" i="12"/>
  <c r="AX55" i="12"/>
  <c r="AV101" i="12"/>
  <c r="AX169" i="12"/>
  <c r="AX112" i="12"/>
  <c r="AW164" i="12"/>
  <c r="AV55" i="12"/>
  <c r="AX82" i="12"/>
  <c r="AX117" i="12"/>
  <c r="AX172" i="12"/>
  <c r="AW9" i="12"/>
  <c r="AX121" i="12"/>
  <c r="AX185" i="12"/>
  <c r="AX15" i="12"/>
  <c r="AW86" i="12"/>
  <c r="AV123" i="12"/>
  <c r="AW167" i="12"/>
  <c r="AW26" i="12"/>
  <c r="AW122" i="12"/>
  <c r="AV128" i="12"/>
  <c r="AX69" i="12"/>
  <c r="AX142" i="12"/>
  <c r="AW37" i="12"/>
  <c r="AV75" i="12"/>
  <c r="AW141" i="12"/>
  <c r="AV162" i="12"/>
  <c r="AV9" i="12"/>
  <c r="AW63" i="12"/>
  <c r="AV130" i="12"/>
  <c r="AX176" i="12"/>
  <c r="AV26" i="12"/>
  <c r="AX100" i="12"/>
  <c r="AX106" i="12"/>
  <c r="AV179" i="12"/>
  <c r="AV182" i="12"/>
  <c r="AX115" i="12"/>
  <c r="AW150" i="12"/>
  <c r="AV23" i="12"/>
  <c r="AW116" i="12"/>
  <c r="AW76" i="12"/>
  <c r="AV160" i="12"/>
  <c r="AW57" i="12"/>
  <c r="AX126" i="12"/>
  <c r="AW166" i="12"/>
  <c r="AV14" i="12"/>
  <c r="AV172" i="12"/>
  <c r="AV53" i="12"/>
  <c r="AV104" i="12"/>
  <c r="AX138" i="12"/>
  <c r="AW81" i="12"/>
  <c r="AV8" i="12"/>
  <c r="AW30" i="12"/>
  <c r="AW174" i="12"/>
  <c r="AW62" i="12"/>
  <c r="AW153" i="12"/>
  <c r="AX62" i="12"/>
  <c r="AW6" i="12"/>
  <c r="AX188" i="12"/>
  <c r="AV85" i="12"/>
  <c r="AV133" i="12"/>
  <c r="AW67" i="12"/>
  <c r="AV103" i="12"/>
  <c r="AV10" i="12"/>
  <c r="AV139" i="12"/>
  <c r="AX102" i="12"/>
  <c r="AV34" i="12"/>
  <c r="AX119" i="12"/>
  <c r="AV153" i="12"/>
  <c r="AX38" i="12"/>
  <c r="AX181" i="12"/>
  <c r="AX184" i="12"/>
  <c r="AV180" i="12"/>
  <c r="AW140" i="12"/>
  <c r="AX16" i="12"/>
  <c r="AV78" i="12"/>
  <c r="AX90" i="12"/>
  <c r="AX53" i="12"/>
  <c r="AW54" i="12"/>
  <c r="AW145" i="12"/>
  <c r="AV154" i="12"/>
  <c r="AX34" i="12"/>
  <c r="AX54" i="12"/>
  <c r="AX99" i="12"/>
  <c r="AV144" i="12"/>
  <c r="AX46" i="12"/>
  <c r="AW68" i="12"/>
  <c r="AW12" i="12"/>
  <c r="AV124" i="12"/>
  <c r="AV186" i="12"/>
  <c r="AW60" i="12"/>
  <c r="AV96" i="12"/>
  <c r="AW139" i="12"/>
  <c r="AW10" i="12"/>
  <c r="AW102" i="12"/>
  <c r="AV149" i="12"/>
  <c r="AW14" i="12"/>
  <c r="AW152" i="12"/>
  <c r="AV52" i="12"/>
  <c r="AX140" i="12"/>
  <c r="AW147" i="12"/>
  <c r="AW160" i="12"/>
  <c r="AV92" i="12"/>
  <c r="AV32" i="12"/>
  <c r="AX96" i="12"/>
  <c r="AX47" i="12"/>
  <c r="AX109" i="12"/>
  <c r="AX139" i="12"/>
  <c r="AV12" i="12"/>
  <c r="AX128" i="12"/>
  <c r="AV13" i="12"/>
  <c r="AW169" i="12"/>
  <c r="AV22" i="12"/>
  <c r="AX60" i="12"/>
  <c r="AW136" i="12"/>
  <c r="AW181" i="12"/>
  <c r="AV90" i="12"/>
  <c r="AX182" i="12"/>
  <c r="AW176" i="12"/>
  <c r="AW85" i="12"/>
  <c r="AW146" i="12"/>
  <c r="AW129" i="12"/>
  <c r="AV171" i="12"/>
  <c r="AX114" i="12"/>
  <c r="AX111" i="12"/>
  <c r="AW38" i="12"/>
  <c r="AV134" i="12"/>
  <c r="AV25" i="12"/>
  <c r="AX147" i="12"/>
  <c r="AX75" i="12"/>
  <c r="AV49" i="12"/>
  <c r="AV87" i="12"/>
  <c r="AW120" i="12"/>
  <c r="AX144" i="12"/>
  <c r="AX64" i="12"/>
  <c r="AW182" i="12"/>
  <c r="AX21" i="12"/>
  <c r="AV88" i="12"/>
  <c r="AW149" i="12"/>
  <c r="AV152" i="12"/>
  <c r="AW41" i="12"/>
  <c r="AV57" i="12"/>
  <c r="AV99" i="12"/>
  <c r="AV187" i="12"/>
  <c r="AW27" i="12"/>
  <c r="AX88" i="12"/>
  <c r="AW105" i="12"/>
  <c r="AX17" i="12"/>
  <c r="AX97" i="12"/>
  <c r="AW156" i="12"/>
  <c r="AW44" i="12"/>
  <c r="AX85" i="12"/>
  <c r="AW144" i="12"/>
  <c r="AX178" i="12"/>
  <c r="AW50" i="12"/>
  <c r="AX87" i="12"/>
  <c r="AV97" i="12"/>
  <c r="AW158" i="12"/>
  <c r="AW72" i="12"/>
  <c r="AW29" i="12"/>
  <c r="AV93" i="12"/>
  <c r="AW28" i="12"/>
  <c r="AW109" i="12"/>
  <c r="AV28" i="12"/>
  <c r="AV146" i="12"/>
  <c r="AX129" i="12"/>
  <c r="AW128" i="12"/>
  <c r="AX56" i="12"/>
  <c r="AV155" i="12"/>
  <c r="AV58" i="12"/>
  <c r="AX183" i="12"/>
  <c r="AW180" i="12"/>
  <c r="AW98" i="12"/>
  <c r="AX68" i="12"/>
  <c r="AV178" i="12"/>
  <c r="AX166" i="12"/>
  <c r="AV161" i="12"/>
  <c r="AV48" i="12"/>
  <c r="AV163" i="12"/>
  <c r="AV50" i="12"/>
  <c r="AW186" i="12"/>
  <c r="AX164" i="12"/>
  <c r="AV137" i="12"/>
  <c r="AX143" i="12"/>
  <c r="AV136" i="12"/>
  <c r="AW175" i="12"/>
  <c r="AX173" i="12"/>
  <c r="AV112" i="12"/>
  <c r="AX167" i="12"/>
  <c r="AW171" i="12"/>
  <c r="AV177" i="12"/>
  <c r="AV16" i="12"/>
  <c r="AV158" i="12"/>
  <c r="AW15" i="12"/>
  <c r="AV107" i="12"/>
  <c r="AW121" i="12"/>
  <c r="AV109" i="12"/>
  <c r="AW108" i="12"/>
  <c r="AX157" i="12"/>
  <c r="AW47" i="12"/>
  <c r="AX19" i="12"/>
  <c r="AW48" i="12"/>
  <c r="AV111" i="12"/>
  <c r="AW20" i="12"/>
  <c r="AV46" i="12"/>
  <c r="AW157" i="12"/>
  <c r="AX77" i="12"/>
  <c r="AX113" i="12"/>
  <c r="AV86" i="12"/>
  <c r="AV27" i="12"/>
  <c r="AV35" i="12"/>
  <c r="AX94" i="12"/>
  <c r="AV69" i="12"/>
  <c r="AX122" i="12"/>
  <c r="AX145" i="12"/>
  <c r="AV63" i="12"/>
  <c r="AX186" i="12"/>
  <c r="AX37" i="12"/>
  <c r="AV24" i="12"/>
  <c r="AX73" i="12"/>
  <c r="AV45" i="12"/>
  <c r="AX174" i="12"/>
  <c r="AV142" i="12"/>
  <c r="AX177" i="12"/>
  <c r="AW183" i="12"/>
  <c r="AW103" i="12"/>
  <c r="AX59" i="12"/>
  <c r="AX36" i="12"/>
  <c r="AW43" i="12"/>
  <c r="AV100" i="12"/>
  <c r="AW177" i="12"/>
  <c r="AW52" i="12"/>
  <c r="AW110" i="12"/>
  <c r="AX29" i="12"/>
  <c r="AX110" i="12"/>
  <c r="AW77" i="12"/>
  <c r="AW88" i="12"/>
  <c r="AW80" i="12"/>
  <c r="AX81" i="12"/>
  <c r="AV95" i="12"/>
  <c r="AV168" i="12"/>
  <c r="AV33" i="12"/>
  <c r="AW66" i="12"/>
  <c r="AW113" i="12"/>
  <c r="AW187" i="12" l="1"/>
  <c r="AW184" i="12"/>
  <c r="AT184" i="12"/>
  <c r="AX98" i="12"/>
  <c r="AU98" i="12"/>
  <c r="AX76" i="12"/>
  <c r="AU76" i="12"/>
  <c r="AX160" i="12"/>
  <c r="AU160" i="12"/>
  <c r="AW97" i="12"/>
  <c r="AT97" i="12"/>
  <c r="AX135" i="12"/>
  <c r="AU135" i="12"/>
  <c r="AX57" i="12"/>
  <c r="AU57" i="12"/>
  <c r="AX72" i="12"/>
  <c r="AU72" i="12"/>
  <c r="AX171" i="12"/>
  <c r="AU171" i="12"/>
  <c r="AX136" i="12"/>
  <c r="AU136" i="12"/>
  <c r="AX84" i="12"/>
  <c r="AU84" i="12"/>
  <c r="AW135" i="12"/>
  <c r="AT135" i="12"/>
  <c r="AW148" i="12"/>
  <c r="AT148" i="12"/>
  <c r="AW118" i="12"/>
  <c r="AT118" i="12"/>
  <c r="AW151" i="12"/>
  <c r="AT151" i="12"/>
  <c r="AW74" i="12"/>
  <c r="AT74" i="12"/>
  <c r="AX152" i="12"/>
  <c r="AU152" i="12"/>
  <c r="AW134" i="12"/>
  <c r="AT134" i="12"/>
  <c r="AX32" i="12"/>
  <c r="AU32" i="12"/>
  <c r="AX155" i="12"/>
  <c r="AU155" i="12"/>
  <c r="AX125" i="12"/>
  <c r="AU125" i="12"/>
  <c r="AX187" i="12"/>
  <c r="AU187" i="12"/>
  <c r="AW185" i="12"/>
  <c r="AT185" i="12"/>
  <c r="AX91" i="12"/>
  <c r="AU91" i="12"/>
  <c r="AX180" i="12"/>
  <c r="AU180" i="12"/>
  <c r="AX39" i="12"/>
  <c r="AU39" i="12"/>
  <c r="AW84" i="12"/>
  <c r="AT84" i="12"/>
  <c r="AW90" i="12"/>
  <c r="AT90" i="12"/>
  <c r="AW107" i="12"/>
  <c r="AT107" i="12"/>
  <c r="AW55" i="12"/>
  <c r="AT55" i="12"/>
  <c r="AX66" i="12"/>
  <c r="AU66" i="12"/>
  <c r="AW165" i="12"/>
  <c r="AT165" i="12"/>
  <c r="AW91" i="12"/>
  <c r="AT91" i="12"/>
  <c r="AX104" i="12"/>
  <c r="AU104" i="12"/>
</calcChain>
</file>

<file path=xl/comments1.xml><?xml version="1.0" encoding="utf-8"?>
<comments xmlns="http://schemas.openxmlformats.org/spreadsheetml/2006/main">
  <authors>
    <author>Microsoft Office ﾕｰｻﾞｰ</author>
    <author>Sugata Hiroshi</author>
    <author>開発部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f0 of cone diaphragm (not at spec.sheet)</t>
        </r>
      </text>
    </comment>
    <comment ref="C5" authorId="0" shapeId="0">
      <text>
        <r>
          <rPr>
            <b/>
            <sz val="11"/>
            <color indexed="81"/>
            <rFont val="Arial"/>
            <family val="2"/>
          </rPr>
          <t>with mass of surround(at effective area)</t>
        </r>
      </text>
    </comment>
    <comment ref="T7" authorId="1" shapeId="0">
      <text>
        <r>
          <rPr>
            <b/>
            <sz val="12"/>
            <color indexed="81"/>
            <rFont val="ＭＳ Ｐゴシック"/>
            <family val="3"/>
            <charset val="128"/>
          </rPr>
          <t>Sugata Hiroshi:</t>
        </r>
        <r>
          <rPr>
            <sz val="12"/>
            <color indexed="81"/>
            <rFont val="ＭＳ Ｐゴシック"/>
            <family val="3"/>
            <charset val="128"/>
          </rPr>
          <t xml:space="preserve">
F特計算について、振動板負荷を負荷質量のみにするか、放射インピ―ダンスを計算するかを選択。
・Zma：放射インピをベッセル関数等で計算
・Add M：負荷質量</t>
        </r>
      </text>
    </comment>
    <comment ref="I15" authorId="2" shapeId="0">
      <text>
        <r>
          <rPr>
            <b/>
            <sz val="12"/>
            <color indexed="81"/>
            <rFont val="Arial"/>
            <family val="2"/>
          </rPr>
          <t>at free air</t>
        </r>
      </text>
    </comment>
    <comment ref="C28" authorId="2" shapeId="0">
      <text>
        <r>
          <rPr>
            <b/>
            <sz val="12"/>
            <color indexed="81"/>
            <rFont val="Arial"/>
            <family val="2"/>
          </rPr>
          <t xml:space="preserve">the mesure of  gap depth </t>
        </r>
      </text>
    </comment>
    <comment ref="C32" authorId="2" shapeId="0">
      <text>
        <r>
          <rPr>
            <b/>
            <sz val="12"/>
            <color indexed="81"/>
            <rFont val="Arial"/>
            <family val="2"/>
          </rPr>
          <t>These value affects Bl value.</t>
        </r>
      </text>
    </comment>
    <comment ref="C33" authorId="2" shapeId="0">
      <text>
        <r>
          <rPr>
            <b/>
            <sz val="12"/>
            <color indexed="81"/>
            <rFont val="Arial"/>
            <family val="2"/>
          </rPr>
          <t>correction factor of flux density  for Bl calculation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b/>
            <sz val="12"/>
            <color indexed="81"/>
            <rFont val="Arial"/>
            <family val="2"/>
          </rPr>
          <t>Bl = B x Bcf x l we x lcf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b/>
            <sz val="12"/>
            <color indexed="81"/>
            <rFont val="Arial"/>
            <family val="2"/>
          </rPr>
          <t>normal value = 1.0</t>
        </r>
      </text>
    </comment>
    <comment ref="C34" authorId="2" shapeId="0">
      <text>
        <r>
          <rPr>
            <b/>
            <sz val="12"/>
            <color indexed="81"/>
            <rFont val="Arial"/>
            <family val="2"/>
          </rPr>
          <t>correction factor of effective length(of voice coil ) for Bl calcuration
Bl = B x Bcf x lwe x lcf
normal value =1.0</t>
        </r>
      </text>
    </comment>
    <comment ref="C35" authorId="2" shapeId="0">
      <text>
        <r>
          <rPr>
            <b/>
            <sz val="12"/>
            <color indexed="81"/>
            <rFont val="Arial"/>
            <family val="2"/>
          </rPr>
          <t>correction factor of tg(PRATE t) for effective number of turns calculation
This value affects Ne &amp; lwe value. 
nomal value =1.2</t>
        </r>
      </text>
    </comment>
    <comment ref="I36" authorId="2" shapeId="0">
      <text>
        <r>
          <rPr>
            <b/>
            <sz val="12"/>
            <color indexed="81"/>
            <rFont val="Arial"/>
            <family val="2"/>
          </rPr>
          <t xml:space="preserve">substitute air-core coil inductance
</t>
        </r>
      </text>
    </comment>
  </commentList>
</comments>
</file>

<file path=xl/comments2.xml><?xml version="1.0" encoding="utf-8"?>
<comments xmlns="http://schemas.openxmlformats.org/spreadsheetml/2006/main">
  <authors>
    <author>Sugata Hiroshi</author>
  </authors>
  <commentList>
    <comment ref="O1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Sugata Hiroshi:</t>
        </r>
        <r>
          <rPr>
            <sz val="12"/>
            <color indexed="81"/>
            <rFont val="ＭＳ Ｐゴシック"/>
            <family val="3"/>
            <charset val="128"/>
          </rPr>
          <t xml:space="preserve">
F特計算で、振動板に対する負荷を負荷質量で計算するか、ベッセル関数によるかを使用するか選択できます。
Zma：放射インピ
Add M：負荷質量</t>
        </r>
      </text>
    </comment>
  </commentList>
</comments>
</file>

<file path=xl/sharedStrings.xml><?xml version="1.0" encoding="utf-8"?>
<sst xmlns="http://schemas.openxmlformats.org/spreadsheetml/2006/main" count="617" uniqueCount="395">
  <si>
    <t>s0</t>
  </si>
  <si>
    <t>f0r</t>
  </si>
  <si>
    <t>[Hz]</t>
  </si>
  <si>
    <t>s0r</t>
  </si>
  <si>
    <t>[N/m]</t>
  </si>
  <si>
    <t>r</t>
  </si>
  <si>
    <t>(m)</t>
  </si>
  <si>
    <t>f0c</t>
  </si>
  <si>
    <t xml:space="preserve"> </t>
  </si>
  <si>
    <t>2-PEW</t>
  </si>
  <si>
    <t>2-PECCAW</t>
  </si>
  <si>
    <t>m0c</t>
  </si>
  <si>
    <t>[g]</t>
  </si>
  <si>
    <t>s0c=f0c^2*m0c*4*pi^2</t>
  </si>
  <si>
    <t>k</t>
  </si>
  <si>
    <t>s0c</t>
  </si>
  <si>
    <t>rou</t>
  </si>
  <si>
    <t>x</t>
  </si>
  <si>
    <t>[mm]</t>
  </si>
  <si>
    <t>s0d</t>
  </si>
  <si>
    <t>s0d=9.8m/x</t>
  </si>
  <si>
    <t>s0=s0c+s0d</t>
  </si>
  <si>
    <t>Vas</t>
  </si>
  <si>
    <t>f</t>
  </si>
  <si>
    <t>ω</t>
  </si>
  <si>
    <t>z1</t>
  </si>
  <si>
    <t>z2</t>
  </si>
  <si>
    <t>z3</t>
  </si>
  <si>
    <t>V1</t>
  </si>
  <si>
    <t>V2</t>
  </si>
  <si>
    <t>V3</t>
  </si>
  <si>
    <t>m0d</t>
  </si>
  <si>
    <t>Cms</t>
  </si>
  <si>
    <t>[m/N]</t>
  </si>
  <si>
    <t>mmd</t>
  </si>
  <si>
    <t>[kg]</t>
  </si>
  <si>
    <t>[l]</t>
  </si>
  <si>
    <t>a</t>
  </si>
  <si>
    <t>[cm]</t>
  </si>
  <si>
    <t>m0v</t>
  </si>
  <si>
    <t>mms</t>
  </si>
  <si>
    <t>dv</t>
  </si>
  <si>
    <t>Rv</t>
  </si>
  <si>
    <t>f0</t>
  </si>
  <si>
    <t>bt</t>
  </si>
  <si>
    <t>dw</t>
  </si>
  <si>
    <t>Bl</t>
  </si>
  <si>
    <t>Qts</t>
  </si>
  <si>
    <t>[m]</t>
  </si>
  <si>
    <t>Qes</t>
  </si>
  <si>
    <t>lc</t>
  </si>
  <si>
    <t>tg</t>
  </si>
  <si>
    <t>aw</t>
  </si>
  <si>
    <t>B</t>
  </si>
  <si>
    <t>N</t>
  </si>
  <si>
    <t>[turn]</t>
  </si>
  <si>
    <t>VV</t>
  </si>
  <si>
    <t>L</t>
  </si>
  <si>
    <t>[H]</t>
  </si>
  <si>
    <t>E</t>
  </si>
  <si>
    <t>[V]</t>
  </si>
  <si>
    <t>[dB]</t>
  </si>
  <si>
    <t>[ohm]</t>
  </si>
  <si>
    <t>[W]</t>
  </si>
  <si>
    <t>M</t>
  </si>
  <si>
    <t>H</t>
  </si>
  <si>
    <t>TEMP</t>
  </si>
  <si>
    <t>E3</t>
  </si>
  <si>
    <t>1/1[OCT]</t>
  </si>
  <si>
    <t>K22</t>
  </si>
  <si>
    <t>K</t>
  </si>
  <si>
    <t>1/2[OCT]</t>
  </si>
  <si>
    <t>K11</t>
  </si>
  <si>
    <t>1/3[OCT]</t>
  </si>
  <si>
    <t>K16</t>
  </si>
  <si>
    <t>1/4[OCT]</t>
  </si>
  <si>
    <t>E5</t>
  </si>
  <si>
    <t>1/5[OCT]</t>
  </si>
  <si>
    <t>E7</t>
  </si>
  <si>
    <t>1/6[OCT]</t>
  </si>
  <si>
    <t>E8</t>
  </si>
  <si>
    <t>E12</t>
  </si>
  <si>
    <t>E13</t>
  </si>
  <si>
    <t>E14</t>
  </si>
  <si>
    <t>E15</t>
  </si>
  <si>
    <t>E16</t>
  </si>
  <si>
    <t>E18</t>
  </si>
  <si>
    <t>E19</t>
  </si>
  <si>
    <t>E20</t>
  </si>
  <si>
    <t>E21</t>
  </si>
  <si>
    <t>E22</t>
  </si>
  <si>
    <t>E23</t>
  </si>
  <si>
    <t>E25</t>
  </si>
  <si>
    <t>E28</t>
  </si>
  <si>
    <t>E29</t>
  </si>
  <si>
    <t>E33</t>
  </si>
  <si>
    <t>E34</t>
  </si>
  <si>
    <t>E35</t>
  </si>
  <si>
    <t>E36</t>
  </si>
  <si>
    <t>E38</t>
  </si>
  <si>
    <t>E39</t>
  </si>
  <si>
    <t>L19</t>
  </si>
  <si>
    <t>L22</t>
  </si>
  <si>
    <t>L11</t>
  </si>
  <si>
    <t>L16</t>
  </si>
  <si>
    <t>F5</t>
  </si>
  <si>
    <t>F</t>
  </si>
  <si>
    <t>F7</t>
  </si>
  <si>
    <t>F8</t>
  </si>
  <si>
    <t>F12</t>
  </si>
  <si>
    <t>F13</t>
  </si>
  <si>
    <t>F14</t>
  </si>
  <si>
    <t>F15</t>
  </si>
  <si>
    <t>F16</t>
  </si>
  <si>
    <t>F18</t>
  </si>
  <si>
    <t>F19</t>
  </si>
  <si>
    <t>F20</t>
  </si>
  <si>
    <t>F21</t>
  </si>
  <si>
    <t>F22</t>
  </si>
  <si>
    <t>F23</t>
  </si>
  <si>
    <t>F25</t>
  </si>
  <si>
    <t>F28</t>
  </si>
  <si>
    <t>F29</t>
  </si>
  <si>
    <t>F33</t>
  </si>
  <si>
    <t>F34</t>
  </si>
  <si>
    <t>F35</t>
  </si>
  <si>
    <t>F36</t>
  </si>
  <si>
    <t>F38</t>
  </si>
  <si>
    <t>F39</t>
  </si>
  <si>
    <t>M19</t>
  </si>
  <si>
    <t>M22</t>
  </si>
  <si>
    <t>M11</t>
  </si>
  <si>
    <t>M16</t>
  </si>
  <si>
    <t>G5</t>
  </si>
  <si>
    <t>G</t>
  </si>
  <si>
    <t>G7</t>
  </si>
  <si>
    <t>G8</t>
  </si>
  <si>
    <t>G12</t>
  </si>
  <si>
    <t>G13</t>
  </si>
  <si>
    <t>G14</t>
  </si>
  <si>
    <t>G15</t>
  </si>
  <si>
    <t>G16</t>
  </si>
  <si>
    <t>G18</t>
  </si>
  <si>
    <t>G19</t>
  </si>
  <si>
    <t>G20</t>
  </si>
  <si>
    <t>G21</t>
  </si>
  <si>
    <t>G22</t>
  </si>
  <si>
    <t>G23</t>
  </si>
  <si>
    <t>G25</t>
  </si>
  <si>
    <t>G28</t>
  </si>
  <si>
    <t>G29</t>
  </si>
  <si>
    <t>G33</t>
  </si>
  <si>
    <t>G34</t>
  </si>
  <si>
    <t>G35</t>
  </si>
  <si>
    <t>G36</t>
  </si>
  <si>
    <t>G38</t>
  </si>
  <si>
    <t>G39</t>
  </si>
  <si>
    <t>U</t>
  </si>
  <si>
    <t>E24</t>
  </si>
  <si>
    <t>F24</t>
  </si>
  <si>
    <t>G24</t>
  </si>
  <si>
    <t>mma</t>
    <phoneticPr fontId="2"/>
  </si>
  <si>
    <t>l correction</t>
    <phoneticPr fontId="2"/>
  </si>
  <si>
    <t>tg correction</t>
    <phoneticPr fontId="2"/>
  </si>
  <si>
    <t>Input Voltage</t>
    <phoneticPr fontId="2"/>
  </si>
  <si>
    <t>NOM. IMP.</t>
    <phoneticPr fontId="2"/>
  </si>
  <si>
    <t>Vas</t>
    <phoneticPr fontId="2"/>
  </si>
  <si>
    <t>displacement</t>
    <phoneticPr fontId="2"/>
  </si>
  <si>
    <t>load</t>
    <phoneticPr fontId="2"/>
  </si>
  <si>
    <t>effective R</t>
    <phoneticPr fontId="2"/>
  </si>
  <si>
    <t>B correction</t>
    <phoneticPr fontId="2"/>
  </si>
  <si>
    <t>OUTPUT data</t>
    <phoneticPr fontId="2"/>
  </si>
  <si>
    <t>spider,cap</t>
    <phoneticPr fontId="2"/>
  </si>
  <si>
    <t>adhesive</t>
    <phoneticPr fontId="2"/>
  </si>
  <si>
    <t>etc.</t>
    <phoneticPr fontId="2"/>
  </si>
  <si>
    <t>VC mass</t>
    <phoneticPr fontId="2"/>
  </si>
  <si>
    <t>cone f0</t>
    <phoneticPr fontId="2"/>
  </si>
  <si>
    <t>SP f0 (free air)</t>
    <phoneticPr fontId="2"/>
  </si>
  <si>
    <t>m0a</t>
    <phoneticPr fontId="2"/>
  </si>
  <si>
    <t>effective area</t>
    <phoneticPr fontId="2"/>
  </si>
  <si>
    <t>VC inductance</t>
    <phoneticPr fontId="2"/>
  </si>
  <si>
    <t>force factor</t>
    <phoneticPr fontId="2"/>
  </si>
  <si>
    <t>total number</t>
    <phoneticPr fontId="2"/>
  </si>
  <si>
    <t>m0x</t>
    <phoneticPr fontId="2"/>
  </si>
  <si>
    <r>
      <t>BOX</t>
    </r>
    <r>
      <rPr>
        <sz val="11"/>
        <rFont val="ＭＳ Ｐゴシック"/>
        <family val="3"/>
        <charset val="128"/>
      </rPr>
      <t>　</t>
    </r>
    <r>
      <rPr>
        <sz val="11"/>
        <rFont val="Arial"/>
        <family val="2"/>
      </rPr>
      <t>VOL.</t>
    </r>
    <phoneticPr fontId="2"/>
  </si>
  <si>
    <t>POWER</t>
    <phoneticPr fontId="2"/>
  </si>
  <si>
    <t>Qms</t>
    <phoneticPr fontId="2"/>
  </si>
  <si>
    <t>VC SPEC.</t>
    <phoneticPr fontId="2"/>
  </si>
  <si>
    <t>f0=1/(2pi)*(s0/mms)^1/2</t>
    <phoneticPr fontId="2"/>
  </si>
  <si>
    <t>mms=m0d+m0a+m0x+m0v+m0c+mma</t>
    <phoneticPr fontId="2"/>
  </si>
  <si>
    <t>wire cross-sec.</t>
    <phoneticPr fontId="2"/>
  </si>
  <si>
    <t>wire length</t>
    <phoneticPr fontId="2"/>
  </si>
  <si>
    <t>weight of wire</t>
    <phoneticPr fontId="2"/>
  </si>
  <si>
    <t>winding length</t>
    <phoneticPr fontId="2"/>
  </si>
  <si>
    <t>max. outside dia.</t>
    <phoneticPr fontId="2"/>
  </si>
  <si>
    <t>mass of air load</t>
    <phoneticPr fontId="2"/>
  </si>
  <si>
    <t>Stiffness (total)</t>
    <phoneticPr fontId="2"/>
  </si>
  <si>
    <t>f0 (Diaphragm)</t>
    <phoneticPr fontId="2"/>
  </si>
  <si>
    <t>Stiff. (Diaphragm)</t>
    <phoneticPr fontId="2"/>
  </si>
  <si>
    <t>Stiff.(Spider)</t>
    <phoneticPr fontId="2"/>
  </si>
  <si>
    <t>ave.</t>
    <phoneticPr fontId="2"/>
  </si>
  <si>
    <t>[ohm]</t>
    <phoneticPr fontId="2"/>
  </si>
  <si>
    <t>[mm]</t>
    <phoneticPr fontId="2"/>
  </si>
  <si>
    <t>[Hz]</t>
    <phoneticPr fontId="2"/>
  </si>
  <si>
    <t>[m]</t>
    <phoneticPr fontId="2"/>
  </si>
  <si>
    <t>effective number</t>
    <phoneticPr fontId="2"/>
  </si>
  <si>
    <t>effective length</t>
    <phoneticPr fontId="2"/>
  </si>
  <si>
    <t>effective vol. of wire</t>
    <phoneticPr fontId="2"/>
  </si>
  <si>
    <t>[Wb/m]</t>
    <phoneticPr fontId="2"/>
  </si>
  <si>
    <t>VC dia.</t>
    <phoneticPr fontId="2"/>
  </si>
  <si>
    <t>DC R</t>
    <phoneticPr fontId="2"/>
  </si>
  <si>
    <t>bobin T</t>
    <phoneticPr fontId="2"/>
  </si>
  <si>
    <t>wire Dia.</t>
    <phoneticPr fontId="2"/>
  </si>
  <si>
    <t>Layers</t>
    <phoneticPr fontId="2"/>
  </si>
  <si>
    <t>VC lead length</t>
    <phoneticPr fontId="2"/>
  </si>
  <si>
    <t>wire type</t>
    <phoneticPr fontId="2"/>
  </si>
  <si>
    <t>PLATE t</t>
    <phoneticPr fontId="2"/>
  </si>
  <si>
    <t>flux density</t>
    <phoneticPr fontId="2"/>
  </si>
  <si>
    <t># MASS DATA</t>
    <phoneticPr fontId="2"/>
  </si>
  <si>
    <t># VC DATA</t>
    <phoneticPr fontId="2"/>
  </si>
  <si>
    <t># MG CIRCUIT</t>
    <phoneticPr fontId="2"/>
  </si>
  <si>
    <t># CORRECTION</t>
    <phoneticPr fontId="2"/>
  </si>
  <si>
    <t># INPUT VOL.</t>
    <phoneticPr fontId="2"/>
  </si>
  <si>
    <t xml:space="preserve"> FREQUENCY RESPONSE (with infinete baffle)</t>
    <phoneticPr fontId="2"/>
  </si>
  <si>
    <t>[GAUSS]</t>
    <phoneticPr fontId="2"/>
  </si>
  <si>
    <t># Rms</t>
    <phoneticPr fontId="2"/>
  </si>
  <si>
    <t># a</t>
    <phoneticPr fontId="2"/>
  </si>
  <si>
    <t>INPUT data</t>
    <phoneticPr fontId="2"/>
  </si>
  <si>
    <t>INS_DIR</t>
    <phoneticPr fontId="2"/>
  </si>
  <si>
    <t>DBF_DIR</t>
    <phoneticPr fontId="2"/>
  </si>
  <si>
    <t>SPL</t>
    <phoneticPr fontId="2"/>
  </si>
  <si>
    <t>mass (diap.ass'y)</t>
    <phoneticPr fontId="2"/>
  </si>
  <si>
    <r>
      <t>[kg/m</t>
    </r>
    <r>
      <rPr>
        <vertAlign val="superscript"/>
        <sz val="11"/>
        <rFont val="Arial"/>
        <family val="2"/>
      </rPr>
      <t>3</t>
    </r>
    <r>
      <rPr>
        <sz val="11"/>
        <rFont val="Arial"/>
        <family val="2"/>
      </rPr>
      <t>]</t>
    </r>
    <phoneticPr fontId="2"/>
  </si>
  <si>
    <t>density</t>
    <phoneticPr fontId="2"/>
  </si>
  <si>
    <t>specific resistivity</t>
    <phoneticPr fontId="2"/>
  </si>
  <si>
    <r>
      <t>d</t>
    </r>
    <r>
      <rPr>
        <sz val="11"/>
        <rFont val="Arial"/>
        <family val="2"/>
      </rPr>
      <t>istance</t>
    </r>
    <phoneticPr fontId="2"/>
  </si>
  <si>
    <t>[ohm m]</t>
    <phoneticPr fontId="2"/>
  </si>
  <si>
    <t>cone mass</t>
    <phoneticPr fontId="2"/>
  </si>
  <si>
    <t>DAY</t>
    <phoneticPr fontId="2"/>
  </si>
  <si>
    <t>2NDDIR</t>
    <phoneticPr fontId="2"/>
  </si>
  <si>
    <t>Pr=(rou0*a^2/(2*r*m0))*(A*E/Ze)*(f/f0)</t>
    <phoneticPr fontId="17"/>
  </si>
  <si>
    <t>/((1/(Q0^2)+((f/f0-f0/f)^2))^.5)</t>
    <phoneticPr fontId="17"/>
  </si>
  <si>
    <t>SPL[dB]</t>
    <phoneticPr fontId="17"/>
  </si>
  <si>
    <t>Pr[N/m^2]</t>
    <phoneticPr fontId="17"/>
  </si>
  <si>
    <t>MANUAL(J)</t>
    <phoneticPr fontId="2"/>
  </si>
  <si>
    <t>MANUAL(E)</t>
    <phoneticPr fontId="2"/>
  </si>
  <si>
    <t xml:space="preserve"> by H.Sugata </t>
  </si>
  <si>
    <t>lw</t>
    <phoneticPr fontId="2"/>
  </si>
  <si>
    <t>winding length</t>
    <phoneticPr fontId="2"/>
  </si>
  <si>
    <t>Ne</t>
    <phoneticPr fontId="2"/>
  </si>
  <si>
    <t>lwe</t>
    <phoneticPr fontId="2"/>
  </si>
  <si>
    <t>equivalent.Vol.</t>
    <phoneticPr fontId="2"/>
  </si>
  <si>
    <t>DATA IMPORT CELL</t>
    <phoneticPr fontId="2"/>
  </si>
  <si>
    <t>DATA EXPORT CELL</t>
    <phoneticPr fontId="2"/>
  </si>
  <si>
    <t>SAVE CANCEL</t>
    <phoneticPr fontId="2"/>
  </si>
  <si>
    <t>長岡定数修正，グラフアップダウンボタン不具合修正</t>
    <rPh sb="0" eb="2">
      <t>ナガオカ</t>
    </rPh>
    <rPh sb="2" eb="4">
      <t>テイスウ</t>
    </rPh>
    <rPh sb="4" eb="6">
      <t>シュウセイ</t>
    </rPh>
    <rPh sb="19" eb="22">
      <t>フグアイ</t>
    </rPh>
    <rPh sb="22" eb="24">
      <t>シュウセイ</t>
    </rPh>
    <phoneticPr fontId="17"/>
  </si>
  <si>
    <r>
      <t>20210107</t>
    </r>
    <r>
      <rPr>
        <sz val="11"/>
        <rFont val="ＭＳ Ｐゴシック"/>
        <family val="3"/>
        <charset val="128"/>
      </rPr>
      <t>へ変更、Y:へ変更</t>
    </r>
    <rPh sb="9" eb="11">
      <t>ヘンコウ</t>
    </rPh>
    <rPh sb="15" eb="17">
      <t>ヘンコウ</t>
    </rPh>
    <phoneticPr fontId="2"/>
  </si>
  <si>
    <t>1/12[OCT]</t>
    <phoneticPr fontId="2"/>
  </si>
  <si>
    <t>CCAW</t>
    <phoneticPr fontId="2"/>
  </si>
  <si>
    <t>PEW</t>
    <phoneticPr fontId="2"/>
  </si>
  <si>
    <t>YES</t>
    <phoneticPr fontId="2"/>
  </si>
  <si>
    <t>NO</t>
    <phoneticPr fontId="2"/>
  </si>
  <si>
    <t>1/16[OCT]</t>
    <phoneticPr fontId="2"/>
  </si>
  <si>
    <t>メンテすべき日</t>
    <rPh sb="6" eb="7">
      <t>ヒ</t>
    </rPh>
    <phoneticPr fontId="2"/>
  </si>
  <si>
    <t>rho</t>
    <phoneticPr fontId="17"/>
  </si>
  <si>
    <t>kg/m^3</t>
    <phoneticPr fontId="17"/>
  </si>
  <si>
    <t>m/s^2</t>
    <phoneticPr fontId="17"/>
  </si>
  <si>
    <t>CC</t>
    <phoneticPr fontId="17"/>
  </si>
  <si>
    <t>SPL Phase</t>
    <phoneticPr fontId="17"/>
  </si>
  <si>
    <t>高分解能下限周波数</t>
    <rPh sb="0" eb="4">
      <t>コウブンカイノウ</t>
    </rPh>
    <rPh sb="4" eb="9">
      <t>カゲンシュウハスウ</t>
    </rPh>
    <phoneticPr fontId="2"/>
  </si>
  <si>
    <t>高分解能上限周波数</t>
    <rPh sb="0" eb="4">
      <t>コウブンカイノウ</t>
    </rPh>
    <rPh sb="4" eb="9">
      <t>ジョウゲンシュウハスウ</t>
    </rPh>
    <phoneticPr fontId="2"/>
  </si>
  <si>
    <t>分解能</t>
    <rPh sb="0" eb="3">
      <t>ブンカイノウ</t>
    </rPh>
    <phoneticPr fontId="2"/>
  </si>
  <si>
    <t>グラフ下限周波数</t>
    <rPh sb="3" eb="5">
      <t>カゲン</t>
    </rPh>
    <rPh sb="5" eb="8">
      <t>シュウハスウ</t>
    </rPh>
    <phoneticPr fontId="2"/>
  </si>
  <si>
    <t>グラフ下限周波数上限周波数</t>
    <rPh sb="3" eb="5">
      <t>カゲン</t>
    </rPh>
    <rPh sb="5" eb="8">
      <t>シュウハスウ</t>
    </rPh>
    <rPh sb="8" eb="13">
      <t>ジョウゲンシュウハスウ</t>
    </rPh>
    <phoneticPr fontId="2"/>
  </si>
  <si>
    <t>30p/oct</t>
    <phoneticPr fontId="2"/>
  </si>
  <si>
    <t>30p/oct</t>
    <phoneticPr fontId="2"/>
  </si>
  <si>
    <t>Zma</t>
    <phoneticPr fontId="17"/>
  </si>
  <si>
    <t>Zma1</t>
    <phoneticPr fontId="17"/>
  </si>
  <si>
    <t>Zma2</t>
  </si>
  <si>
    <t>Zma3</t>
  </si>
  <si>
    <t>Ka1</t>
    <phoneticPr fontId="17"/>
  </si>
  <si>
    <t>Ka2</t>
  </si>
  <si>
    <t>Ka3</t>
  </si>
  <si>
    <t>Zm1</t>
    <phoneticPr fontId="17"/>
  </si>
  <si>
    <t>Zm2</t>
  </si>
  <si>
    <t>Zm3</t>
  </si>
  <si>
    <t>Zee1</t>
    <phoneticPr fontId="17"/>
  </si>
  <si>
    <t>Zee2</t>
  </si>
  <si>
    <t>Zee3</t>
  </si>
  <si>
    <t>FreeAir</t>
    <phoneticPr fontId="17"/>
  </si>
  <si>
    <t>Infinit Buffle</t>
    <phoneticPr fontId="17"/>
  </si>
  <si>
    <t>Vd1</t>
    <phoneticPr fontId="17"/>
  </si>
  <si>
    <t>Vd2</t>
  </si>
  <si>
    <t>Vd3</t>
  </si>
  <si>
    <t>Xd1</t>
    <phoneticPr fontId="17"/>
  </si>
  <si>
    <t>X1max</t>
    <phoneticPr fontId="17"/>
  </si>
  <si>
    <t>SPLDSGN3</t>
    <phoneticPr fontId="2"/>
  </si>
  <si>
    <t>Xd2</t>
  </si>
  <si>
    <t>Xd3</t>
  </si>
  <si>
    <t>SPL[Pa]</t>
    <phoneticPr fontId="17"/>
  </si>
  <si>
    <t>Ph1</t>
    <phoneticPr fontId="17"/>
  </si>
  <si>
    <t>Ph2</t>
  </si>
  <si>
    <t>Ph3</t>
  </si>
  <si>
    <t>Add M</t>
    <phoneticPr fontId="17"/>
  </si>
  <si>
    <t>↓これは</t>
    <phoneticPr fontId="17"/>
  </si>
  <si>
    <t>→</t>
    <phoneticPr fontId="2"/>
  </si>
  <si>
    <t>変更日</t>
    <rPh sb="0" eb="3">
      <t>ヘンコウビ</t>
    </rPh>
    <phoneticPr fontId="17"/>
  </si>
  <si>
    <t>内容</t>
    <rPh sb="0" eb="2">
      <t>ナイヨウ</t>
    </rPh>
    <phoneticPr fontId="17"/>
  </si>
  <si>
    <t>備考</t>
    <rPh sb="0" eb="2">
      <t>ビコウ</t>
    </rPh>
    <phoneticPr fontId="17"/>
  </si>
  <si>
    <t>変更者</t>
    <rPh sb="0" eb="2">
      <t>ヘンコウ</t>
    </rPh>
    <rPh sb="2" eb="3">
      <t>シャ</t>
    </rPh>
    <phoneticPr fontId="17"/>
  </si>
  <si>
    <t xml:space="preserve">・SPLDSGN_2eに対し、位相特性追加(複素数式に全面変更)
・振動板の空気付加について、負荷質量か放射imp計算かを選択可能とする
</t>
    <rPh sb="12" eb="13">
      <t>タイ</t>
    </rPh>
    <rPh sb="15" eb="19">
      <t>イソウトクセイ</t>
    </rPh>
    <rPh sb="19" eb="21">
      <t>ツイカ</t>
    </rPh>
    <rPh sb="22" eb="26">
      <t>フクソスウシキ</t>
    </rPh>
    <rPh sb="27" eb="31">
      <t>ゼンメンヘンコウ</t>
    </rPh>
    <rPh sb="34" eb="37">
      <t>シンドウバン</t>
    </rPh>
    <rPh sb="38" eb="42">
      <t>クウキフカ</t>
    </rPh>
    <rPh sb="47" eb="51">
      <t>フカシツリョウ</t>
    </rPh>
    <rPh sb="52" eb="54">
      <t>ホウシャ</t>
    </rPh>
    <rPh sb="57" eb="59">
      <t>ケイサン</t>
    </rPh>
    <rPh sb="61" eb="63">
      <t>センタク</t>
    </rPh>
    <rPh sb="63" eb="65">
      <t>カノウ</t>
    </rPh>
    <phoneticPr fontId="17"/>
  </si>
  <si>
    <t>・図、等価回路記載</t>
    <phoneticPr fontId="17"/>
  </si>
  <si>
    <t>このファイルは、ＳＰの無限大バッフル特性をSIMするものです。</t>
    <rPh sb="11" eb="14">
      <t>ムゲンダイ</t>
    </rPh>
    <rPh sb="18" eb="20">
      <t>トクセイ</t>
    </rPh>
    <phoneticPr fontId="17"/>
  </si>
  <si>
    <t>基準線</t>
    <rPh sb="0" eb="3">
      <t>キジュンセン</t>
    </rPh>
    <phoneticPr fontId="17"/>
  </si>
  <si>
    <t>30p/oct</t>
    <phoneticPr fontId="2"/>
  </si>
  <si>
    <t>1/30[OCT]</t>
    <phoneticPr fontId="2"/>
  </si>
  <si>
    <t>2k</t>
    <phoneticPr fontId="2"/>
  </si>
  <si>
    <t>total mass(Free Air)</t>
    <phoneticPr fontId="2"/>
  </si>
  <si>
    <t>・数式修正（mmaの参照に誤りがあった）</t>
    <rPh sb="1" eb="5">
      <t>スウシキシュウセイ</t>
    </rPh>
    <rPh sb="10" eb="12">
      <t>サンショウ</t>
    </rPh>
    <rPh sb="13" eb="14">
      <t>アヤマ</t>
    </rPh>
    <phoneticPr fontId="17"/>
  </si>
  <si>
    <t>X2max</t>
  </si>
  <si>
    <t>X3max</t>
  </si>
  <si>
    <t>X=V/jω</t>
    <phoneticPr fontId="2"/>
  </si>
  <si>
    <t>Ze=Re+jωL+Zem</t>
    <phoneticPr fontId="2"/>
  </si>
  <si>
    <r>
      <t>Zme=A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/(Re+jωL)</t>
    </r>
    <phoneticPr fontId="2"/>
  </si>
  <si>
    <r>
      <t>Zem=A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/Zm</t>
    </r>
    <phoneticPr fontId="2"/>
  </si>
  <si>
    <r>
      <t>Pr=jωV</t>
    </r>
    <r>
      <rPr>
        <b/>
        <sz val="11"/>
        <rFont val="メイリオ"/>
        <family val="3"/>
        <charset val="128"/>
      </rPr>
      <t>・</t>
    </r>
    <r>
      <rPr>
        <b/>
        <sz val="11"/>
        <rFont val="Arial"/>
        <family val="2"/>
      </rPr>
      <t>ρ</t>
    </r>
    <r>
      <rPr>
        <b/>
        <vertAlign val="subscript"/>
        <sz val="11"/>
        <rFont val="Arial"/>
        <family val="2"/>
      </rPr>
      <t>0</t>
    </r>
    <r>
      <rPr>
        <b/>
        <sz val="11"/>
        <rFont val="メイリオ"/>
        <family val="3"/>
        <charset val="128"/>
      </rPr>
      <t>・</t>
    </r>
    <r>
      <rPr>
        <b/>
        <sz val="11"/>
        <rFont val="Arial"/>
        <family val="2"/>
      </rPr>
      <t>a</t>
    </r>
    <r>
      <rPr>
        <b/>
        <vertAlign val="superscript"/>
        <sz val="11"/>
        <rFont val="Arial"/>
        <family val="2"/>
      </rPr>
      <t>2</t>
    </r>
    <r>
      <rPr>
        <b/>
        <sz val="11"/>
        <rFont val="Arial"/>
        <family val="2"/>
      </rPr>
      <t>/(2r)</t>
    </r>
    <phoneticPr fontId="2"/>
  </si>
  <si>
    <r>
      <t>V=Bl</t>
    </r>
    <r>
      <rPr>
        <b/>
        <sz val="11"/>
        <rFont val="ＭＳ Ｐゴシック"/>
        <family val="3"/>
        <charset val="128"/>
      </rPr>
      <t>・</t>
    </r>
    <r>
      <rPr>
        <b/>
        <sz val="11"/>
        <rFont val="Arial"/>
        <family val="2"/>
      </rPr>
      <t>E/{Ze</t>
    </r>
    <r>
      <rPr>
        <b/>
        <sz val="11"/>
        <rFont val="ＭＳ Ｐゴシック"/>
        <family val="3"/>
        <charset val="128"/>
      </rPr>
      <t>・</t>
    </r>
    <r>
      <rPr>
        <b/>
        <sz val="11"/>
        <rFont val="Arial"/>
        <family val="2"/>
      </rPr>
      <t>(Zme+Zm) }</t>
    </r>
    <phoneticPr fontId="2"/>
  </si>
  <si>
    <t>F特グラフの計算式表示、不要表示削除</t>
    <rPh sb="1" eb="2">
      <t>トク</t>
    </rPh>
    <rPh sb="6" eb="9">
      <t>ケイサンシキ</t>
    </rPh>
    <rPh sb="9" eb="11">
      <t>ヒョウジ</t>
    </rPh>
    <rPh sb="12" eb="16">
      <t>フヨウヒョウジ</t>
    </rPh>
    <rPh sb="16" eb="18">
      <t>サクジョ</t>
    </rPh>
    <phoneticPr fontId="17"/>
  </si>
  <si>
    <t>FSGT</t>
    <phoneticPr fontId="17"/>
  </si>
  <si>
    <t>Zm=Rm+j(ωMm-Sm/ω)+Zma</t>
    <phoneticPr fontId="2"/>
  </si>
  <si>
    <t>*Mm(infinete baffle)=Mms+Mma(both sides)</t>
    <phoneticPr fontId="2"/>
  </si>
  <si>
    <t>select Zma Type</t>
    <phoneticPr fontId="2"/>
  </si>
  <si>
    <t>CAL</t>
    <phoneticPr fontId="2"/>
  </si>
  <si>
    <t>レンジ切り替えマクロ等修正。グラフ罫線修正。相違部太字化マクロ追加。IMPカーブからIMP値を読み取れるように変更</t>
    <rPh sb="3" eb="4">
      <t>キ</t>
    </rPh>
    <rPh sb="5" eb="6">
      <t>カ</t>
    </rPh>
    <rPh sb="10" eb="11">
      <t>トウ</t>
    </rPh>
    <rPh sb="11" eb="13">
      <t>シュウセイ</t>
    </rPh>
    <rPh sb="17" eb="19">
      <t>ケイセン</t>
    </rPh>
    <rPh sb="19" eb="21">
      <t>シュウセイ</t>
    </rPh>
    <rPh sb="22" eb="25">
      <t>ソウイブ</t>
    </rPh>
    <rPh sb="25" eb="27">
      <t>フトジ</t>
    </rPh>
    <rPh sb="27" eb="28">
      <t>カ</t>
    </rPh>
    <rPh sb="31" eb="33">
      <t>ツイカ</t>
    </rPh>
    <rPh sb="45" eb="46">
      <t>チ</t>
    </rPh>
    <rPh sb="47" eb="48">
      <t>ヨ</t>
    </rPh>
    <rPh sb="49" eb="50">
      <t>ト</t>
    </rPh>
    <rPh sb="55" eb="57">
      <t>ヘンコウ</t>
    </rPh>
    <phoneticPr fontId="17"/>
  </si>
  <si>
    <t>SPL1</t>
    <phoneticPr fontId="17"/>
  </si>
  <si>
    <t>SPL2</t>
  </si>
  <si>
    <t>SPL3</t>
  </si>
  <si>
    <t>データ保存時の日付データを文字列型から日付型に変更、その他表示修正等</t>
    <rPh sb="3" eb="6">
      <t>ホゾンジ</t>
    </rPh>
    <rPh sb="7" eb="9">
      <t>ヒヅケ</t>
    </rPh>
    <rPh sb="13" eb="17">
      <t>モジレツガタ</t>
    </rPh>
    <rPh sb="19" eb="21">
      <t>ヒヅケ</t>
    </rPh>
    <rPh sb="21" eb="22">
      <t>ガタ</t>
    </rPh>
    <rPh sb="23" eb="25">
      <t>ヘンコウ</t>
    </rPh>
    <rPh sb="28" eb="29">
      <t>タ</t>
    </rPh>
    <rPh sb="29" eb="31">
      <t>ヒョウジ</t>
    </rPh>
    <rPh sb="31" eb="33">
      <t>シュウセイ</t>
    </rPh>
    <rPh sb="33" eb="34">
      <t>トウ</t>
    </rPh>
    <phoneticPr fontId="17"/>
  </si>
  <si>
    <t>FSGT</t>
    <phoneticPr fontId="17"/>
  </si>
  <si>
    <t>機種表示部修正、等価回路シート追加、wire種保存マクロ変更</t>
    <rPh sb="0" eb="4">
      <t>キシュヒョウジ</t>
    </rPh>
    <rPh sb="4" eb="5">
      <t>ブ</t>
    </rPh>
    <rPh sb="5" eb="7">
      <t>シュウセイ</t>
    </rPh>
    <rPh sb="8" eb="12">
      <t>トウカカイロ</t>
    </rPh>
    <rPh sb="15" eb="17">
      <t>ツイカ</t>
    </rPh>
    <rPh sb="22" eb="23">
      <t>シュ</t>
    </rPh>
    <rPh sb="23" eb="25">
      <t>ホゾン</t>
    </rPh>
    <rPh sb="28" eb="30">
      <t>ヘンコウ</t>
    </rPh>
    <phoneticPr fontId="17"/>
  </si>
  <si>
    <t>場所</t>
    <rPh sb="0" eb="2">
      <t>バショ</t>
    </rPh>
    <phoneticPr fontId="2"/>
  </si>
  <si>
    <t>登録情報</t>
    <rPh sb="0" eb="2">
      <t>トウロク</t>
    </rPh>
    <rPh sb="2" eb="4">
      <t>ジョウホウ</t>
    </rPh>
    <phoneticPr fontId="2"/>
  </si>
  <si>
    <t>H1</t>
    <phoneticPr fontId="2"/>
  </si>
  <si>
    <t>←機種名</t>
    <rPh sb="1" eb="4">
      <t>キシュメイ</t>
    </rPh>
    <phoneticPr fontId="2"/>
  </si>
  <si>
    <t>L1</t>
    <phoneticPr fontId="2"/>
  </si>
  <si>
    <r>
      <rPr>
        <sz val="11"/>
        <rFont val="ＭＳ Ｐゴシック"/>
        <family val="3"/>
        <charset val="128"/>
      </rPr>
      <t>←</t>
    </r>
    <r>
      <rPr>
        <sz val="11"/>
        <rFont val="Arial"/>
        <family val="2"/>
      </rPr>
      <t>SMPL No.</t>
    </r>
    <phoneticPr fontId="2"/>
  </si>
  <si>
    <t>M1</t>
    <phoneticPr fontId="2"/>
  </si>
  <si>
    <t>COMMONID</t>
    <phoneticPr fontId="2"/>
  </si>
  <si>
    <t>N1</t>
    <phoneticPr fontId="2"/>
  </si>
  <si>
    <t>Num</t>
    <phoneticPr fontId="2"/>
  </si>
  <si>
    <t>Rma1</t>
    <phoneticPr fontId="17"/>
  </si>
  <si>
    <t>Rma2</t>
  </si>
  <si>
    <t>Rma3</t>
  </si>
  <si>
    <r>
      <t>Addm</t>
    </r>
    <r>
      <rPr>
        <sz val="11"/>
        <rFont val="ＭＳ Ｐゴシック"/>
        <family val="3"/>
        <charset val="128"/>
      </rPr>
      <t>条件の時もRmaを入れるようにした。VCインダクタンス無しをデフォルトとした。</t>
    </r>
    <rPh sb="4" eb="6">
      <t>ジョウケン</t>
    </rPh>
    <rPh sb="7" eb="8">
      <t>トキ</t>
    </rPh>
    <rPh sb="13" eb="14">
      <t>イ</t>
    </rPh>
    <rPh sb="31" eb="32">
      <t>ナ</t>
    </rPh>
    <phoneticPr fontId="17"/>
  </si>
  <si>
    <t>当ファイルは、等価回路による低域SIMであること、Ｌは空芯の値であり、あくまで参考値であることを踏まえ</t>
    <rPh sb="0" eb="1">
      <t>トウ</t>
    </rPh>
    <rPh sb="7" eb="11">
      <t>トウカカイロ</t>
    </rPh>
    <rPh sb="14" eb="18">
      <t>テイイキシ</t>
    </rPh>
    <rPh sb="27" eb="29">
      <t>クウシン</t>
    </rPh>
    <rPh sb="30" eb="31">
      <t>アタイ</t>
    </rPh>
    <rPh sb="39" eb="41">
      <t>サンコウ</t>
    </rPh>
    <rPh sb="41" eb="42">
      <t>チ</t>
    </rPh>
    <rPh sb="48" eb="49">
      <t>フ</t>
    </rPh>
    <phoneticPr fontId="17"/>
  </si>
  <si>
    <r>
      <t>SPL LINE Up Down</t>
    </r>
    <r>
      <rPr>
        <sz val="11"/>
        <rFont val="ＭＳ Ｐゴシック"/>
        <family val="3"/>
        <charset val="128"/>
      </rPr>
      <t>による表示不具合（位相特性ずれ）修正。</t>
    </r>
    <rPh sb="19" eb="21">
      <t>ヒョウジ</t>
    </rPh>
    <rPh sb="21" eb="24">
      <t>フグアイ</t>
    </rPh>
    <rPh sb="25" eb="27">
      <t>イソウ</t>
    </rPh>
    <rPh sb="27" eb="29">
      <t>トクセイ</t>
    </rPh>
    <rPh sb="32" eb="34">
      <t>シュウセイ</t>
    </rPh>
    <phoneticPr fontId="17"/>
  </si>
  <si>
    <t>Graph X-axis Frequency range</t>
    <phoneticPr fontId="2"/>
  </si>
  <si>
    <t>→</t>
    <phoneticPr fontId="2"/>
  </si>
  <si>
    <t>1/24[OCT]</t>
    <phoneticPr fontId="2"/>
  </si>
  <si>
    <t>loa</t>
    <phoneticPr fontId="2"/>
  </si>
  <si>
    <r>
      <t>[l],[dm</t>
    </r>
    <r>
      <rPr>
        <vertAlign val="superscript"/>
        <sz val="12"/>
        <rFont val="Arial"/>
        <family val="2"/>
      </rPr>
      <t>3</t>
    </r>
    <r>
      <rPr>
        <sz val="12"/>
        <rFont val="Arial"/>
        <family val="2"/>
      </rPr>
      <t>]</t>
    </r>
    <phoneticPr fontId="2"/>
  </si>
  <si>
    <r>
      <t>[m</t>
    </r>
    <r>
      <rPr>
        <vertAlign val="superscript"/>
        <sz val="12"/>
        <rFont val="Arial"/>
        <family val="2"/>
      </rPr>
      <t>2</t>
    </r>
    <r>
      <rPr>
        <sz val="12"/>
        <rFont val="Arial"/>
        <family val="2"/>
      </rPr>
      <t>]</t>
    </r>
    <phoneticPr fontId="2"/>
  </si>
  <si>
    <r>
      <t>mma=(8/3)*ρ</t>
    </r>
    <r>
      <rPr>
        <vertAlign val="subscript"/>
        <sz val="12"/>
        <rFont val="Arial"/>
        <family val="2"/>
      </rPr>
      <t>0</t>
    </r>
    <r>
      <rPr>
        <sz val="12"/>
        <rFont val="Arial"/>
        <family val="2"/>
      </rPr>
      <t>*a</t>
    </r>
    <r>
      <rPr>
        <vertAlign val="superscript"/>
        <sz val="12"/>
        <rFont val="Arial"/>
        <family val="2"/>
      </rPr>
      <t>3</t>
    </r>
    <phoneticPr fontId="2"/>
  </si>
  <si>
    <t>lay</t>
    <phoneticPr fontId="2"/>
  </si>
  <si>
    <t>VLL</t>
    <phoneticPr fontId="2"/>
  </si>
  <si>
    <t>WT</t>
    <phoneticPr fontId="2"/>
  </si>
  <si>
    <r>
      <t>[Wb/cm</t>
    </r>
    <r>
      <rPr>
        <vertAlign val="superscript"/>
        <sz val="12"/>
        <rFont val="Arial"/>
        <family val="2"/>
      </rPr>
      <t>2</t>
    </r>
    <r>
      <rPr>
        <sz val="12"/>
        <rFont val="Arial"/>
        <family val="2"/>
      </rPr>
      <t>]</t>
    </r>
    <phoneticPr fontId="2"/>
  </si>
  <si>
    <t>Bcf</t>
    <phoneticPr fontId="2"/>
  </si>
  <si>
    <t>lcf</t>
    <phoneticPr fontId="2"/>
  </si>
  <si>
    <t>tcf</t>
    <phoneticPr fontId="2"/>
  </si>
  <si>
    <r>
      <t>[m</t>
    </r>
    <r>
      <rPr>
        <vertAlign val="superscript"/>
        <sz val="12"/>
        <rFont val="Arial"/>
        <family val="2"/>
      </rPr>
      <t>3</t>
    </r>
    <r>
      <rPr>
        <sz val="12"/>
        <rFont val="Arial"/>
        <family val="2"/>
      </rPr>
      <t>]</t>
    </r>
    <phoneticPr fontId="2"/>
  </si>
  <si>
    <t>Rms</t>
    <phoneticPr fontId="2"/>
  </si>
  <si>
    <t>nZ</t>
    <phoneticPr fontId="2"/>
  </si>
  <si>
    <t>compliance(total)</t>
    <phoneticPr fontId="2"/>
  </si>
  <si>
    <r>
      <t>X</t>
    </r>
    <r>
      <rPr>
        <sz val="11"/>
        <rFont val="ＭＳ Ｐゴシック"/>
        <family val="3"/>
        <charset val="128"/>
      </rPr>
      <t>軸調整マクロ修正</t>
    </r>
    <r>
      <rPr>
        <sz val="11"/>
        <rFont val="Arial"/>
        <family val="2"/>
      </rPr>
      <t>,VC</t>
    </r>
    <r>
      <rPr>
        <sz val="11"/>
        <rFont val="ＭＳ Ｐゴシック"/>
        <family val="3"/>
        <charset val="128"/>
      </rPr>
      <t>余線が</t>
    </r>
    <r>
      <rPr>
        <sz val="11"/>
        <rFont val="Arial"/>
        <family val="2"/>
      </rPr>
      <t>Bl</t>
    </r>
    <r>
      <rPr>
        <sz val="11"/>
        <rFont val="ＭＳ Ｐゴシック"/>
        <family val="3"/>
        <charset val="128"/>
      </rPr>
      <t>に反映されない不具合等修正</t>
    </r>
    <rPh sb="1" eb="2">
      <t>ジク</t>
    </rPh>
    <rPh sb="2" eb="4">
      <t>チョウセイ</t>
    </rPh>
    <rPh sb="7" eb="9">
      <t>シュウセイ</t>
    </rPh>
    <rPh sb="27" eb="28">
      <t>トウ</t>
    </rPh>
    <phoneticPr fontId="17"/>
  </si>
  <si>
    <r>
      <t>BASE</t>
    </r>
    <r>
      <rPr>
        <sz val="11"/>
        <rFont val="ＭＳ Ｐゴシック"/>
        <family val="3"/>
        <charset val="128"/>
      </rPr>
      <t>シートの表示修正、マクロ修正。</t>
    </r>
    <rPh sb="8" eb="12">
      <t>ヒョウジシュウセイ</t>
    </rPh>
    <rPh sb="16" eb="18">
      <t>シュウセイ</t>
    </rPh>
    <phoneticPr fontId="17"/>
  </si>
  <si>
    <t>メイングラフ低IMP表示対応</t>
    <rPh sb="6" eb="7">
      <t>テイ</t>
    </rPh>
    <rPh sb="10" eb="12">
      <t>ヒョウジ</t>
    </rPh>
    <rPh sb="12" eb="14">
      <t>タイオウ</t>
    </rPh>
    <phoneticPr fontId="17"/>
  </si>
  <si>
    <t>deact</t>
    <phoneticPr fontId="2"/>
  </si>
  <si>
    <t>SGT</t>
    <phoneticPr fontId="2"/>
  </si>
  <si>
    <t>Phase1</t>
    <phoneticPr fontId="17"/>
  </si>
  <si>
    <t>Phase2</t>
  </si>
  <si>
    <t>Phase3</t>
  </si>
  <si>
    <t xml:space="preserve">       RESUME WITH MACRO AVAILABLE ! ! ! ! ! ! ! !</t>
  </si>
  <si>
    <t>#########################################</t>
  </si>
  <si>
    <t xml:space="preserve">FSGT </t>
    <phoneticPr fontId="17"/>
  </si>
  <si>
    <r>
      <rPr>
        <sz val="11"/>
        <rFont val="ＭＳ Ｐゴシック"/>
        <family val="3"/>
        <charset val="128"/>
      </rPr>
      <t>グラフ</t>
    </r>
    <r>
      <rPr>
        <sz val="11"/>
        <rFont val="Arial"/>
        <family val="2"/>
      </rPr>
      <t>2</t>
    </r>
    <r>
      <rPr>
        <sz val="11"/>
        <rFont val="ＭＳ Ｐゴシック"/>
        <family val="3"/>
        <charset val="128"/>
      </rPr>
      <t>専用</t>
    </r>
    <rPh sb="4" eb="6">
      <t>センヨウ</t>
    </rPh>
    <phoneticPr fontId="17"/>
  </si>
  <si>
    <t>Imp1</t>
    <phoneticPr fontId="17"/>
  </si>
  <si>
    <t>Imp2</t>
  </si>
  <si>
    <t>Imp3</t>
  </si>
  <si>
    <t>マクロ修正 グラフ表示等修正</t>
    <rPh sb="3" eb="5">
      <t>シュウセイ</t>
    </rPh>
    <rPh sb="9" eb="12">
      <t>ヒョウジトウ</t>
    </rPh>
    <rPh sb="12" eb="14">
      <t>シュウセイ</t>
    </rPh>
    <phoneticPr fontId="17"/>
  </si>
  <si>
    <t>↓ここは"              "にしておくこと</t>
    <phoneticPr fontId="17"/>
  </si>
  <si>
    <t xml:space="preserve">              </t>
    <phoneticPr fontId="17"/>
  </si>
  <si>
    <t>C160ref.</t>
    <phoneticPr fontId="2"/>
  </si>
  <si>
    <t>STFNS</t>
    <phoneticPr fontId="2"/>
  </si>
  <si>
    <t>Last update  2025/10/20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</si>
</sst>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000"/>
    <numFmt numFmtId="177" formatCode="0.0_ "/>
    <numFmt numFmtId="178" formatCode="0_ "/>
    <numFmt numFmtId="179" formatCode="0.00_ "/>
    <numFmt numFmtId="180" formatCode="0.000"/>
    <numFmt numFmtId="181" formatCode="0.0_);[Red]\(0.0\)"/>
    <numFmt numFmtId="182" formatCode="0.00_);[Red]\(0.00\)"/>
    <numFmt numFmtId="183" formatCode="0.0"/>
  </numFmts>
  <fonts count="58" x14ac:knownFonts="1">
    <font>
      <sz val="11"/>
      <name val="Arial"/>
      <family val="2"/>
    </font>
    <font>
      <b/>
      <sz val="11"/>
      <name val="ＭＳ Ｐゴシック"/>
      <family val="3"/>
      <charset val="128"/>
    </font>
    <font>
      <sz val="6"/>
      <name val="ＭＳ Ｐ明朝"/>
      <family val="1"/>
      <charset val="128"/>
    </font>
    <font>
      <b/>
      <sz val="11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sz val="18"/>
      <name val="Times New Roman"/>
      <family val="1"/>
    </font>
    <font>
      <sz val="11"/>
      <name val="Times New Roman"/>
      <family val="1"/>
    </font>
    <font>
      <sz val="11"/>
      <name val="ＭＳ Ｐゴシック"/>
      <family val="3"/>
      <charset val="128"/>
    </font>
    <font>
      <b/>
      <sz val="16"/>
      <name val="Times New Roman"/>
      <family val="1"/>
    </font>
    <font>
      <vertAlign val="superscript"/>
      <sz val="11"/>
      <name val="Arial"/>
      <family val="2"/>
    </font>
    <font>
      <b/>
      <sz val="16"/>
      <color indexed="10"/>
      <name val="Arial"/>
      <family val="2"/>
    </font>
    <font>
      <b/>
      <sz val="16"/>
      <color indexed="11"/>
      <name val="Arial"/>
      <family val="2"/>
    </font>
    <font>
      <b/>
      <sz val="12"/>
      <color indexed="10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6"/>
      <name val="ＭＳ Ｐゴシック"/>
      <family val="3"/>
      <charset val="128"/>
    </font>
    <font>
      <b/>
      <sz val="12"/>
      <name val="Times New Roman"/>
      <family val="1"/>
    </font>
    <font>
      <b/>
      <sz val="12"/>
      <color indexed="81"/>
      <name val="Arial"/>
      <family val="2"/>
    </font>
    <font>
      <sz val="12"/>
      <color indexed="81"/>
      <name val="Arial"/>
      <family val="2"/>
    </font>
    <font>
      <b/>
      <sz val="12"/>
      <name val="Arial"/>
      <family val="2"/>
    </font>
    <font>
      <b/>
      <sz val="11"/>
      <color indexed="81"/>
      <name val="Arial"/>
      <family val="2"/>
    </font>
    <font>
      <u/>
      <sz val="8.25"/>
      <color indexed="12"/>
      <name val="Arial"/>
      <family val="2"/>
    </font>
    <font>
      <b/>
      <i/>
      <u/>
      <sz val="11"/>
      <color indexed="12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1"/>
      <color rgb="FF0000FF"/>
      <name val="Arial"/>
      <family val="2"/>
    </font>
    <font>
      <b/>
      <sz val="12"/>
      <color rgb="FF0000FF"/>
      <name val="Arial"/>
      <family val="2"/>
    </font>
    <font>
      <b/>
      <sz val="20"/>
      <color rgb="FF0000FF"/>
      <name val="Arial"/>
      <family val="2"/>
    </font>
    <font>
      <b/>
      <sz val="12"/>
      <color rgb="FFFF0000"/>
      <name val="ＭＳ Ｐゴシック"/>
      <family val="3"/>
      <charset val="128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2"/>
      <color indexed="81"/>
      <name val="ＭＳ Ｐゴシック"/>
      <family val="3"/>
      <charset val="128"/>
    </font>
    <font>
      <sz val="12"/>
      <color indexed="81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1"/>
      <name val="メイリオ"/>
      <family val="3"/>
      <charset val="128"/>
    </font>
    <font>
      <b/>
      <vertAlign val="subscript"/>
      <sz val="11"/>
      <name val="Arial"/>
      <family val="2"/>
    </font>
    <font>
      <b/>
      <vertAlign val="superscript"/>
      <sz val="11"/>
      <name val="Arial"/>
      <family val="2"/>
    </font>
    <font>
      <sz val="12"/>
      <name val="Arial Narrow"/>
      <family val="2"/>
    </font>
    <font>
      <b/>
      <i/>
      <sz val="12"/>
      <color indexed="10"/>
      <name val="Arial"/>
      <family val="2"/>
    </font>
    <font>
      <b/>
      <i/>
      <sz val="12"/>
      <color indexed="12"/>
      <name val="Arial"/>
      <family val="2"/>
    </font>
    <font>
      <vertAlign val="superscript"/>
      <sz val="12"/>
      <name val="Arial"/>
      <family val="2"/>
    </font>
    <font>
      <b/>
      <sz val="12"/>
      <color indexed="23"/>
      <name val="Arial"/>
      <family val="2"/>
    </font>
    <font>
      <vertAlign val="subscript"/>
      <sz val="12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i/>
      <sz val="12"/>
      <name val="ＭＳ ゴシック"/>
      <family val="3"/>
      <charset val="128"/>
    </font>
    <font>
      <b/>
      <sz val="12"/>
      <name val="Arial Narrow"/>
      <family val="2"/>
    </font>
    <font>
      <b/>
      <sz val="14"/>
      <name val="Arial Narrow"/>
      <family val="2"/>
    </font>
    <font>
      <sz val="1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0000"/>
      <name val="Arial Narrow"/>
      <family val="2"/>
    </font>
    <font>
      <b/>
      <i/>
      <u/>
      <sz val="11"/>
      <color indexed="12"/>
      <name val="Times New Roman"/>
      <family val="1"/>
    </font>
    <font>
      <sz val="14"/>
      <color rgb="FF000000"/>
      <name val="Arial"/>
      <family val="2"/>
    </font>
    <font>
      <b/>
      <sz val="14"/>
      <color rgb="FFFF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lightGray"/>
    </fill>
    <fill>
      <patternFill patternType="lightGray">
        <fgColor indexed="12"/>
      </patternFill>
    </fill>
    <fill>
      <patternFill patternType="lightGray">
        <fgColor indexed="10"/>
      </patternFill>
    </fill>
    <fill>
      <patternFill patternType="lightGray">
        <fgColor indexed="11"/>
      </patternFill>
    </fill>
    <fill>
      <patternFill patternType="lightTrellis">
        <fgColor indexed="11"/>
      </patternFill>
    </fill>
    <fill>
      <patternFill patternType="gray125">
        <fgColor indexed="10"/>
      </patternFill>
    </fill>
    <fill>
      <patternFill patternType="lightGray">
        <fgColor indexed="29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1"/>
      </left>
      <right style="medium">
        <color indexed="11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Dashed">
        <color indexed="64"/>
      </left>
      <right/>
      <top style="medium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 style="dotted">
        <color indexed="64"/>
      </top>
      <bottom style="medium">
        <color indexed="10"/>
      </bottom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64"/>
      </top>
      <bottom style="medium">
        <color indexed="10"/>
      </bottom>
      <diagonal/>
    </border>
    <border>
      <left style="dotted">
        <color indexed="10"/>
      </left>
      <right style="dotted">
        <color indexed="10"/>
      </right>
      <top style="dotted">
        <color indexed="10"/>
      </top>
      <bottom style="dotted">
        <color indexed="10"/>
      </bottom>
      <diagonal/>
    </border>
    <border>
      <left style="dashed">
        <color indexed="10"/>
      </left>
      <right style="dashed">
        <color indexed="10"/>
      </right>
      <top style="dashed">
        <color indexed="10"/>
      </top>
      <bottom style="dashed">
        <color indexed="10"/>
      </bottom>
      <diagonal/>
    </border>
    <border>
      <left style="medium">
        <color indexed="11"/>
      </left>
      <right style="mediumDashed">
        <color indexed="64"/>
      </right>
      <top style="medium">
        <color indexed="8"/>
      </top>
      <bottom style="medium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</borders>
  <cellStyleXfs count="3">
    <xf numFmtId="0" fontId="0" fillId="0" borderId="0"/>
    <xf numFmtId="0" fontId="23" fillId="0" borderId="0" applyNumberFormat="0" applyFill="0" applyBorder="0" applyAlignment="0" applyProtection="0">
      <alignment vertical="top"/>
      <protection locked="0"/>
    </xf>
    <xf numFmtId="38" fontId="4" fillId="0" borderId="0" applyFont="0" applyFill="0" applyBorder="0" applyAlignment="0" applyProtection="0">
      <alignment vertical="center"/>
    </xf>
  </cellStyleXfs>
  <cellXfs count="247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2" borderId="0" xfId="0" applyFill="1"/>
    <xf numFmtId="178" fontId="0" fillId="0" borderId="0" xfId="0" applyNumberFormat="1"/>
    <xf numFmtId="0" fontId="0" fillId="0" borderId="0" xfId="0" applyProtection="1">
      <protection hidden="1"/>
    </xf>
    <xf numFmtId="0" fontId="0" fillId="0" borderId="0" xfId="0" applyFill="1"/>
    <xf numFmtId="0" fontId="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8" fillId="0" borderId="0" xfId="0" applyFont="1" applyProtection="1">
      <protection locked="0"/>
    </xf>
    <xf numFmtId="40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9" fillId="0" borderId="0" xfId="0" applyFont="1" applyProtection="1"/>
    <xf numFmtId="49" fontId="0" fillId="0" borderId="0" xfId="0" applyNumberFormat="1" applyProtection="1">
      <protection locked="0"/>
    </xf>
    <xf numFmtId="0" fontId="0" fillId="0" borderId="0" xfId="0" quotePrefix="1" applyAlignment="1" applyProtection="1">
      <alignment horizontal="left"/>
    </xf>
    <xf numFmtId="0" fontId="4" fillId="0" borderId="0" xfId="0" applyFont="1" applyAlignment="1">
      <alignment wrapText="1"/>
    </xf>
    <xf numFmtId="0" fontId="9" fillId="0" borderId="0" xfId="0" applyFont="1"/>
    <xf numFmtId="0" fontId="0" fillId="13" borderId="0" xfId="0" applyFill="1"/>
    <xf numFmtId="0" fontId="0" fillId="0" borderId="0" xfId="0" applyAlignment="1">
      <alignment horizontal="right"/>
    </xf>
    <xf numFmtId="0" fontId="0" fillId="0" borderId="0" xfId="0" applyFill="1" applyBorder="1" applyProtection="1">
      <protection locked="0" hidden="1"/>
    </xf>
    <xf numFmtId="0" fontId="0" fillId="15" borderId="0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3" borderId="0" xfId="0" applyFill="1" applyBorder="1" applyProtection="1">
      <protection locked="0"/>
    </xf>
    <xf numFmtId="0" fontId="0" fillId="14" borderId="0" xfId="0" applyFill="1" applyBorder="1" applyProtection="1">
      <protection locked="0"/>
    </xf>
    <xf numFmtId="0" fontId="33" fillId="0" borderId="0" xfId="0" applyFont="1" applyAlignment="1">
      <alignment horizontal="right"/>
    </xf>
    <xf numFmtId="0" fontId="0" fillId="0" borderId="0" xfId="0" applyAlignment="1">
      <alignment vertical="top"/>
    </xf>
    <xf numFmtId="0" fontId="9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17" borderId="0" xfId="0" applyFill="1"/>
    <xf numFmtId="0" fontId="0" fillId="16" borderId="0" xfId="0" applyFill="1"/>
    <xf numFmtId="0" fontId="0" fillId="0" borderId="1" xfId="0" applyBorder="1" applyProtection="1"/>
    <xf numFmtId="0" fontId="0" fillId="18" borderId="0" xfId="0" applyFill="1" applyProtection="1"/>
    <xf numFmtId="0" fontId="3" fillId="0" borderId="0" xfId="0" applyFont="1" applyAlignment="1" applyProtection="1">
      <alignment horizontal="center"/>
    </xf>
    <xf numFmtId="14" fontId="0" fillId="0" borderId="0" xfId="0" applyNumberFormat="1" applyAlignment="1">
      <alignment vertical="top"/>
    </xf>
    <xf numFmtId="0" fontId="0" fillId="0" borderId="0" xfId="0" applyAlignment="1">
      <alignment wrapText="1"/>
    </xf>
    <xf numFmtId="0" fontId="9" fillId="0" borderId="0" xfId="0" applyFont="1" applyAlignment="1">
      <alignment wrapText="1"/>
    </xf>
    <xf numFmtId="0" fontId="0" fillId="0" borderId="0" xfId="0" applyNumberFormat="1"/>
    <xf numFmtId="0" fontId="0" fillId="19" borderId="0" xfId="0" applyFill="1"/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77" fontId="0" fillId="0" borderId="22" xfId="0" applyNumberFormat="1" applyBorder="1" applyProtection="1"/>
    <xf numFmtId="0" fontId="0" fillId="0" borderId="22" xfId="0" applyBorder="1" applyProtection="1">
      <protection locked="0"/>
    </xf>
    <xf numFmtId="0" fontId="0" fillId="0" borderId="1" xfId="0" applyFont="1" applyBorder="1" applyProtection="1"/>
    <xf numFmtId="0" fontId="7" fillId="3" borderId="0" xfId="0" applyFont="1" applyFill="1" applyAlignment="1" applyProtection="1">
      <alignment vertical="center"/>
      <protection hidden="1"/>
    </xf>
    <xf numFmtId="0" fontId="3" fillId="3" borderId="0" xfId="0" applyFont="1" applyFill="1" applyProtection="1">
      <protection hidden="1"/>
    </xf>
    <xf numFmtId="0" fontId="7" fillId="3" borderId="0" xfId="0" applyFont="1" applyFill="1" applyProtection="1">
      <protection hidden="1"/>
    </xf>
    <xf numFmtId="40" fontId="4" fillId="3" borderId="0" xfId="0" applyNumberFormat="1" applyFont="1" applyFill="1" applyProtection="1">
      <protection hidden="1"/>
    </xf>
    <xf numFmtId="0" fontId="4" fillId="3" borderId="0" xfId="0" applyFont="1" applyFill="1" applyProtection="1">
      <protection hidden="1"/>
    </xf>
    <xf numFmtId="49" fontId="51" fillId="3" borderId="0" xfId="0" quotePrefix="1" applyNumberFormat="1" applyFont="1" applyFill="1" applyAlignment="1" applyProtection="1">
      <alignment horizontal="left" vertical="top"/>
      <protection locked="0" hidden="1"/>
    </xf>
    <xf numFmtId="0" fontId="10" fillId="3" borderId="0" xfId="0" applyFont="1" applyFill="1" applyAlignment="1" applyProtection="1">
      <protection hidden="1"/>
    </xf>
    <xf numFmtId="0" fontId="1" fillId="3" borderId="0" xfId="0" applyFont="1" applyFill="1" applyProtection="1">
      <protection hidden="1"/>
    </xf>
    <xf numFmtId="0" fontId="18" fillId="3" borderId="0" xfId="0" applyFont="1" applyFill="1" applyAlignment="1" applyProtection="1">
      <alignment horizontal="center"/>
      <protection hidden="1"/>
    </xf>
    <xf numFmtId="49" fontId="52" fillId="3" borderId="0" xfId="0" quotePrefix="1" applyNumberFormat="1" applyFont="1" applyFill="1" applyAlignment="1" applyProtection="1">
      <alignment horizontal="right"/>
      <protection locked="0" hidden="1"/>
    </xf>
    <xf numFmtId="0" fontId="37" fillId="3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hidden="1"/>
    </xf>
    <xf numFmtId="0" fontId="0" fillId="2" borderId="0" xfId="0" applyFill="1" applyProtection="1">
      <protection locked="0" hidden="1"/>
    </xf>
    <xf numFmtId="0" fontId="16" fillId="2" borderId="0" xfId="0" applyFont="1" applyFill="1" applyProtection="1">
      <protection hidden="1"/>
    </xf>
    <xf numFmtId="0" fontId="0" fillId="0" borderId="0" xfId="0" applyProtection="1">
      <protection locked="0" hidden="1"/>
    </xf>
    <xf numFmtId="0" fontId="3" fillId="2" borderId="0" xfId="0" applyFont="1" applyFill="1" applyAlignment="1" applyProtection="1">
      <alignment vertical="center"/>
      <protection hidden="1"/>
    </xf>
    <xf numFmtId="0" fontId="12" fillId="0" borderId="12" xfId="0" applyFont="1" applyFill="1" applyBorder="1" applyAlignment="1" applyProtection="1">
      <alignment vertical="center"/>
      <protection hidden="1"/>
    </xf>
    <xf numFmtId="0" fontId="3" fillId="0" borderId="14" xfId="0" applyFont="1" applyBorder="1" applyAlignment="1" applyProtection="1">
      <alignment vertical="center"/>
      <protection hidden="1"/>
    </xf>
    <xf numFmtId="0" fontId="8" fillId="0" borderId="6" xfId="0" applyFont="1" applyFill="1" applyBorder="1" applyAlignment="1" applyProtection="1">
      <alignment vertical="center"/>
      <protection hidden="1"/>
    </xf>
    <xf numFmtId="1" fontId="5" fillId="5" borderId="11" xfId="0" applyNumberFormat="1" applyFont="1" applyFill="1" applyBorder="1" applyAlignment="1" applyProtection="1">
      <alignment horizontal="center" vertical="center"/>
      <protection locked="0" hidden="1"/>
    </xf>
    <xf numFmtId="0" fontId="5" fillId="6" borderId="11" xfId="0" applyFont="1" applyFill="1" applyBorder="1" applyAlignment="1" applyProtection="1">
      <alignment horizontal="center" vertical="center"/>
      <protection hidden="1"/>
    </xf>
    <xf numFmtId="0" fontId="5" fillId="7" borderId="11" xfId="0" applyFont="1" applyFill="1" applyBorder="1" applyAlignment="1" applyProtection="1">
      <alignment horizontal="center" vertical="center"/>
      <protection hidden="1"/>
    </xf>
    <xf numFmtId="0" fontId="0" fillId="0" borderId="27" xfId="0" applyBorder="1" applyAlignment="1" applyProtection="1">
      <alignment vertical="center"/>
      <protection locked="0" hidden="1"/>
    </xf>
    <xf numFmtId="0" fontId="13" fillId="0" borderId="18" xfId="0" applyFont="1" applyFill="1" applyBorder="1" applyAlignment="1" applyProtection="1">
      <alignment vertical="center"/>
      <protection hidden="1"/>
    </xf>
    <xf numFmtId="0" fontId="4" fillId="0" borderId="6" xfId="0" applyFont="1" applyFill="1" applyBorder="1" applyAlignment="1" applyProtection="1">
      <alignment vertical="center"/>
      <protection hidden="1"/>
    </xf>
    <xf numFmtId="0" fontId="24" fillId="0" borderId="6" xfId="1" applyFont="1" applyFill="1" applyBorder="1" applyAlignment="1" applyProtection="1">
      <alignment vertical="center"/>
      <protection locked="0" hidden="1"/>
    </xf>
    <xf numFmtId="0" fontId="0" fillId="2" borderId="0" xfId="0" applyFill="1" applyAlignment="1" applyProtection="1">
      <alignment vertical="center"/>
      <protection hidden="1"/>
    </xf>
    <xf numFmtId="0" fontId="26" fillId="2" borderId="0" xfId="0" applyFont="1" applyFill="1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locked="0" hidden="1"/>
    </xf>
    <xf numFmtId="0" fontId="3" fillId="2" borderId="0" xfId="0" applyFont="1" applyFill="1" applyAlignment="1" applyProtection="1">
      <alignment vertical="center"/>
      <protection locked="0" hidden="1"/>
    </xf>
    <xf numFmtId="0" fontId="21" fillId="0" borderId="12" xfId="0" applyFont="1" applyFill="1" applyBorder="1" applyAlignment="1" applyProtection="1">
      <alignment vertical="center"/>
      <protection hidden="1"/>
    </xf>
    <xf numFmtId="0" fontId="21" fillId="0" borderId="6" xfId="0" applyFont="1" applyBorder="1" applyAlignment="1" applyProtection="1">
      <alignment horizontal="right" vertical="center"/>
      <protection hidden="1"/>
    </xf>
    <xf numFmtId="0" fontId="16" fillId="0" borderId="6" xfId="0" quotePrefix="1" applyFont="1" applyFill="1" applyBorder="1" applyAlignment="1" applyProtection="1">
      <alignment horizontal="left" vertical="center"/>
      <protection hidden="1"/>
    </xf>
    <xf numFmtId="0" fontId="16" fillId="0" borderId="24" xfId="0" applyNumberFormat="1" applyFont="1" applyFill="1" applyBorder="1" applyAlignment="1" applyProtection="1">
      <alignment vertical="center"/>
      <protection hidden="1"/>
    </xf>
    <xf numFmtId="0" fontId="23" fillId="0" borderId="6" xfId="1" applyBorder="1" applyAlignment="1" applyProtection="1">
      <alignment vertical="center"/>
      <protection hidden="1"/>
    </xf>
    <xf numFmtId="0" fontId="16" fillId="0" borderId="6" xfId="0" applyFont="1" applyBorder="1" applyAlignment="1" applyProtection="1">
      <alignment vertical="center"/>
      <protection hidden="1"/>
    </xf>
    <xf numFmtId="0" fontId="21" fillId="0" borderId="18" xfId="0" applyFont="1" applyBorder="1" applyAlignment="1" applyProtection="1">
      <alignment horizontal="right" vertical="center"/>
      <protection hidden="1"/>
    </xf>
    <xf numFmtId="0" fontId="16" fillId="0" borderId="6" xfId="0" quotePrefix="1" applyFont="1" applyBorder="1" applyAlignment="1" applyProtection="1">
      <alignment horizontal="left" vertical="center"/>
      <protection hidden="1"/>
    </xf>
    <xf numFmtId="1" fontId="16" fillId="0" borderId="13" xfId="0" applyNumberFormat="1" applyFont="1" applyBorder="1" applyAlignment="1" applyProtection="1">
      <alignment vertical="center"/>
      <protection hidden="1"/>
    </xf>
    <xf numFmtId="0" fontId="16" fillId="0" borderId="7" xfId="0" applyFont="1" applyFill="1" applyBorder="1" applyAlignment="1" applyProtection="1">
      <alignment vertical="center"/>
      <protection hidden="1"/>
    </xf>
    <xf numFmtId="0" fontId="24" fillId="2" borderId="0" xfId="1" applyFont="1" applyFill="1" applyAlignment="1" applyProtection="1">
      <alignment vertical="center"/>
      <protection hidden="1"/>
    </xf>
    <xf numFmtId="0" fontId="4" fillId="4" borderId="0" xfId="0" applyFont="1" applyFill="1" applyAlignment="1" applyProtection="1">
      <alignment horizontal="right" vertical="center"/>
      <protection hidden="1"/>
    </xf>
    <xf numFmtId="0" fontId="15" fillId="4" borderId="0" xfId="0" applyFont="1" applyFill="1" applyAlignment="1" applyProtection="1">
      <alignment vertical="center"/>
      <protection hidden="1"/>
    </xf>
    <xf numFmtId="0" fontId="15" fillId="4" borderId="10" xfId="0" applyFont="1" applyFill="1" applyBorder="1" applyAlignment="1" applyProtection="1">
      <alignment vertical="center"/>
      <protection locked="0" hidden="1"/>
    </xf>
    <xf numFmtId="0" fontId="21" fillId="0" borderId="8" xfId="0" applyFont="1" applyFill="1" applyBorder="1" applyAlignment="1" applyProtection="1">
      <alignment vertical="center"/>
      <protection hidden="1"/>
    </xf>
    <xf numFmtId="0" fontId="21" fillId="0" borderId="0" xfId="0" applyFont="1" applyFill="1" applyBorder="1" applyAlignment="1" applyProtection="1">
      <alignment horizontal="right" vertical="center"/>
      <protection hidden="1"/>
    </xf>
    <xf numFmtId="0" fontId="16" fillId="0" borderId="0" xfId="0" quotePrefix="1" applyFont="1" applyFill="1" applyBorder="1" applyAlignment="1" applyProtection="1">
      <alignment horizontal="left" vertical="center"/>
      <protection hidden="1"/>
    </xf>
    <xf numFmtId="40" fontId="16" fillId="0" borderId="0" xfId="0" applyNumberFormat="1" applyFont="1" applyBorder="1" applyAlignment="1" applyProtection="1">
      <alignment vertical="center"/>
      <protection hidden="1"/>
    </xf>
    <xf numFmtId="2" fontId="16" fillId="10" borderId="1" xfId="0" applyNumberFormat="1" applyFont="1" applyFill="1" applyBorder="1" applyAlignment="1" applyProtection="1">
      <alignment vertical="center"/>
      <protection locked="0" hidden="1"/>
    </xf>
    <xf numFmtId="0" fontId="16" fillId="0" borderId="0" xfId="0" applyFont="1" applyBorder="1" applyAlignment="1" applyProtection="1">
      <alignment vertical="center"/>
      <protection hidden="1"/>
    </xf>
    <xf numFmtId="0" fontId="21" fillId="0" borderId="19" xfId="0" applyFont="1" applyBorder="1" applyAlignment="1" applyProtection="1">
      <alignment horizontal="right" vertical="center"/>
      <protection hidden="1"/>
    </xf>
    <xf numFmtId="2" fontId="16" fillId="0" borderId="1" xfId="0" applyNumberFormat="1" applyFont="1" applyBorder="1" applyAlignment="1" applyProtection="1">
      <alignment vertical="center"/>
      <protection hidden="1"/>
    </xf>
    <xf numFmtId="0" fontId="16" fillId="0" borderId="2" xfId="0" applyFont="1" applyFill="1" applyBorder="1" applyAlignment="1" applyProtection="1">
      <alignment horizontal="left" vertical="center"/>
      <protection hidden="1"/>
    </xf>
    <xf numFmtId="0" fontId="4" fillId="4" borderId="0" xfId="0" applyFont="1" applyFill="1" applyAlignment="1" applyProtection="1">
      <alignment vertical="center"/>
      <protection hidden="1"/>
    </xf>
    <xf numFmtId="0" fontId="0" fillId="4" borderId="0" xfId="0" applyFill="1" applyAlignment="1" applyProtection="1">
      <alignment vertical="center"/>
      <protection hidden="1"/>
    </xf>
    <xf numFmtId="0" fontId="0" fillId="4" borderId="23" xfId="0" applyFill="1" applyBorder="1" applyAlignment="1" applyProtection="1">
      <alignment vertical="center"/>
      <protection hidden="1"/>
    </xf>
    <xf numFmtId="0" fontId="0" fillId="4" borderId="22" xfId="0" applyFill="1" applyBorder="1" applyAlignment="1" applyProtection="1">
      <alignment vertical="center"/>
      <protection hidden="1"/>
    </xf>
    <xf numFmtId="0" fontId="0" fillId="0" borderId="0" xfId="0" applyFont="1" applyAlignment="1" applyProtection="1">
      <alignment vertical="center"/>
      <protection locked="0" hidden="1"/>
    </xf>
    <xf numFmtId="0" fontId="16" fillId="0" borderId="10" xfId="0" applyNumberFormat="1" applyFont="1" applyFill="1" applyBorder="1" applyAlignment="1" applyProtection="1">
      <alignment vertical="center"/>
      <protection hidden="1"/>
    </xf>
    <xf numFmtId="0" fontId="16" fillId="0" borderId="25" xfId="0" applyNumberFormat="1" applyFont="1" applyFill="1" applyBorder="1" applyAlignment="1" applyProtection="1">
      <alignment vertical="center"/>
      <protection hidden="1"/>
    </xf>
    <xf numFmtId="0" fontId="21" fillId="0" borderId="25" xfId="0" applyNumberFormat="1" applyFont="1" applyFill="1" applyBorder="1" applyAlignment="1" applyProtection="1">
      <alignment vertical="center"/>
      <protection hidden="1"/>
    </xf>
    <xf numFmtId="0" fontId="16" fillId="0" borderId="0" xfId="0" applyFont="1" applyBorder="1" applyAlignment="1" applyProtection="1">
      <alignment horizontal="left" vertical="center"/>
      <protection hidden="1"/>
    </xf>
    <xf numFmtId="0" fontId="16" fillId="0" borderId="0" xfId="0" applyFont="1" applyFill="1" applyBorder="1" applyAlignment="1" applyProtection="1">
      <alignment vertical="center"/>
      <protection hidden="1"/>
    </xf>
    <xf numFmtId="0" fontId="16" fillId="0" borderId="0" xfId="0" quotePrefix="1" applyFont="1" applyBorder="1" applyAlignment="1" applyProtection="1">
      <alignment horizontal="left" vertical="center"/>
      <protection hidden="1"/>
    </xf>
    <xf numFmtId="0" fontId="16" fillId="0" borderId="2" xfId="0" applyFont="1" applyFill="1" applyBorder="1" applyAlignment="1" applyProtection="1">
      <alignment vertical="center"/>
      <protection hidden="1"/>
    </xf>
    <xf numFmtId="0" fontId="4" fillId="4" borderId="0" xfId="0" quotePrefix="1" applyFont="1" applyFill="1" applyAlignment="1" applyProtection="1">
      <alignment horizontal="left" vertical="center"/>
      <protection hidden="1"/>
    </xf>
    <xf numFmtId="0" fontId="42" fillId="0" borderId="8" xfId="0" applyFont="1" applyBorder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1" fontId="16" fillId="0" borderId="1" xfId="0" applyNumberFormat="1" applyFont="1" applyBorder="1" applyAlignment="1" applyProtection="1">
      <alignment vertical="center"/>
      <protection hidden="1"/>
    </xf>
    <xf numFmtId="0" fontId="21" fillId="0" borderId="0" xfId="0" quotePrefix="1" applyFont="1" applyFill="1" applyBorder="1" applyAlignment="1" applyProtection="1">
      <alignment horizontal="right" vertical="center"/>
      <protection hidden="1"/>
    </xf>
    <xf numFmtId="0" fontId="0" fillId="2" borderId="0" xfId="0" applyFill="1" applyAlignment="1" applyProtection="1">
      <alignment vertical="center"/>
      <protection locked="0" hidden="1"/>
    </xf>
    <xf numFmtId="0" fontId="9" fillId="2" borderId="0" xfId="0" applyFont="1" applyFill="1" applyAlignment="1" applyProtection="1">
      <alignment horizontal="right" vertical="center"/>
      <protection hidden="1"/>
    </xf>
    <xf numFmtId="0" fontId="9" fillId="2" borderId="0" xfId="0" applyFont="1" applyFill="1" applyAlignment="1" applyProtection="1">
      <alignment vertical="center"/>
      <protection hidden="1"/>
    </xf>
    <xf numFmtId="0" fontId="16" fillId="0" borderId="0" xfId="0" applyFont="1" applyFill="1" applyBorder="1" applyAlignment="1" applyProtection="1">
      <alignment horizontal="left" vertical="center"/>
      <protection hidden="1"/>
    </xf>
    <xf numFmtId="0" fontId="14" fillId="0" borderId="8" xfId="0" applyFont="1" applyFill="1" applyBorder="1" applyAlignment="1" applyProtection="1">
      <alignment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14" fillId="0" borderId="0" xfId="0" applyFont="1" applyFill="1" applyBorder="1" applyAlignment="1" applyProtection="1">
      <alignment horizontal="right" vertical="center"/>
      <protection hidden="1"/>
    </xf>
    <xf numFmtId="0" fontId="14" fillId="0" borderId="0" xfId="0" applyFont="1" applyFill="1" applyBorder="1" applyAlignment="1" applyProtection="1">
      <alignment vertical="center"/>
      <protection hidden="1"/>
    </xf>
    <xf numFmtId="1" fontId="16" fillId="0" borderId="1" xfId="0" applyNumberFormat="1" applyFont="1" applyFill="1" applyBorder="1" applyAlignment="1" applyProtection="1">
      <alignment vertical="center"/>
      <protection hidden="1"/>
    </xf>
    <xf numFmtId="0" fontId="43" fillId="0" borderId="8" xfId="0" quotePrefix="1" applyFont="1" applyFill="1" applyBorder="1" applyAlignment="1" applyProtection="1">
      <alignment vertical="center"/>
      <protection hidden="1"/>
    </xf>
    <xf numFmtId="40" fontId="16" fillId="0" borderId="0" xfId="0" applyNumberFormat="1" applyFont="1" applyFill="1" applyBorder="1" applyAlignment="1" applyProtection="1">
      <alignment vertical="center"/>
      <protection hidden="1"/>
    </xf>
    <xf numFmtId="0" fontId="21" fillId="0" borderId="19" xfId="0" applyFont="1" applyFill="1" applyBorder="1" applyAlignment="1" applyProtection="1">
      <alignment horizontal="right" vertical="center"/>
      <protection hidden="1"/>
    </xf>
    <xf numFmtId="0" fontId="21" fillId="0" borderId="0" xfId="0" applyFont="1" applyFill="1" applyBorder="1" applyAlignment="1" applyProtection="1">
      <alignment vertical="center"/>
      <protection hidden="1"/>
    </xf>
    <xf numFmtId="182" fontId="21" fillId="8" borderId="17" xfId="0" applyNumberFormat="1" applyFont="1" applyFill="1" applyBorder="1" applyAlignment="1" applyProtection="1">
      <alignment vertical="center"/>
      <protection hidden="1"/>
    </xf>
    <xf numFmtId="0" fontId="16" fillId="0" borderId="1" xfId="0" applyFont="1" applyBorder="1" applyAlignment="1" applyProtection="1">
      <alignment vertical="center"/>
      <protection hidden="1"/>
    </xf>
    <xf numFmtId="176" fontId="16" fillId="0" borderId="1" xfId="0" applyNumberFormat="1" applyFont="1" applyFill="1" applyBorder="1" applyAlignment="1" applyProtection="1">
      <alignment vertical="center"/>
      <protection hidden="1"/>
    </xf>
    <xf numFmtId="0" fontId="0" fillId="2" borderId="25" xfId="0" applyNumberFormat="1" applyFill="1" applyBorder="1" applyAlignment="1" applyProtection="1">
      <alignment vertical="center"/>
      <protection locked="0" hidden="1"/>
    </xf>
    <xf numFmtId="0" fontId="43" fillId="0" borderId="8" xfId="0" applyFont="1" applyFill="1" applyBorder="1" applyAlignment="1" applyProtection="1">
      <alignment vertical="center"/>
      <protection hidden="1"/>
    </xf>
    <xf numFmtId="176" fontId="16" fillId="0" borderId="1" xfId="0" applyNumberFormat="1" applyFont="1" applyBorder="1" applyAlignment="1" applyProtection="1">
      <alignment vertical="center"/>
      <protection hidden="1"/>
    </xf>
    <xf numFmtId="0" fontId="45" fillId="0" borderId="0" xfId="0" applyFont="1" applyFill="1" applyBorder="1" applyAlignment="1" applyProtection="1">
      <alignment horizontal="right" vertical="center"/>
      <protection hidden="1"/>
    </xf>
    <xf numFmtId="182" fontId="16" fillId="11" borderId="1" xfId="0" applyNumberFormat="1" applyFont="1" applyFill="1" applyBorder="1" applyAlignment="1" applyProtection="1">
      <alignment vertical="center"/>
      <protection hidden="1"/>
    </xf>
    <xf numFmtId="0" fontId="50" fillId="0" borderId="19" xfId="0" applyFont="1" applyFill="1" applyBorder="1" applyAlignment="1" applyProtection="1">
      <alignment horizontal="right" vertical="center"/>
      <protection hidden="1"/>
    </xf>
    <xf numFmtId="176" fontId="21" fillId="8" borderId="1" xfId="0" applyNumberFormat="1" applyFont="1" applyFill="1" applyBorder="1" applyAlignment="1" applyProtection="1">
      <alignment vertical="center"/>
      <protection hidden="1"/>
    </xf>
    <xf numFmtId="0" fontId="4" fillId="2" borderId="0" xfId="0" applyFont="1" applyFill="1" applyAlignment="1" applyProtection="1">
      <alignment vertical="center"/>
      <protection hidden="1"/>
    </xf>
    <xf numFmtId="177" fontId="0" fillId="2" borderId="1" xfId="0" applyNumberFormat="1" applyFill="1" applyBorder="1" applyAlignment="1" applyProtection="1">
      <alignment vertical="center"/>
      <protection hidden="1"/>
    </xf>
    <xf numFmtId="40" fontId="16" fillId="0" borderId="0" xfId="0" applyNumberFormat="1" applyFont="1" applyBorder="1" applyAlignment="1" applyProtection="1">
      <alignment vertical="center"/>
      <protection locked="0" hidden="1"/>
    </xf>
    <xf numFmtId="2" fontId="16" fillId="0" borderId="10" xfId="0" applyNumberFormat="1" applyFont="1" applyFill="1" applyBorder="1" applyAlignment="1" applyProtection="1">
      <alignment vertical="center"/>
      <protection hidden="1"/>
    </xf>
    <xf numFmtId="2" fontId="16" fillId="0" borderId="26" xfId="0" applyNumberFormat="1" applyFont="1" applyFill="1" applyBorder="1" applyAlignment="1" applyProtection="1">
      <alignment vertical="center"/>
      <protection hidden="1"/>
    </xf>
    <xf numFmtId="0" fontId="16" fillId="0" borderId="26" xfId="0" applyNumberFormat="1" applyFont="1" applyFill="1" applyBorder="1" applyAlignment="1" applyProtection="1">
      <alignment vertical="center"/>
      <protection hidden="1"/>
    </xf>
    <xf numFmtId="0" fontId="21" fillId="0" borderId="19" xfId="0" quotePrefix="1" applyFont="1" applyBorder="1" applyAlignment="1" applyProtection="1">
      <alignment horizontal="right" vertical="center"/>
      <protection hidden="1"/>
    </xf>
    <xf numFmtId="177" fontId="21" fillId="8" borderId="1" xfId="0" applyNumberFormat="1" applyFont="1" applyFill="1" applyBorder="1" applyAlignment="1" applyProtection="1">
      <alignment vertical="center"/>
      <protection hidden="1"/>
    </xf>
    <xf numFmtId="2" fontId="21" fillId="8" borderId="1" xfId="0" applyNumberFormat="1" applyFont="1" applyFill="1" applyBorder="1" applyAlignment="1" applyProtection="1">
      <alignment vertical="center"/>
      <protection hidden="1"/>
    </xf>
    <xf numFmtId="2" fontId="21" fillId="8" borderId="16" xfId="0" applyNumberFormat="1" applyFont="1" applyFill="1" applyBorder="1" applyAlignment="1" applyProtection="1">
      <alignment vertical="center"/>
      <protection hidden="1"/>
    </xf>
    <xf numFmtId="0" fontId="41" fillId="0" borderId="19" xfId="0" applyFont="1" applyBorder="1" applyAlignment="1" applyProtection="1">
      <alignment horizontal="right" vertical="center"/>
      <protection hidden="1"/>
    </xf>
    <xf numFmtId="2" fontId="16" fillId="11" borderId="1" xfId="0" applyNumberFormat="1" applyFont="1" applyFill="1" applyBorder="1" applyAlignment="1" applyProtection="1">
      <alignment vertical="center"/>
      <protection hidden="1"/>
    </xf>
    <xf numFmtId="0" fontId="16" fillId="0" borderId="19" xfId="0" applyFont="1" applyBorder="1" applyAlignment="1" applyProtection="1">
      <alignment vertical="center"/>
      <protection locked="0" hidden="1"/>
    </xf>
    <xf numFmtId="0" fontId="16" fillId="0" borderId="0" xfId="0" applyFont="1" applyAlignment="1" applyProtection="1">
      <alignment vertical="center"/>
      <protection locked="0" hidden="1"/>
    </xf>
    <xf numFmtId="0" fontId="43" fillId="0" borderId="19" xfId="0" applyFont="1" applyBorder="1" applyAlignment="1" applyProtection="1">
      <alignment horizontal="left" vertical="center"/>
      <protection hidden="1"/>
    </xf>
    <xf numFmtId="38" fontId="16" fillId="0" borderId="10" xfId="2" applyFont="1" applyFill="1" applyBorder="1" applyAlignment="1" applyProtection="1">
      <alignment vertical="center"/>
      <protection hidden="1"/>
    </xf>
    <xf numFmtId="38" fontId="16" fillId="0" borderId="26" xfId="2" applyFont="1" applyFill="1" applyBorder="1" applyAlignment="1" applyProtection="1">
      <alignment vertical="center"/>
      <protection hidden="1"/>
    </xf>
    <xf numFmtId="180" fontId="16" fillId="0" borderId="1" xfId="0" applyNumberFormat="1" applyFont="1" applyBorder="1" applyAlignment="1" applyProtection="1">
      <alignment vertical="center"/>
      <protection hidden="1"/>
    </xf>
    <xf numFmtId="183" fontId="16" fillId="0" borderId="1" xfId="0" applyNumberFormat="1" applyFont="1" applyBorder="1" applyAlignment="1" applyProtection="1">
      <alignment vertical="center"/>
      <protection hidden="1"/>
    </xf>
    <xf numFmtId="0" fontId="16" fillId="0" borderId="10" xfId="0" applyNumberFormat="1" applyFont="1" applyBorder="1" applyAlignment="1" applyProtection="1">
      <alignment vertical="center"/>
      <protection hidden="1"/>
    </xf>
    <xf numFmtId="0" fontId="50" fillId="0" borderId="19" xfId="0" applyFont="1" applyBorder="1" applyAlignment="1" applyProtection="1">
      <alignment horizontal="right" vertical="center"/>
      <protection hidden="1"/>
    </xf>
    <xf numFmtId="0" fontId="43" fillId="0" borderId="8" xfId="0" applyFont="1" applyFill="1" applyBorder="1" applyAlignment="1" applyProtection="1">
      <alignment horizontal="left" vertical="center"/>
      <protection hidden="1"/>
    </xf>
    <xf numFmtId="0" fontId="21" fillId="0" borderId="0" xfId="0" applyFont="1" applyAlignment="1" applyProtection="1">
      <alignment vertical="center"/>
      <protection locked="0" hidden="1"/>
    </xf>
    <xf numFmtId="0" fontId="16" fillId="10" borderId="10" xfId="0" applyNumberFormat="1" applyFont="1" applyFill="1" applyBorder="1" applyAlignment="1" applyProtection="1">
      <alignment vertical="center"/>
      <protection hidden="1"/>
    </xf>
    <xf numFmtId="0" fontId="16" fillId="10" borderId="26" xfId="0" applyNumberFormat="1" applyFont="1" applyFill="1" applyBorder="1" applyAlignment="1" applyProtection="1">
      <alignment vertical="center"/>
      <protection hidden="1"/>
    </xf>
    <xf numFmtId="0" fontId="16" fillId="0" borderId="1" xfId="0" applyNumberFormat="1" applyFont="1" applyBorder="1" applyAlignment="1" applyProtection="1">
      <alignment vertical="center"/>
      <protection hidden="1"/>
    </xf>
    <xf numFmtId="0" fontId="16" fillId="0" borderId="0" xfId="0" applyFont="1" applyFill="1" applyBorder="1" applyAlignment="1" applyProtection="1">
      <alignment vertical="center"/>
      <protection locked="0" hidden="1"/>
    </xf>
    <xf numFmtId="0" fontId="43" fillId="0" borderId="20" xfId="0" applyFont="1" applyBorder="1" applyAlignment="1" applyProtection="1">
      <alignment horizontal="left" vertical="center"/>
      <protection hidden="1"/>
    </xf>
    <xf numFmtId="0" fontId="21" fillId="0" borderId="21" xfId="0" applyFont="1" applyBorder="1" applyAlignment="1" applyProtection="1">
      <alignment vertical="center"/>
      <protection hidden="1"/>
    </xf>
    <xf numFmtId="179" fontId="21" fillId="0" borderId="1" xfId="0" applyNumberFormat="1" applyFont="1" applyBorder="1" applyAlignment="1" applyProtection="1">
      <alignment vertical="center"/>
      <protection hidden="1"/>
    </xf>
    <xf numFmtId="0" fontId="16" fillId="0" borderId="15" xfId="0" applyFont="1" applyFill="1" applyBorder="1" applyAlignment="1" applyProtection="1">
      <alignment vertical="center"/>
      <protection hidden="1"/>
    </xf>
    <xf numFmtId="0" fontId="16" fillId="0" borderId="5" xfId="0" applyFont="1" applyBorder="1" applyAlignment="1" applyProtection="1">
      <alignment vertical="center"/>
      <protection hidden="1"/>
    </xf>
    <xf numFmtId="0" fontId="16" fillId="0" borderId="10" xfId="0" applyFont="1" applyBorder="1" applyAlignment="1" applyProtection="1">
      <alignment vertical="center"/>
      <protection locked="0" hidden="1"/>
    </xf>
    <xf numFmtId="179" fontId="16" fillId="0" borderId="1" xfId="0" applyNumberFormat="1" applyFont="1" applyBorder="1" applyAlignment="1" applyProtection="1">
      <alignment vertical="center"/>
      <protection hidden="1"/>
    </xf>
    <xf numFmtId="40" fontId="16" fillId="12" borderId="1" xfId="0" applyNumberFormat="1" applyFont="1" applyFill="1" applyBorder="1" applyAlignment="1" applyProtection="1">
      <alignment vertical="center"/>
      <protection hidden="1"/>
    </xf>
    <xf numFmtId="0" fontId="21" fillId="0" borderId="8" xfId="0" applyFont="1" applyBorder="1" applyAlignment="1" applyProtection="1">
      <alignment vertical="center"/>
      <protection hidden="1"/>
    </xf>
    <xf numFmtId="0" fontId="21" fillId="0" borderId="0" xfId="0" applyFont="1" applyBorder="1" applyAlignment="1" applyProtection="1">
      <alignment vertical="center"/>
      <protection hidden="1"/>
    </xf>
    <xf numFmtId="0" fontId="43" fillId="9" borderId="8" xfId="0" applyFont="1" applyFill="1" applyBorder="1" applyAlignment="1" applyProtection="1">
      <alignment vertical="center"/>
      <protection hidden="1"/>
    </xf>
    <xf numFmtId="0" fontId="47" fillId="9" borderId="0" xfId="0" applyFont="1" applyFill="1" applyBorder="1" applyAlignment="1" applyProtection="1">
      <alignment vertical="center"/>
      <protection locked="0" hidden="1"/>
    </xf>
    <xf numFmtId="0" fontId="48" fillId="9" borderId="0" xfId="0" applyFont="1" applyFill="1" applyBorder="1" applyAlignment="1" applyProtection="1">
      <alignment vertical="center"/>
      <protection locked="0" hidden="1"/>
    </xf>
    <xf numFmtId="40" fontId="49" fillId="9" borderId="0" xfId="0" applyNumberFormat="1" applyFont="1" applyFill="1" applyBorder="1" applyAlignment="1" applyProtection="1">
      <alignment vertical="center"/>
      <protection locked="0" hidden="1"/>
    </xf>
    <xf numFmtId="0" fontId="49" fillId="9" borderId="0" xfId="0" applyFont="1" applyFill="1" applyBorder="1" applyAlignment="1" applyProtection="1">
      <alignment vertical="center"/>
      <protection locked="0" hidden="1"/>
    </xf>
    <xf numFmtId="0" fontId="3" fillId="2" borderId="0" xfId="0" applyFont="1" applyFill="1" applyProtection="1">
      <protection locked="0" hidden="1"/>
    </xf>
    <xf numFmtId="0" fontId="3" fillId="0" borderId="0" xfId="0" applyFont="1" applyProtection="1">
      <protection locked="0" hidden="1"/>
    </xf>
    <xf numFmtId="0" fontId="8" fillId="0" borderId="0" xfId="0" applyFont="1" applyProtection="1">
      <protection locked="0" hidden="1"/>
    </xf>
    <xf numFmtId="40" fontId="4" fillId="0" borderId="0" xfId="0" applyNumberFormat="1" applyFont="1" applyProtection="1">
      <protection locked="0" hidden="1"/>
    </xf>
    <xf numFmtId="0" fontId="4" fillId="0" borderId="0" xfId="0" applyFont="1" applyProtection="1">
      <protection locked="0" hidden="1"/>
    </xf>
    <xf numFmtId="0" fontId="6" fillId="0" borderId="0" xfId="0" applyFont="1" applyProtection="1">
      <protection locked="0" hidden="1"/>
    </xf>
    <xf numFmtId="0" fontId="4" fillId="0" borderId="2" xfId="0" applyFont="1" applyFill="1" applyBorder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3" fillId="0" borderId="8" xfId="0" applyFont="1" applyBorder="1" applyProtection="1">
      <protection hidden="1"/>
    </xf>
    <xf numFmtId="0" fontId="3" fillId="0" borderId="0" xfId="0" applyFont="1" applyBorder="1" applyProtection="1">
      <protection hidden="1"/>
    </xf>
    <xf numFmtId="0" fontId="8" fillId="0" borderId="0" xfId="0" applyFont="1" applyBorder="1" applyProtection="1">
      <protection hidden="1"/>
    </xf>
    <xf numFmtId="40" fontId="4" fillId="0" borderId="0" xfId="0" applyNumberFormat="1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Protection="1">
      <protection hidden="1"/>
    </xf>
    <xf numFmtId="0" fontId="6" fillId="0" borderId="0" xfId="0" applyFont="1" applyBorder="1" applyProtection="1">
      <protection hidden="1"/>
    </xf>
    <xf numFmtId="0" fontId="0" fillId="0" borderId="2" xfId="0" applyFill="1" applyBorder="1" applyProtection="1">
      <protection hidden="1"/>
    </xf>
    <xf numFmtId="0" fontId="41" fillId="2" borderId="0" xfId="0" applyFont="1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right"/>
      <protection hidden="1"/>
    </xf>
    <xf numFmtId="0" fontId="16" fillId="0" borderId="28" xfId="0" applyFont="1" applyFill="1" applyBorder="1" applyAlignment="1" applyProtection="1">
      <alignment horizontal="center"/>
      <protection hidden="1"/>
    </xf>
    <xf numFmtId="0" fontId="16" fillId="2" borderId="0" xfId="0" applyFont="1" applyFill="1" applyAlignment="1" applyProtection="1">
      <alignment horizontal="center"/>
      <protection locked="0" hidden="1"/>
    </xf>
    <xf numFmtId="0" fontId="0" fillId="2" borderId="0" xfId="0" applyFill="1" applyAlignment="1" applyProtection="1">
      <protection hidden="1"/>
    </xf>
    <xf numFmtId="0" fontId="0" fillId="0" borderId="2" xfId="0" applyFill="1" applyBorder="1" applyProtection="1">
      <protection locked="0" hidden="1"/>
    </xf>
    <xf numFmtId="0" fontId="16" fillId="0" borderId="28" xfId="0" applyFont="1" applyFill="1" applyBorder="1" applyAlignment="1" applyProtection="1">
      <alignment horizontal="center"/>
      <protection locked="0" hidden="1"/>
    </xf>
    <xf numFmtId="0" fontId="0" fillId="2" borderId="0" xfId="0" applyFill="1" applyBorder="1" applyProtection="1">
      <protection locked="0" hidden="1"/>
    </xf>
    <xf numFmtId="0" fontId="0" fillId="2" borderId="0" xfId="0" applyFill="1" applyBorder="1" applyProtection="1">
      <protection hidden="1"/>
    </xf>
    <xf numFmtId="0" fontId="16" fillId="2" borderId="0" xfId="0" applyFont="1" applyFill="1" applyBorder="1" applyAlignment="1" applyProtection="1">
      <alignment horizontal="center"/>
      <protection locked="0" hidden="1"/>
    </xf>
    <xf numFmtId="0" fontId="0" fillId="2" borderId="0" xfId="0" applyFill="1" applyBorder="1" applyAlignment="1" applyProtection="1">
      <alignment horizontal="center"/>
      <protection hidden="1"/>
    </xf>
    <xf numFmtId="182" fontId="0" fillId="2" borderId="0" xfId="0" applyNumberFormat="1" applyFill="1" applyBorder="1" applyProtection="1">
      <protection locked="0" hidden="1"/>
    </xf>
    <xf numFmtId="0" fontId="0" fillId="2" borderId="8" xfId="0" applyFill="1" applyBorder="1" applyProtection="1">
      <protection locked="0" hidden="1"/>
    </xf>
    <xf numFmtId="0" fontId="0" fillId="2" borderId="0" xfId="0" applyFont="1" applyFill="1" applyBorder="1" applyAlignment="1" applyProtection="1">
      <alignment horizontal="left"/>
      <protection locked="0" hidden="1"/>
    </xf>
    <xf numFmtId="181" fontId="0" fillId="2" borderId="0" xfId="0" applyNumberFormat="1" applyFill="1" applyBorder="1" applyProtection="1">
      <protection locked="0" hidden="1"/>
    </xf>
    <xf numFmtId="181" fontId="0" fillId="2" borderId="0" xfId="0" applyNumberFormat="1" applyFill="1" applyBorder="1" applyAlignment="1" applyProtection="1">
      <alignment horizontal="center"/>
      <protection locked="0" hidden="1"/>
    </xf>
    <xf numFmtId="182" fontId="0" fillId="2" borderId="0" xfId="0" applyNumberFormat="1" applyFill="1" applyBorder="1" applyAlignment="1" applyProtection="1">
      <alignment horizontal="center"/>
      <protection locked="0" hidden="1"/>
    </xf>
    <xf numFmtId="0" fontId="0" fillId="0" borderId="2" xfId="0" applyBorder="1" applyProtection="1">
      <protection locked="0" hidden="1"/>
    </xf>
    <xf numFmtId="0" fontId="0" fillId="2" borderId="0" xfId="0" applyFont="1" applyFill="1" applyProtection="1">
      <protection locked="0" hidden="1"/>
    </xf>
    <xf numFmtId="0" fontId="3" fillId="0" borderId="0" xfId="0" applyFont="1" applyFill="1" applyProtection="1">
      <protection hidden="1"/>
    </xf>
    <xf numFmtId="0" fontId="8" fillId="0" borderId="0" xfId="0" applyFont="1" applyFill="1" applyProtection="1">
      <protection hidden="1"/>
    </xf>
    <xf numFmtId="40" fontId="4" fillId="0" borderId="0" xfId="0" applyNumberFormat="1" applyFont="1" applyFill="1" applyProtection="1">
      <protection hidden="1"/>
    </xf>
    <xf numFmtId="0" fontId="4" fillId="0" borderId="0" xfId="0" applyFont="1" applyFill="1" applyProtection="1">
      <protection hidden="1"/>
    </xf>
    <xf numFmtId="0" fontId="0" fillId="0" borderId="0" xfId="0" applyFill="1" applyProtection="1">
      <protection hidden="1"/>
    </xf>
    <xf numFmtId="0" fontId="6" fillId="0" borderId="0" xfId="0" applyFont="1" applyFill="1" applyProtection="1">
      <protection hidden="1"/>
    </xf>
    <xf numFmtId="0" fontId="0" fillId="0" borderId="2" xfId="0" applyBorder="1" applyProtection="1">
      <protection hidden="1"/>
    </xf>
    <xf numFmtId="0" fontId="3" fillId="0" borderId="8" xfId="0" applyFont="1" applyFill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8" fillId="0" borderId="0" xfId="0" applyFont="1" applyFill="1" applyBorder="1" applyProtection="1">
      <protection hidden="1"/>
    </xf>
    <xf numFmtId="40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3" xfId="0" applyFont="1" applyBorder="1" applyProtection="1">
      <protection hidden="1"/>
    </xf>
    <xf numFmtId="0" fontId="8" fillId="0" borderId="3" xfId="0" applyFont="1" applyBorder="1" applyProtection="1">
      <protection hidden="1"/>
    </xf>
    <xf numFmtId="40" fontId="4" fillId="0" borderId="3" xfId="0" applyNumberFormat="1" applyFont="1" applyBorder="1" applyProtection="1">
      <protection hidden="1"/>
    </xf>
    <xf numFmtId="0" fontId="4" fillId="0" borderId="3" xfId="0" applyFont="1" applyBorder="1" applyProtection="1">
      <protection hidden="1"/>
    </xf>
    <xf numFmtId="0" fontId="0" fillId="0" borderId="3" xfId="0" applyBorder="1" applyProtection="1">
      <protection hidden="1"/>
    </xf>
    <xf numFmtId="0" fontId="6" fillId="0" borderId="3" xfId="0" applyFont="1" applyBorder="1" applyProtection="1">
      <protection hidden="1"/>
    </xf>
    <xf numFmtId="0" fontId="0" fillId="0" borderId="4" xfId="0" applyFill="1" applyBorder="1" applyProtection="1">
      <protection hidden="1"/>
    </xf>
    <xf numFmtId="0" fontId="3" fillId="2" borderId="0" xfId="0" applyFont="1" applyFill="1" applyProtection="1">
      <protection hidden="1"/>
    </xf>
    <xf numFmtId="0" fontId="8" fillId="2" borderId="0" xfId="0" applyFont="1" applyFill="1" applyProtection="1">
      <protection hidden="1"/>
    </xf>
    <xf numFmtId="40" fontId="4" fillId="2" borderId="0" xfId="0" applyNumberFormat="1" applyFont="1" applyFill="1" applyProtection="1">
      <protection hidden="1"/>
    </xf>
    <xf numFmtId="0" fontId="4" fillId="2" borderId="0" xfId="0" applyFont="1" applyFill="1" applyProtection="1">
      <protection hidden="1"/>
    </xf>
    <xf numFmtId="0" fontId="6" fillId="2" borderId="0" xfId="0" applyFont="1" applyFill="1" applyProtection="1">
      <protection hidden="1"/>
    </xf>
    <xf numFmtId="0" fontId="25" fillId="2" borderId="0" xfId="0" applyFont="1" applyFill="1" applyProtection="1">
      <protection hidden="1"/>
    </xf>
    <xf numFmtId="0" fontId="55" fillId="0" borderId="6" xfId="1" applyFont="1" applyFill="1" applyBorder="1" applyAlignment="1" applyProtection="1">
      <alignment vertical="center"/>
      <protection locked="0" hidden="1"/>
    </xf>
    <xf numFmtId="0" fontId="1" fillId="0" borderId="0" xfId="0" applyFont="1" applyAlignment="1" applyProtection="1">
      <alignment horizontal="center"/>
    </xf>
    <xf numFmtId="0" fontId="37" fillId="0" borderId="0" xfId="0" applyFont="1" applyAlignment="1">
      <alignment vertical="top" wrapText="1"/>
    </xf>
    <xf numFmtId="0" fontId="34" fillId="0" borderId="0" xfId="0" applyFont="1" applyAlignment="1">
      <alignment vertical="top" wrapText="1"/>
    </xf>
  </cellXfs>
  <cellStyles count="3"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FF00"/>
      <color rgb="FFFF00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amplitude(max) &amp; velocity</a:t>
            </a:r>
          </a:p>
        </c:rich>
      </c:tx>
      <c:layout>
        <c:manualLayout>
          <c:xMode val="edge"/>
          <c:yMode val="edge"/>
          <c:x val="0.58970945657508322"/>
          <c:y val="2.587795546538897E-3"/>
        </c:manualLayout>
      </c:layout>
      <c:overlay val="0"/>
      <c:spPr>
        <a:solidFill>
          <a:srgbClr val="FFFFFF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819592934325059E-2"/>
          <c:y val="7.5878113686100979E-2"/>
          <c:w val="0.77997968291135955"/>
          <c:h val="0.72797207245297701"/>
        </c:manualLayout>
      </c:layout>
      <c:scatterChart>
        <c:scatterStyle val="lineMarker"/>
        <c:varyColors val="0"/>
        <c:ser>
          <c:idx val="0"/>
          <c:order val="0"/>
          <c:tx>
            <c:strRef>
              <c:f>FRES!$AP$4</c:f>
              <c:strCache>
                <c:ptCount val="1"/>
                <c:pt idx="0">
                  <c:v>X1max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FRES!$AP$5:$AP$184</c:f>
              <c:numCache>
                <c:formatCode>General</c:formatCode>
                <c:ptCount val="180"/>
                <c:pt idx="0">
                  <c:v>2.3540441784308346</c:v>
                </c:pt>
                <c:pt idx="1">
                  <c:v>2.3583734410000674</c:v>
                </c:pt>
                <c:pt idx="2">
                  <c:v>2.3632161513271042</c:v>
                </c:pt>
                <c:pt idx="3">
                  <c:v>2.3686301510104739</c:v>
                </c:pt>
                <c:pt idx="4">
                  <c:v>2.374678761390276</c:v>
                </c:pt>
                <c:pt idx="5">
                  <c:v>2.3814309108191201</c:v>
                </c:pt>
                <c:pt idx="6">
                  <c:v>2.3889610809809363</c:v>
                </c:pt>
                <c:pt idx="7">
                  <c:v>2.3973489748806931</c:v>
                </c:pt>
                <c:pt idx="8">
                  <c:v>2.4066787671477896</c:v>
                </c:pt>
                <c:pt idx="9">
                  <c:v>2.4170377379374473</c:v>
                </c:pt>
                <c:pt idx="10">
                  <c:v>2.4285140079976775</c:v>
                </c:pt>
                <c:pt idx="11">
                  <c:v>2.441192974912298</c:v>
                </c:pt>
                <c:pt idx="12">
                  <c:v>2.4551518866001802</c:v>
                </c:pt>
                <c:pt idx="13">
                  <c:v>2.4626313159743374</c:v>
                </c:pt>
                <c:pt idx="14">
                  <c:v>2.4704517620932869</c:v>
                </c:pt>
                <c:pt idx="15">
                  <c:v>2.47861638087846</c:v>
                </c:pt>
                <c:pt idx="16">
                  <c:v>2.487125563326205</c:v>
                </c:pt>
                <c:pt idx="17">
                  <c:v>2.495976250555342</c:v>
                </c:pt>
                <c:pt idx="18">
                  <c:v>2.505161118239001</c:v>
                </c:pt>
                <c:pt idx="19">
                  <c:v>2.5146676089497677</c:v>
                </c:pt>
                <c:pt idx="20">
                  <c:v>2.5244767885236605</c:v>
                </c:pt>
                <c:pt idx="21">
                  <c:v>2.5345620003750344</c:v>
                </c:pt>
                <c:pt idx="22">
                  <c:v>2.5448872900894712</c:v>
                </c:pt>
                <c:pt idx="23">
                  <c:v>2.5554055720666731</c:v>
                </c:pt>
                <c:pt idx="24">
                  <c:v>2.5660565111601517</c:v>
                </c:pt>
                <c:pt idx="25">
                  <c:v>2.5767640961233567</c:v>
                </c:pt>
                <c:pt idx="26">
                  <c:v>2.5874338895113702</c:v>
                </c:pt>
                <c:pt idx="27">
                  <c:v>2.5979499521968847</c:v>
                </c:pt>
                <c:pt idx="28">
                  <c:v>2.6081714619761609</c:v>
                </c:pt>
                <c:pt idx="29">
                  <c:v>2.6179290774314277</c:v>
                </c:pt>
                <c:pt idx="30">
                  <c:v>2.6270211431615578</c:v>
                </c:pt>
                <c:pt idx="31">
                  <c:v>2.6352098935763704</c:v>
                </c:pt>
                <c:pt idx="32">
                  <c:v>2.6422178919753088</c:v>
                </c:pt>
                <c:pt idx="33">
                  <c:v>2.6477250403095156</c:v>
                </c:pt>
                <c:pt idx="34">
                  <c:v>2.6513666104646245</c:v>
                </c:pt>
                <c:pt idx="35">
                  <c:v>2.65273287252406</c:v>
                </c:pt>
                <c:pt idx="36">
                  <c:v>2.6513710140626929</c:v>
                </c:pt>
                <c:pt idx="37">
                  <c:v>2.6467901318612292</c:v>
                </c:pt>
                <c:pt idx="38">
                  <c:v>2.6384700971156727</c:v>
                </c:pt>
                <c:pt idx="39">
                  <c:v>2.6258750012421515</c:v>
                </c:pt>
                <c:pt idx="40">
                  <c:v>2.6084716326461992</c:v>
                </c:pt>
                <c:pt idx="41">
                  <c:v>2.5857529762933282</c:v>
                </c:pt>
                <c:pt idx="42">
                  <c:v>2.5572660585358116</c:v>
                </c:pt>
                <c:pt idx="43">
                  <c:v>2.5226426235397175</c:v>
                </c:pt>
                <c:pt idx="44">
                  <c:v>2.4816302401112016</c:v>
                </c:pt>
                <c:pt idx="45">
                  <c:v>2.4341206853138591</c:v>
                </c:pt>
                <c:pt idx="46">
                  <c:v>2.3801720620305002</c:v>
                </c:pt>
                <c:pt idx="47">
                  <c:v>2.3200212881344844</c:v>
                </c:pt>
                <c:pt idx="48">
                  <c:v>2.2540844484883693</c:v>
                </c:pt>
                <c:pt idx="49">
                  <c:v>2.1829439590732931</c:v>
                </c:pt>
                <c:pt idx="50">
                  <c:v>2.1073232980722914</c:v>
                </c:pt>
                <c:pt idx="51">
                  <c:v>2.0280518231911775</c:v>
                </c:pt>
                <c:pt idx="52">
                  <c:v>1.9460235163864543</c:v>
                </c:pt>
                <c:pt idx="53">
                  <c:v>1.8621540939476373</c:v>
                </c:pt>
                <c:pt idx="54">
                  <c:v>1.7773407152195595</c:v>
                </c:pt>
                <c:pt idx="55">
                  <c:v>1.6924276532147109</c:v>
                </c:pt>
                <c:pt idx="56">
                  <c:v>1.608180033815606</c:v>
                </c:pt>
                <c:pt idx="57">
                  <c:v>1.5252664228903929</c:v>
                </c:pt>
                <c:pt idx="58">
                  <c:v>1.4442499005716793</c:v>
                </c:pt>
                <c:pt idx="59">
                  <c:v>1.365586458167134</c:v>
                </c:pt>
                <c:pt idx="60">
                  <c:v>1.2896291217208145</c:v>
                </c:pt>
                <c:pt idx="61">
                  <c:v>1.2166360992701792</c:v>
                </c:pt>
                <c:pt idx="62">
                  <c:v>1.1467813752795861</c:v>
                </c:pt>
                <c:pt idx="63">
                  <c:v>1.0801664369553032</c:v>
                </c:pt>
                <c:pt idx="64">
                  <c:v>1.0168321297468321</c:v>
                </c:pt>
                <c:pt idx="65">
                  <c:v>0.95676994465884213</c:v>
                </c:pt>
                <c:pt idx="66">
                  <c:v>0.89993230414487357</c:v>
                </c:pt>
                <c:pt idx="67">
                  <c:v>0.84624162218519783</c:v>
                </c:pt>
                <c:pt idx="68">
                  <c:v>0.79559806680130551</c:v>
                </c:pt>
                <c:pt idx="69">
                  <c:v>0.74788605630920046</c:v>
                </c:pt>
                <c:pt idx="70">
                  <c:v>0.70297958376609992</c:v>
                </c:pt>
                <c:pt idx="71">
                  <c:v>0.66074649738972524</c:v>
                </c:pt>
                <c:pt idx="72">
                  <c:v>0.62105187718514088</c:v>
                </c:pt>
                <c:pt idx="73">
                  <c:v>0.58376064685079121</c:v>
                </c:pt>
                <c:pt idx="74">
                  <c:v>0.54873955072521308</c:v>
                </c:pt>
                <c:pt idx="75">
                  <c:v>0.51585861197260441</c:v>
                </c:pt>
                <c:pt idx="76">
                  <c:v>0.48499217300795816</c:v>
                </c:pt>
                <c:pt idx="77">
                  <c:v>0.45601960398590347</c:v>
                </c:pt>
                <c:pt idx="78">
                  <c:v>0.42882575098517078</c:v>
                </c:pt>
                <c:pt idx="79">
                  <c:v>0.40330118280352845</c:v>
                </c:pt>
                <c:pt idx="80">
                  <c:v>0.37934228422048744</c:v>
                </c:pt>
                <c:pt idx="81">
                  <c:v>0.35685123418186565</c:v>
                </c:pt>
                <c:pt idx="82">
                  <c:v>0.3357358995005445</c:v>
                </c:pt>
                <c:pt idx="83">
                  <c:v>0.31590966818718635</c:v>
                </c:pt>
                <c:pt idx="84">
                  <c:v>0.29729124124108758</c:v>
                </c:pt>
                <c:pt idx="85">
                  <c:v>0.27980439746400376</c:v>
                </c:pt>
                <c:pt idx="86">
                  <c:v>0.26337774244175843</c:v>
                </c:pt>
                <c:pt idx="87">
                  <c:v>0.24794445012053329</c:v>
                </c:pt>
                <c:pt idx="88">
                  <c:v>0.23344200325861503</c:v>
                </c:pt>
                <c:pt idx="89">
                  <c:v>0.2198119373509369</c:v>
                </c:pt>
                <c:pt idx="90">
                  <c:v>0.2069995913120399</c:v>
                </c:pt>
                <c:pt idx="91">
                  <c:v>0.19495386718842281</c:v>
                </c:pt>
                <c:pt idx="92">
                  <c:v>0.18362700039246935</c:v>
                </c:pt>
                <c:pt idx="93">
                  <c:v>0.17297434135753786</c:v>
                </c:pt>
                <c:pt idx="94">
                  <c:v>0.16295414906797426</c:v>
                </c:pt>
                <c:pt idx="95">
                  <c:v>0.1535273965864255</c:v>
                </c:pt>
                <c:pt idx="96">
                  <c:v>0.1446575884589269</c:v>
                </c:pt>
                <c:pt idx="97">
                  <c:v>0.13631058970524321</c:v>
                </c:pt>
                <c:pt idx="98">
                  <c:v>0.12845446598238375</c:v>
                </c:pt>
                <c:pt idx="99">
                  <c:v>0.12105933443016492</c:v>
                </c:pt>
                <c:pt idx="100">
                  <c:v>0.11409722465955312</c:v>
                </c:pt>
                <c:pt idx="101">
                  <c:v>0.10754194931953472</c:v>
                </c:pt>
                <c:pt idx="102">
                  <c:v>0.1013689836704309</c:v>
                </c:pt>
                <c:pt idx="103">
                  <c:v>9.5555353596227327E-2</c:v>
                </c:pt>
                <c:pt idx="104">
                  <c:v>9.0079531502136698E-2</c:v>
                </c:pt>
                <c:pt idx="105">
                  <c:v>8.4921339563367684E-2</c:v>
                </c:pt>
                <c:pt idx="106">
                  <c:v>8.0061859814985814E-2</c:v>
                </c:pt>
                <c:pt idx="107">
                  <c:v>7.548335059905556E-2</c:v>
                </c:pt>
                <c:pt idx="108">
                  <c:v>7.1169168912977573E-2</c:v>
                </c:pt>
                <c:pt idx="109">
                  <c:v>6.7103698230974826E-2</c:v>
                </c:pt>
                <c:pt idx="110">
                  <c:v>6.3272281398532901E-2</c:v>
                </c:pt>
                <c:pt idx="111">
                  <c:v>5.9661158226831837E-2</c:v>
                </c:pt>
                <c:pt idx="112">
                  <c:v>5.6257407440318402E-2</c:v>
                </c:pt>
                <c:pt idx="113">
                  <c:v>5.304889265561738E-2</c:v>
                </c:pt>
                <c:pt idx="114">
                  <c:v>5.0024212093584777E-2</c:v>
                </c:pt>
                <c:pt idx="115">
                  <c:v>4.7172651748596299E-2</c:v>
                </c:pt>
                <c:pt idx="116">
                  <c:v>4.4484141759995571E-2</c:v>
                </c:pt>
                <c:pt idx="117">
                  <c:v>4.1949215750072086E-2</c:v>
                </c:pt>
                <c:pt idx="118">
                  <c:v>3.9558972911025718E-2</c:v>
                </c:pt>
                <c:pt idx="119">
                  <c:v>3.7305042640126143E-2</c:v>
                </c:pt>
                <c:pt idx="120">
                  <c:v>3.5179551537795714E-2</c:v>
                </c:pt>
                <c:pt idx="121">
                  <c:v>3.3175092597677855E-2</c:v>
                </c:pt>
                <c:pt idx="122">
                  <c:v>3.1284696430959255E-2</c:v>
                </c:pt>
                <c:pt idx="123">
                  <c:v>2.950180437940586E-2</c:v>
                </c:pt>
                <c:pt idx="124">
                  <c:v>2.7820243382780375E-2</c:v>
                </c:pt>
                <c:pt idx="125">
                  <c:v>2.6234202476622948E-2</c:v>
                </c:pt>
                <c:pt idx="126">
                  <c:v>2.4738210805873958E-2</c:v>
                </c:pt>
                <c:pt idx="127">
                  <c:v>2.3327117048532076E-2</c:v>
                </c:pt>
                <c:pt idx="128">
                  <c:v>2.1996070151560711E-2</c:v>
                </c:pt>
                <c:pt idx="129">
                  <c:v>2.0740501288625739E-2</c:v>
                </c:pt>
                <c:pt idx="130">
                  <c:v>1.9556106956026439E-2</c:v>
                </c:pt>
                <c:pt idx="131">
                  <c:v>1.8438833129401866E-2</c:v>
                </c:pt>
                <c:pt idx="132">
                  <c:v>1.7384860409527185E-2</c:v>
                </c:pt>
                <c:pt idx="133">
                  <c:v>1.6390590090787867E-2</c:v>
                </c:pt>
                <c:pt idx="134">
                  <c:v>1.5452631090759983E-2</c:v>
                </c:pt>
                <c:pt idx="135">
                  <c:v>1.4567787683801729E-2</c:v>
                </c:pt>
                <c:pt idx="136">
                  <c:v>1.3733047985664871E-2</c:v>
                </c:pt>
                <c:pt idx="137">
                  <c:v>1.2945573139938991E-2</c:v>
                </c:pt>
                <c:pt idx="138">
                  <c:v>1.2202687160633342E-2</c:v>
                </c:pt>
                <c:pt idx="139">
                  <c:v>1.1501867388438397E-2</c:v>
                </c:pt>
                <c:pt idx="140">
                  <c:v>1.0840735521192989E-2</c:v>
                </c:pt>
                <c:pt idx="141">
                  <c:v>1.021704918184845E-2</c:v>
                </c:pt>
                <c:pt idx="142">
                  <c:v>9.6286939897775436E-3</c:v>
                </c:pt>
                <c:pt idx="143">
                  <c:v>9.0736761036506255E-3</c:v>
                </c:pt>
                <c:pt idx="144">
                  <c:v>8.5501152062994763E-3</c:v>
                </c:pt>
                <c:pt idx="145">
                  <c:v>8.0562379040374638E-3</c:v>
                </c:pt>
                <c:pt idx="146">
                  <c:v>7.5903715148054225E-3</c:v>
                </c:pt>
                <c:pt idx="147">
                  <c:v>7.150938221285888E-3</c:v>
                </c:pt>
                <c:pt idx="148">
                  <c:v>6.9603581047917463E-3</c:v>
                </c:pt>
                <c:pt idx="149">
                  <c:v>5.9342321893532035E-3</c:v>
                </c:pt>
                <c:pt idx="150">
                  <c:v>5.0564187041145297E-3</c:v>
                </c:pt>
                <c:pt idx="151">
                  <c:v>4.3056870113565423E-3</c:v>
                </c:pt>
                <c:pt idx="152">
                  <c:v>3.6638323655383692E-3</c:v>
                </c:pt>
                <c:pt idx="153">
                  <c:v>3.1152331287086048E-3</c:v>
                </c:pt>
                <c:pt idx="154">
                  <c:v>2.6464754132363866E-3</c:v>
                </c:pt>
                <c:pt idx="155">
                  <c:v>2.2460363900275639E-3</c:v>
                </c:pt>
                <c:pt idx="156">
                  <c:v>1.9040187890573786E-3</c:v>
                </c:pt>
                <c:pt idx="157">
                  <c:v>1.6119297664266372E-3</c:v>
                </c:pt>
                <c:pt idx="158">
                  <c:v>1.3624972225362102E-3</c:v>
                </c:pt>
                <c:pt idx="159">
                  <c:v>1.1495158693001126E-3</c:v>
                </c:pt>
                <c:pt idx="160">
                  <c:v>9.6771426337624632E-4</c:v>
                </c:pt>
                <c:pt idx="161">
                  <c:v>8.1263362531502654E-4</c:v>
                </c:pt>
                <c:pt idx="162">
                  <c:v>6.8051096814092404E-4</c:v>
                </c:pt>
                <c:pt idx="163">
                  <c:v>5.6816380976165909E-4</c:v>
                </c:pt>
                <c:pt idx="164">
                  <c:v>4.8261791904098878E-4</c:v>
                </c:pt>
                <c:pt idx="165">
                  <c:v>3.6446511747622689E-4</c:v>
                </c:pt>
                <c:pt idx="166">
                  <c:v>2.7330248931390852E-4</c:v>
                </c:pt>
                <c:pt idx="167">
                  <c:v>2.0356965500540358E-4</c:v>
                </c:pt>
                <c:pt idx="168">
                  <c:v>1.5066781934667709E-4</c:v>
                </c:pt>
                <c:pt idx="169">
                  <c:v>1.1082686924137923E-4</c:v>
                </c:pt>
                <c:pt idx="170">
                  <c:v>8.103914194936354E-5</c:v>
                </c:pt>
                <c:pt idx="171">
                  <c:v>5.8944140311966158E-5</c:v>
                </c:pt>
                <c:pt idx="172">
                  <c:v>4.2677902177680989E-5</c:v>
                </c:pt>
                <c:pt idx="173">
                  <c:v>3.0774562125894105E-5</c:v>
                </c:pt>
                <c:pt idx="174">
                  <c:v>2.2113568436484636E-5</c:v>
                </c:pt>
                <c:pt idx="175">
                  <c:v>1.5843791361848095E-5</c:v>
                </c:pt>
                <c:pt idx="176">
                  <c:v>1.1323473581807901E-5</c:v>
                </c:pt>
                <c:pt idx="177">
                  <c:v>8.0764294956613941E-6</c:v>
                </c:pt>
                <c:pt idx="178">
                  <c:v>5.750821834169417E-6</c:v>
                </c:pt>
                <c:pt idx="179">
                  <c:v>3.6427200107970811E-6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8E-44E0-9048-63B94D728E5D}"/>
            </c:ext>
          </c:extLst>
        </c:ser>
        <c:ser>
          <c:idx val="1"/>
          <c:order val="1"/>
          <c:tx>
            <c:strRef>
              <c:f>FRES!$AQ$4</c:f>
              <c:strCache>
                <c:ptCount val="1"/>
                <c:pt idx="0">
                  <c:v>X2max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FRES!$AQ$5:$AQ$184</c:f>
              <c:numCache>
                <c:formatCode>General</c:formatCode>
                <c:ptCount val="180"/>
                <c:pt idx="0">
                  <c:v>1.1725456679537456</c:v>
                </c:pt>
                <c:pt idx="1">
                  <c:v>1.1742518545909084</c:v>
                </c:pt>
                <c:pt idx="2">
                  <c:v>1.1761703036249487</c:v>
                </c:pt>
                <c:pt idx="3">
                  <c:v>1.1783278600848202</c:v>
                </c:pt>
                <c:pt idx="4">
                  <c:v>1.1807548722884769</c:v>
                </c:pt>
                <c:pt idx="5">
                  <c:v>1.1834856744203797</c:v>
                </c:pt>
                <c:pt idx="6">
                  <c:v>1.1865591408940852</c:v>
                </c:pt>
                <c:pt idx="7">
                  <c:v>1.1900193239624246</c:v>
                </c:pt>
                <c:pt idx="8">
                  <c:v>1.1939161878035141</c:v>
                </c:pt>
                <c:pt idx="9">
                  <c:v>1.1983064542022424</c:v>
                </c:pt>
                <c:pt idx="10">
                  <c:v>1.2032545768462974</c:v>
                </c:pt>
                <c:pt idx="11">
                  <c:v>1.2088338629346216</c:v>
                </c:pt>
                <c:pt idx="12">
                  <c:v>1.2151277618239402</c:v>
                </c:pt>
                <c:pt idx="13">
                  <c:v>1.2185719011317695</c:v>
                </c:pt>
                <c:pt idx="14">
                  <c:v>1.2222313400546951</c:v>
                </c:pt>
                <c:pt idx="15">
                  <c:v>1.2261200523159719</c:v>
                </c:pt>
                <c:pt idx="16">
                  <c:v>1.2302529589667166</c:v>
                </c:pt>
                <c:pt idx="17">
                  <c:v>1.2346459923249171</c:v>
                </c:pt>
                <c:pt idx="18">
                  <c:v>1.2393161629433516</c:v>
                </c:pt>
                <c:pt idx="19">
                  <c:v>1.2442816292375367</c:v>
                </c:pt>
                <c:pt idx="20">
                  <c:v>1.2495617691877077</c:v>
                </c:pt>
                <c:pt idx="21">
                  <c:v>1.25517725324086</c:v>
                </c:pt>
                <c:pt idx="22">
                  <c:v>1.2611501171543338</c:v>
                </c:pt>
                <c:pt idx="23">
                  <c:v>1.2675038330136938</c:v>
                </c:pt>
                <c:pt idx="24">
                  <c:v>1.2742633759856772</c:v>
                </c:pt>
                <c:pt idx="25">
                  <c:v>1.2814552834830033</c:v>
                </c:pt>
                <c:pt idx="26">
                  <c:v>1.2891077022558799</c:v>
                </c:pt>
                <c:pt idx="27">
                  <c:v>1.2972504174031325</c:v>
                </c:pt>
                <c:pt idx="28">
                  <c:v>1.3059148553031865</c:v>
                </c:pt>
                <c:pt idx="29">
                  <c:v>1.3151340498626589</c:v>
                </c:pt>
                <c:pt idx="30">
                  <c:v>1.3249425580871133</c:v>
                </c:pt>
                <c:pt idx="31">
                  <c:v>1.3353763065618025</c:v>
                </c:pt>
                <c:pt idx="32">
                  <c:v>1.3464723446992206</c:v>
                </c:pt>
                <c:pt idx="33">
                  <c:v>1.3582684731941341</c:v>
                </c:pt>
                <c:pt idx="34">
                  <c:v>1.370802706574819</c:v>
                </c:pt>
                <c:pt idx="35">
                  <c:v>1.3841125165023604</c:v>
                </c:pt>
                <c:pt idx="36">
                  <c:v>1.3982337869174837</c:v>
                </c:pt>
                <c:pt idx="37">
                  <c:v>1.4131993925711905</c:v>
                </c:pt>
                <c:pt idx="38">
                  <c:v>1.429037288226126</c:v>
                </c:pt>
                <c:pt idx="39">
                  <c:v>1.4457679663695313</c:v>
                </c:pt>
                <c:pt idx="40">
                  <c:v>1.4634011065898096</c:v>
                </c:pt>
                <c:pt idx="41">
                  <c:v>1.4819312007641612</c:v>
                </c:pt>
                <c:pt idx="42">
                  <c:v>1.5013318976641079</c:v>
                </c:pt>
                <c:pt idx="43">
                  <c:v>1.5215487745331482</c:v>
                </c:pt>
                <c:pt idx="44">
                  <c:v>1.5424902230352251</c:v>
                </c:pt>
                <c:pt idx="45">
                  <c:v>1.564016152542653</c:v>
                </c:pt>
                <c:pt idx="46">
                  <c:v>1.585924297185906</c:v>
                </c:pt>
                <c:pt idx="47">
                  <c:v>1.6079341130635314</c:v>
                </c:pt>
                <c:pt idx="48">
                  <c:v>1.6296686360983312</c:v>
                </c:pt>
                <c:pt idx="49">
                  <c:v>1.6506353222200976</c:v>
                </c:pt>
                <c:pt idx="50">
                  <c:v>1.6702078906470299</c:v>
                </c:pt>
                <c:pt idx="51">
                  <c:v>1.6876125728585887</c:v>
                </c:pt>
                <c:pt idx="52">
                  <c:v>1.7019238406741874</c:v>
                </c:pt>
                <c:pt idx="53">
                  <c:v>1.7120763020065337</c:v>
                </c:pt>
                <c:pt idx="54">
                  <c:v>1.716900291284631</c:v>
                </c:pt>
                <c:pt idx="55">
                  <c:v>1.7151876255724312</c:v>
                </c:pt>
                <c:pt idx="56">
                  <c:v>1.7057898041193007</c:v>
                </c:pt>
                <c:pt idx="57">
                  <c:v>1.6877429617112256</c:v>
                </c:pt>
                <c:pt idx="58">
                  <c:v>1.6604031994004662</c:v>
                </c:pt>
                <c:pt idx="59">
                  <c:v>1.6235660203576792</c:v>
                </c:pt>
                <c:pt idx="60">
                  <c:v>1.5775397777812137</c:v>
                </c:pt>
                <c:pt idx="61">
                  <c:v>1.5231496223290826</c:v>
                </c:pt>
                <c:pt idx="62">
                  <c:v>1.4616652477332657</c:v>
                </c:pt>
                <c:pt idx="63">
                  <c:v>1.3946667283185477</c:v>
                </c:pt>
                <c:pt idx="64">
                  <c:v>1.3238788585514218</c:v>
                </c:pt>
                <c:pt idx="65">
                  <c:v>1.2510090665492744</c:v>
                </c:pt>
                <c:pt idx="66">
                  <c:v>1.177616866582093</c:v>
                </c:pt>
                <c:pt idx="67">
                  <c:v>1.1050291010100584</c:v>
                </c:pt>
                <c:pt idx="68">
                  <c:v>1.0343015284072181</c:v>
                </c:pt>
                <c:pt idx="69">
                  <c:v>0.96621806758473294</c:v>
                </c:pt>
                <c:pt idx="70">
                  <c:v>0.90131527954096136</c:v>
                </c:pt>
                <c:pt idx="71">
                  <c:v>0.83992017789970908</c:v>
                </c:pt>
                <c:pt idx="72">
                  <c:v>0.78219216847453243</c:v>
                </c:pt>
                <c:pt idx="73">
                  <c:v>0.72816314676949601</c:v>
                </c:pt>
                <c:pt idx="74">
                  <c:v>0.67777256484029946</c:v>
                </c:pt>
                <c:pt idx="75">
                  <c:v>0.63089627167534035</c:v>
                </c:pt>
                <c:pt idx="76">
                  <c:v>0.58736915880945562</c:v>
                </c:pt>
                <c:pt idx="77">
                  <c:v>0.54700228202643619</c:v>
                </c:pt>
                <c:pt idx="78">
                  <c:v>0.5095953790112564</c:v>
                </c:pt>
                <c:pt idx="79">
                  <c:v>0.47494572418729464</c:v>
                </c:pt>
                <c:pt idx="80">
                  <c:v>0.44285416895831548</c:v>
                </c:pt>
                <c:pt idx="81">
                  <c:v>0.4131290783602331</c:v>
                </c:pt>
                <c:pt idx="82">
                  <c:v>0.38558873270470817</c:v>
                </c:pt>
                <c:pt idx="83">
                  <c:v>0.36006263404518213</c:v>
                </c:pt>
                <c:pt idx="84">
                  <c:v>0.33639204930222555</c:v>
                </c:pt>
                <c:pt idx="85">
                  <c:v>0.31443003545421611</c:v>
                </c:pt>
                <c:pt idx="86">
                  <c:v>0.29404112520542819</c:v>
                </c:pt>
                <c:pt idx="87">
                  <c:v>0.27510080080571475</c:v>
                </c:pt>
                <c:pt idx="88">
                  <c:v>0.25749484594392374</c:v>
                </c:pt>
                <c:pt idx="89">
                  <c:v>0.24111863794493948</c:v>
                </c:pt>
                <c:pt idx="90">
                  <c:v>0.22587642243323725</c:v>
                </c:pt>
                <c:pt idx="91">
                  <c:v>0.21168059824674024</c:v>
                </c:pt>
                <c:pt idx="92">
                  <c:v>0.19845103019574092</c:v>
                </c:pt>
                <c:pt idx="93">
                  <c:v>0.18611440012796432</c:v>
                </c:pt>
                <c:pt idx="94">
                  <c:v>0.17460360183645107</c:v>
                </c:pt>
                <c:pt idx="95">
                  <c:v>0.16385718200649965</c:v>
                </c:pt>
                <c:pt idx="96">
                  <c:v>0.15381882718494191</c:v>
                </c:pt>
                <c:pt idx="97">
                  <c:v>0.14443689533714152</c:v>
                </c:pt>
                <c:pt idx="98">
                  <c:v>0.13566398969507998</c:v>
                </c:pt>
                <c:pt idx="99">
                  <c:v>0.12745657212136322</c:v>
                </c:pt>
                <c:pt idx="100">
                  <c:v>0.11977461299654192</c:v>
                </c:pt>
                <c:pt idx="101">
                  <c:v>0.11258127459335764</c:v>
                </c:pt>
                <c:pt idx="102">
                  <c:v>0.10584262497035882</c:v>
                </c:pt>
                <c:pt idx="103">
                  <c:v>9.9527379555597206E-2</c:v>
                </c:pt>
                <c:pt idx="104">
                  <c:v>9.3606667769408999E-2</c:v>
                </c:pt>
                <c:pt idx="105">
                  <c:v>8.8053822233175205E-2</c:v>
                </c:pt>
                <c:pt idx="106">
                  <c:v>8.2844188314993586E-2</c:v>
                </c:pt>
                <c:pt idx="107">
                  <c:v>7.7954951964502181E-2</c:v>
                </c:pt>
                <c:pt idx="108">
                  <c:v>7.3364983982130538E-2</c:v>
                </c:pt>
                <c:pt idx="109">
                  <c:v>6.905469904950283E-2</c:v>
                </c:pt>
                <c:pt idx="110">
                  <c:v>6.5005928015970174E-2</c:v>
                </c:pt>
                <c:pt idx="111">
                  <c:v>6.1201802090587239E-2</c:v>
                </c:pt>
                <c:pt idx="112">
                  <c:v>5.7626647729299457E-2</c:v>
                </c:pt>
                <c:pt idx="113">
                  <c:v>5.4265891134281409E-2</c:v>
                </c:pt>
                <c:pt idx="114">
                  <c:v>5.1105971396823588E-2</c:v>
                </c:pt>
                <c:pt idx="115">
                  <c:v>4.8134261418006953E-2</c:v>
                </c:pt>
                <c:pt idx="116">
                  <c:v>4.5338995833396997E-2</c:v>
                </c:pt>
                <c:pt idx="117">
                  <c:v>4.2709205250245096E-2</c:v>
                </c:pt>
                <c:pt idx="118">
                  <c:v>4.0234656179031596E-2</c:v>
                </c:pt>
                <c:pt idx="119">
                  <c:v>3.7905796106589805E-2</c:v>
                </c:pt>
                <c:pt idx="120">
                  <c:v>3.5713703216268954E-2</c:v>
                </c:pt>
                <c:pt idx="121">
                  <c:v>3.3650040312451453E-2</c:v>
                </c:pt>
                <c:pt idx="122">
                  <c:v>3.1707012552865475E-2</c:v>
                </c:pt>
                <c:pt idx="123">
                  <c:v>2.9877328633219742E-2</c:v>
                </c:pt>
                <c:pt idx="124">
                  <c:v>2.8154165105226506E-2</c:v>
                </c:pt>
                <c:pt idx="125">
                  <c:v>2.6531133541641893E-2</c:v>
                </c:pt>
                <c:pt idx="126">
                  <c:v>2.5002250290943516E-2</c:v>
                </c:pt>
                <c:pt idx="127">
                  <c:v>2.3561908590106616E-2</c:v>
                </c:pt>
                <c:pt idx="128">
                  <c:v>2.2204852826978018E-2</c:v>
                </c:pt>
                <c:pt idx="129">
                  <c:v>2.0926154764322757E-2</c:v>
                </c:pt>
                <c:pt idx="130">
                  <c:v>1.9721191555959031E-2</c:v>
                </c:pt>
                <c:pt idx="131">
                  <c:v>1.8585625401823732E-2</c:v>
                </c:pt>
                <c:pt idx="132">
                  <c:v>1.7515384703470225E-2</c:v>
                </c:pt>
                <c:pt idx="133">
                  <c:v>1.6506646594647439E-2</c:v>
                </c:pt>
                <c:pt idx="134">
                  <c:v>1.5555820733373079E-2</c:v>
                </c:pt>
                <c:pt idx="135">
                  <c:v>1.4659534252469809E-2</c:v>
                </c:pt>
                <c:pt idx="136">
                  <c:v>1.3814617775012122E-2</c:v>
                </c:pt>
                <c:pt idx="137">
                  <c:v>1.3018092409644666E-2</c:v>
                </c:pt>
                <c:pt idx="138">
                  <c:v>1.2267157648395702E-2</c:v>
                </c:pt>
                <c:pt idx="139">
                  <c:v>1.1559180096508545E-2</c:v>
                </c:pt>
                <c:pt idx="140">
                  <c:v>1.0891682970037229E-2</c:v>
                </c:pt>
                <c:pt idx="141">
                  <c:v>1.0262336302568908E-2</c:v>
                </c:pt>
                <c:pt idx="142">
                  <c:v>9.6689478075132826E-3</c:v>
                </c:pt>
                <c:pt idx="143">
                  <c:v>9.1094543469975725E-3</c:v>
                </c:pt>
                <c:pt idx="144">
                  <c:v>8.5819139625696959E-3</c:v>
                </c:pt>
                <c:pt idx="145">
                  <c:v>8.0844984266953412E-3</c:v>
                </c:pt>
                <c:pt idx="146">
                  <c:v>7.6154862774722209E-3</c:v>
                </c:pt>
                <c:pt idx="147">
                  <c:v>7.1732563021138663E-3</c:v>
                </c:pt>
                <c:pt idx="148">
                  <c:v>6.9815147486716658E-3</c:v>
                </c:pt>
                <c:pt idx="149">
                  <c:v>5.9496703291762303E-3</c:v>
                </c:pt>
                <c:pt idx="150">
                  <c:v>5.0676804412274432E-3</c:v>
                </c:pt>
                <c:pt idx="151">
                  <c:v>4.313899844908365E-3</c:v>
                </c:pt>
                <c:pt idx="152">
                  <c:v>3.6698202699234727E-3</c:v>
                </c:pt>
                <c:pt idx="153">
                  <c:v>3.1195979246377349E-3</c:v>
                </c:pt>
                <c:pt idx="154">
                  <c:v>2.6496563910324315E-3</c:v>
                </c:pt>
                <c:pt idx="155">
                  <c:v>2.248354004018164E-3</c:v>
                </c:pt>
                <c:pt idx="156">
                  <c:v>1.9057066792016973E-3</c:v>
                </c:pt>
                <c:pt idx="157">
                  <c:v>1.6131582209179757E-3</c:v>
                </c:pt>
                <c:pt idx="158">
                  <c:v>1.3633903593615534E-3</c:v>
                </c:pt>
                <c:pt idx="159">
                  <c:v>1.1501642031936869E-3</c:v>
                </c:pt>
                <c:pt idx="160">
                  <c:v>9.6818387781392535E-4</c:v>
                </c:pt>
                <c:pt idx="161">
                  <c:v>8.1297284443557986E-4</c:v>
                </c:pt>
                <c:pt idx="162">
                  <c:v>6.8075518959063921E-4</c:v>
                </c:pt>
                <c:pt idx="163">
                  <c:v>5.6833899223832454E-4</c:v>
                </c:pt>
                <c:pt idx="164">
                  <c:v>4.827478443295717E-4</c:v>
                </c:pt>
                <c:pt idx="165">
                  <c:v>3.645430882624433E-4</c:v>
                </c:pt>
                <c:pt idx="166">
                  <c:v>2.7334891188885352E-4</c:v>
                </c:pt>
                <c:pt idx="167">
                  <c:v>2.0359710510776662E-4</c:v>
                </c:pt>
                <c:pt idx="168">
                  <c:v>1.5068395222386544E-4</c:v>
                </c:pt>
                <c:pt idx="169">
                  <c:v>1.1083629247277428E-4</c:v>
                </c:pt>
                <c:pt idx="170">
                  <c:v>8.1044611490701734E-5</c:v>
                </c:pt>
                <c:pt idx="171">
                  <c:v>5.8947297630128364E-5</c:v>
                </c:pt>
                <c:pt idx="172">
                  <c:v>4.2679716700421974E-5</c:v>
                </c:pt>
                <c:pt idx="173">
                  <c:v>3.0775600611988911E-5</c:v>
                </c:pt>
                <c:pt idx="174">
                  <c:v>2.2114160669130878E-5</c:v>
                </c:pt>
                <c:pt idx="175">
                  <c:v>1.5844128137812985E-5</c:v>
                </c:pt>
                <c:pt idx="176">
                  <c:v>1.1323664607157949E-5</c:v>
                </c:pt>
                <c:pt idx="177">
                  <c:v>8.0765376321668289E-6</c:v>
                </c:pt>
                <c:pt idx="178">
                  <c:v>5.7508829458280439E-6</c:v>
                </c:pt>
                <c:pt idx="179">
                  <c:v>3.6427484230547669E-6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E-44E0-9048-63B94D728E5D}"/>
            </c:ext>
          </c:extLst>
        </c:ser>
        <c:ser>
          <c:idx val="2"/>
          <c:order val="2"/>
          <c:tx>
            <c:strRef>
              <c:f>FRES!$AR$4</c:f>
              <c:strCache>
                <c:ptCount val="1"/>
                <c:pt idx="0">
                  <c:v>X3max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FRES!$AR$5:$AR$184</c:f>
              <c:numCache>
                <c:formatCode>General</c:formatCode>
                <c:ptCount val="180"/>
                <c:pt idx="0">
                  <c:v>0.58330164379478322</c:v>
                </c:pt>
                <c:pt idx="1">
                  <c:v>0.58379960333602721</c:v>
                </c:pt>
                <c:pt idx="2">
                  <c:v>0.58435938203950388</c:v>
                </c:pt>
                <c:pt idx="3">
                  <c:v>0.58498876999391958</c:v>
                </c:pt>
                <c:pt idx="4">
                  <c:v>0.58569656908648537</c:v>
                </c:pt>
                <c:pt idx="5">
                  <c:v>0.58649273223890952</c:v>
                </c:pt>
                <c:pt idx="6">
                  <c:v>0.5873885238044525</c:v>
                </c:pt>
                <c:pt idx="7">
                  <c:v>0.58839670483762185</c:v>
                </c:pt>
                <c:pt idx="8">
                  <c:v>0.58953174771507522</c:v>
                </c:pt>
                <c:pt idx="9">
                  <c:v>0.59081008553730607</c:v>
                </c:pt>
                <c:pt idx="10">
                  <c:v>0.5922504029247998</c:v>
                </c:pt>
                <c:pt idx="11">
                  <c:v>0.59387397630384586</c:v>
                </c:pt>
                <c:pt idx="12">
                  <c:v>0.59570507363799041</c:v>
                </c:pt>
                <c:pt idx="13">
                  <c:v>0.5967069598469561</c:v>
                </c:pt>
                <c:pt idx="14">
                  <c:v>0.59777142590949106</c:v>
                </c:pt>
                <c:pt idx="15">
                  <c:v>0.59890257086533094</c:v>
                </c:pt>
                <c:pt idx="16">
                  <c:v>0.60010478562915626</c:v>
                </c:pt>
                <c:pt idx="17">
                  <c:v>0.60138277658874095</c:v>
                </c:pt>
                <c:pt idx="18">
                  <c:v>0.60274159143479678</c:v>
                </c:pt>
                <c:pt idx="19">
                  <c:v>0.60418664746847328</c:v>
                </c:pt>
                <c:pt idx="20">
                  <c:v>0.60572376266235139</c:v>
                </c:pt>
                <c:pt idx="21">
                  <c:v>0.60735918978571757</c:v>
                </c:pt>
                <c:pt idx="22">
                  <c:v>0.6090996539434349</c:v>
                </c:pt>
                <c:pt idx="23">
                  <c:v>0.61095239392215861</c:v>
                </c:pt>
                <c:pt idx="24">
                  <c:v>0.61292520778740756</c:v>
                </c:pt>
                <c:pt idx="25">
                  <c:v>0.61502650323152064</c:v>
                </c:pt>
                <c:pt idx="26">
                  <c:v>0.61726535323602671</c:v>
                </c:pt>
                <c:pt idx="27">
                  <c:v>0.61965155768394031</c:v>
                </c:pt>
                <c:pt idx="28">
                  <c:v>0.62219571163767617</c:v>
                </c:pt>
                <c:pt idx="29">
                  <c:v>0.62490928108855526</c:v>
                </c:pt>
                <c:pt idx="30">
                  <c:v>0.62780468708375903</c:v>
                </c:pt>
                <c:pt idx="31">
                  <c:v>0.63089539924729399</c:v>
                </c:pt>
                <c:pt idx="32">
                  <c:v>0.63419603983218331</c:v>
                </c:pt>
                <c:pt idx="33">
                  <c:v>0.63772249957139815</c:v>
                </c:pt>
                <c:pt idx="34">
                  <c:v>0.64149206673240666</c:v>
                </c:pt>
                <c:pt idx="35">
                  <c:v>0.64552357092135093</c:v>
                </c:pt>
                <c:pt idx="36">
                  <c:v>0.64983754332093246</c:v>
                </c:pt>
                <c:pt idx="37">
                  <c:v>0.65445639517025289</c:v>
                </c:pt>
                <c:pt idx="38">
                  <c:v>0.65940461638960557</c:v>
                </c:pt>
                <c:pt idx="39">
                  <c:v>0.66470899629116198</c:v>
                </c:pt>
                <c:pt idx="40">
                  <c:v>0.67039886826163275</c:v>
                </c:pt>
                <c:pt idx="41">
                  <c:v>0.67650638009495512</c:v>
                </c:pt>
                <c:pt idx="42">
                  <c:v>0.6830667912075904</c:v>
                </c:pt>
                <c:pt idx="43">
                  <c:v>0.69011879715750135</c:v>
                </c:pt>
                <c:pt idx="44">
                  <c:v>0.6977048805220829</c:v>
                </c:pt>
                <c:pt idx="45">
                  <c:v>0.70587168499180331</c:v>
                </c:pt>
                <c:pt idx="46">
                  <c:v>0.71467040609553101</c:v>
                </c:pt>
                <c:pt idx="47">
                  <c:v>0.72415718668826934</c:v>
                </c:pt>
                <c:pt idx="48">
                  <c:v>0.73439349731719827</c:v>
                </c:pt>
                <c:pt idx="49">
                  <c:v>0.74544646954109006</c:v>
                </c:pt>
                <c:pt idx="50">
                  <c:v>0.75738913231546678</c:v>
                </c:pt>
                <c:pt idx="51">
                  <c:v>0.77030047491303932</c:v>
                </c:pt>
                <c:pt idx="52">
                  <c:v>0.78426522054182513</c:v>
                </c:pt>
                <c:pt idx="53">
                  <c:v>0.7993731371619951</c:v>
                </c:pt>
                <c:pt idx="54">
                  <c:v>0.81571762800768111</c:v>
                </c:pt>
                <c:pt idx="55">
                  <c:v>0.83339322312303732</c:v>
                </c:pt>
                <c:pt idx="56">
                  <c:v>0.85249142072985873</c:v>
                </c:pt>
                <c:pt idx="57">
                  <c:v>0.87309408676665445</c:v>
                </c:pt>
                <c:pt idx="58">
                  <c:v>0.89526329635039636</c:v>
                </c:pt>
                <c:pt idx="59">
                  <c:v>0.91902608560665988</c:v>
                </c:pt>
                <c:pt idx="60">
                  <c:v>0.94435210018898552</c:v>
                </c:pt>
                <c:pt idx="61">
                  <c:v>0.97112167602433863</c:v>
                </c:pt>
                <c:pt idx="62">
                  <c:v>0.99908172272213924</c:v>
                </c:pt>
                <c:pt idx="63">
                  <c:v>1.0277874444866482</c:v>
                </c:pt>
                <c:pt idx="64">
                  <c:v>1.0565304282226957</c:v>
                </c:pt>
                <c:pt idx="65">
                  <c:v>1.0842594910912713</c:v>
                </c:pt>
                <c:pt idx="66">
                  <c:v>1.1095116033788228</c:v>
                </c:pt>
                <c:pt idx="67">
                  <c:v>1.1303864589339743</c:v>
                </c:pt>
                <c:pt idx="68">
                  <c:v>1.1446151869592132</c:v>
                </c:pt>
                <c:pt idx="69">
                  <c:v>1.1497772846019458</c:v>
                </c:pt>
                <c:pt idx="70">
                  <c:v>1.1436877249978215</c:v>
                </c:pt>
                <c:pt idx="71">
                  <c:v>1.1248948308503359</c:v>
                </c:pt>
                <c:pt idx="72">
                  <c:v>1.093127035802905</c:v>
                </c:pt>
                <c:pt idx="73">
                  <c:v>1.0494836571026829</c:v>
                </c:pt>
                <c:pt idx="74">
                  <c:v>0.99625252531037523</c:v>
                </c:pt>
                <c:pt idx="75">
                  <c:v>0.93642089813900098</c:v>
                </c:pt>
                <c:pt idx="76">
                  <c:v>0.87308933275884659</c:v>
                </c:pt>
                <c:pt idx="77">
                  <c:v>0.80900011952843898</c:v>
                </c:pt>
                <c:pt idx="78">
                  <c:v>0.74628299336750348</c:v>
                </c:pt>
                <c:pt idx="79">
                  <c:v>0.68640373640444152</c:v>
                </c:pt>
                <c:pt idx="80">
                  <c:v>0.63024205904373842</c:v>
                </c:pt>
                <c:pt idx="81">
                  <c:v>0.57822324029035355</c:v>
                </c:pt>
                <c:pt idx="82">
                  <c:v>0.53045276005995845</c:v>
                </c:pt>
                <c:pt idx="83">
                  <c:v>0.48682945294164026</c:v>
                </c:pt>
                <c:pt idx="84">
                  <c:v>0.44713048963732521</c:v>
                </c:pt>
                <c:pt idx="85">
                  <c:v>0.41107047332687557</c:v>
                </c:pt>
                <c:pt idx="86">
                  <c:v>0.3783401025104523</c:v>
                </c:pt>
                <c:pt idx="87">
                  <c:v>0.34863004797094177</c:v>
                </c:pt>
                <c:pt idx="88">
                  <c:v>0.3216447344764809</c:v>
                </c:pt>
                <c:pt idx="89">
                  <c:v>0.29710952794157042</c:v>
                </c:pt>
                <c:pt idx="90">
                  <c:v>0.27477378022787119</c:v>
                </c:pt>
                <c:pt idx="91">
                  <c:v>0.25441137781091311</c:v>
                </c:pt>
                <c:pt idx="92">
                  <c:v>0.23581986476239478</c:v>
                </c:pt>
                <c:pt idx="93">
                  <c:v>0.21881881728811672</c:v>
                </c:pt>
                <c:pt idx="94">
                  <c:v>0.20324788662379892</c:v>
                </c:pt>
                <c:pt idx="95">
                  <c:v>0.18896475850253339</c:v>
                </c:pt>
                <c:pt idx="96">
                  <c:v>0.17584317037168587</c:v>
                </c:pt>
                <c:pt idx="97">
                  <c:v>0.16377106085822091</c:v>
                </c:pt>
                <c:pt idx="98">
                  <c:v>0.15264888533373228</c:v>
                </c:pt>
                <c:pt idx="99">
                  <c:v>0.14238810734354582</c:v>
                </c:pt>
                <c:pt idx="100">
                  <c:v>0.13290986197518287</c:v>
                </c:pt>
                <c:pt idx="101">
                  <c:v>0.12414377998497443</c:v>
                </c:pt>
                <c:pt idx="102">
                  <c:v>0.11602695815139563</c:v>
                </c:pt>
                <c:pt idx="103">
                  <c:v>0.10850306028479947</c:v>
                </c:pt>
                <c:pt idx="104">
                  <c:v>0.10152153359914715</c:v>
                </c:pt>
                <c:pt idx="105">
                  <c:v>9.5036926126771365E-2</c:v>
                </c:pt>
                <c:pt idx="106">
                  <c:v>8.9008292159216656E-2</c:v>
                </c:pt>
                <c:pt idx="107">
                  <c:v>8.3398674104823128E-2</c:v>
                </c:pt>
                <c:pt idx="108">
                  <c:v>7.8174650541158394E-2</c:v>
                </c:pt>
                <c:pt idx="109">
                  <c:v>7.3305941540508818E-2</c:v>
                </c:pt>
                <c:pt idx="110">
                  <c:v>6.876506352778454E-2</c:v>
                </c:pt>
                <c:pt idx="111">
                  <c:v>6.4527026982031208E-2</c:v>
                </c:pt>
                <c:pt idx="112">
                  <c:v>6.0569071216579166E-2</c:v>
                </c:pt>
                <c:pt idx="113">
                  <c:v>5.6870431276994947E-2</c:v>
                </c:pt>
                <c:pt idx="114">
                  <c:v>5.3412132691179809E-2</c:v>
                </c:pt>
                <c:pt idx="115">
                  <c:v>5.0176810404469356E-2</c:v>
                </c:pt>
                <c:pt idx="116">
                  <c:v>4.7148548746213895E-2</c:v>
                </c:pt>
                <c:pt idx="117">
                  <c:v>4.431273971434091E-2</c:v>
                </c:pt>
                <c:pt idx="118">
                  <c:v>4.1655957240907739E-2</c:v>
                </c:pt>
                <c:pt idx="119">
                  <c:v>3.9165845423731735E-2</c:v>
                </c:pt>
                <c:pt idx="120">
                  <c:v>3.6831018984613398E-2</c:v>
                </c:pt>
                <c:pt idx="121">
                  <c:v>3.4640974450435839E-2</c:v>
                </c:pt>
                <c:pt idx="122">
                  <c:v>3.2586010755223063E-2</c:v>
                </c:pt>
                <c:pt idx="123">
                  <c:v>3.0657158134269745E-2</c:v>
                </c:pt>
                <c:pt idx="124">
                  <c:v>2.8846114329865866E-2</c:v>
                </c:pt>
                <c:pt idx="125">
                  <c:v>2.7145187255672887E-2</c:v>
                </c:pt>
                <c:pt idx="126">
                  <c:v>2.5547243376482256E-2</c:v>
                </c:pt>
                <c:pt idx="127">
                  <c:v>2.4045661154600516E-2</c:v>
                </c:pt>
                <c:pt idx="128">
                  <c:v>2.2634288995604109E-2</c:v>
                </c:pt>
                <c:pt idx="129">
                  <c:v>2.1307407196665362E-2</c:v>
                </c:pt>
                <c:pt idx="130">
                  <c:v>2.005969346159155E-2</c:v>
                </c:pt>
                <c:pt idx="131">
                  <c:v>1.8886191599558139E-2</c:v>
                </c:pt>
                <c:pt idx="132">
                  <c:v>1.7782283070384156E-2</c:v>
                </c:pt>
                <c:pt idx="133">
                  <c:v>1.6743661079077623E-2</c:v>
                </c:pt>
                <c:pt idx="134">
                  <c:v>1.5766306957115329E-2</c:v>
                </c:pt>
                <c:pt idx="135">
                  <c:v>1.4846468598219198E-2</c:v>
                </c:pt>
                <c:pt idx="136">
                  <c:v>1.3980640742871413E-2</c:v>
                </c:pt>
                <c:pt idx="137">
                  <c:v>1.3165546928970904E-2</c:v>
                </c:pt>
                <c:pt idx="138">
                  <c:v>1.2398122946353216E-2</c:v>
                </c:pt>
                <c:pt idx="139">
                  <c:v>1.1675501650717266E-2</c:v>
                </c:pt>
                <c:pt idx="140">
                  <c:v>1.0994999008190133E-2</c:v>
                </c:pt>
                <c:pt idx="141">
                  <c:v>1.0354101255566885E-2</c:v>
                </c:pt>
                <c:pt idx="142">
                  <c:v>9.7504530734496622E-3</c:v>
                </c:pt>
                <c:pt idx="143">
                  <c:v>9.1818466802782595E-3</c:v>
                </c:pt>
                <c:pt idx="144">
                  <c:v>8.646211764772805E-3</c:v>
                </c:pt>
                <c:pt idx="145">
                  <c:v>8.141606182760901E-3</c:v>
                </c:pt>
                <c:pt idx="146">
                  <c:v>7.6662073518649169E-3</c:v>
                </c:pt>
                <c:pt idx="147">
                  <c:v>7.2183042842007628E-3</c:v>
                </c:pt>
                <c:pt idx="148">
                  <c:v>7.0242081605489644E-3</c:v>
                </c:pt>
                <c:pt idx="149">
                  <c:v>5.9807837363027982E-3</c:v>
                </c:pt>
                <c:pt idx="150">
                  <c:v>5.090351862333635E-3</c:v>
                </c:pt>
                <c:pt idx="151">
                  <c:v>4.3304178477462348E-3</c:v>
                </c:pt>
                <c:pt idx="152">
                  <c:v>3.6818537362086497E-3</c:v>
                </c:pt>
                <c:pt idx="153">
                  <c:v>3.1283635447835125E-3</c:v>
                </c:pt>
                <c:pt idx="154">
                  <c:v>2.6560408782131178E-3</c:v>
                </c:pt>
                <c:pt idx="155">
                  <c:v>2.2530033351186012E-3</c:v>
                </c:pt>
                <c:pt idx="156">
                  <c:v>1.9090912934839434E-3</c:v>
                </c:pt>
                <c:pt idx="157">
                  <c:v>1.615620665493886E-3</c:v>
                </c:pt>
                <c:pt idx="158">
                  <c:v>1.3651801009466908E-3</c:v>
                </c:pt>
                <c:pt idx="159">
                  <c:v>1.151463041201767E-3</c:v>
                </c:pt>
                <c:pt idx="160">
                  <c:v>9.6912446192648136E-4</c:v>
                </c:pt>
                <c:pt idx="161">
                  <c:v>8.136521262911764E-4</c:v>
                </c:pt>
                <c:pt idx="162">
                  <c:v>6.8124415548155961E-4</c:v>
                </c:pt>
                <c:pt idx="163">
                  <c:v>5.686896798972129E-4</c:v>
                </c:pt>
                <c:pt idx="164">
                  <c:v>4.8300790404363908E-4</c:v>
                </c:pt>
                <c:pt idx="165">
                  <c:v>3.6469912965195867E-4</c:v>
                </c:pt>
                <c:pt idx="166">
                  <c:v>2.734418042426373E-4</c:v>
                </c:pt>
                <c:pt idx="167">
                  <c:v>2.0365202747779472E-4</c:v>
                </c:pt>
                <c:pt idx="168">
                  <c:v>1.5071622832715719E-4</c:v>
                </c:pt>
                <c:pt idx="169">
                  <c:v>1.108551437377254E-4</c:v>
                </c:pt>
                <c:pt idx="170">
                  <c:v>8.1055552786431296E-5</c:v>
                </c:pt>
                <c:pt idx="171">
                  <c:v>5.89536132804484E-5</c:v>
                </c:pt>
                <c:pt idx="172">
                  <c:v>4.268334620853959E-5</c:v>
                </c:pt>
                <c:pt idx="173">
                  <c:v>3.0777677794352925E-5</c:v>
                </c:pt>
                <c:pt idx="174">
                  <c:v>2.2115345229555878E-5</c:v>
                </c:pt>
                <c:pt idx="175">
                  <c:v>1.5844801732682778E-5</c:v>
                </c:pt>
                <c:pt idx="176">
                  <c:v>1.1324046677189553E-5</c:v>
                </c:pt>
                <c:pt idx="177">
                  <c:v>8.0767539138634369E-6</c:v>
                </c:pt>
                <c:pt idx="178">
                  <c:v>5.7510051730412756E-6</c:v>
                </c:pt>
                <c:pt idx="179">
                  <c:v>3.6428052488996384E-6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8E-44E0-9048-63B94D728E5D}"/>
            </c:ext>
          </c:extLst>
        </c:ser>
        <c:ser>
          <c:idx val="3"/>
          <c:order val="3"/>
          <c:tx>
            <c:strRef>
              <c:f>FRES!$AM$4</c:f>
              <c:strCache>
                <c:ptCount val="1"/>
                <c:pt idx="0">
                  <c:v>V1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FRES!$AM$5:$AM$184</c:f>
              <c:numCache>
                <c:formatCode>General</c:formatCode>
                <c:ptCount val="180"/>
                <c:pt idx="0">
                  <c:v>0.10458742716021399</c:v>
                </c:pt>
                <c:pt idx="1">
                  <c:v>0.11101030065174133</c:v>
                </c:pt>
                <c:pt idx="2">
                  <c:v>0.11785282102356283</c:v>
                </c:pt>
                <c:pt idx="3">
                  <c:v>0.1251467635470507</c:v>
                </c:pt>
                <c:pt idx="4">
                  <c:v>0.1329269593151215</c:v>
                </c:pt>
                <c:pt idx="5">
                  <c:v>0.14123164637434357</c:v>
                </c:pt>
                <c:pt idx="6">
                  <c:v>0.15010285163443252</c:v>
                </c:pt>
                <c:pt idx="7">
                  <c:v>0.15958679723316263</c:v>
                </c:pt>
                <c:pt idx="8">
                  <c:v>0.16973431840163525</c:v>
                </c:pt>
                <c:pt idx="9">
                  <c:v>0.1806012693885124</c:v>
                </c:pt>
                <c:pt idx="10">
                  <c:v>0.19224887767853729</c:v>
                </c:pt>
                <c:pt idx="11">
                  <c:v>0.20474398164003854</c:v>
                </c:pt>
                <c:pt idx="12">
                  <c:v>0.21815904855126625</c:v>
                </c:pt>
                <c:pt idx="13">
                  <c:v>0.22523567560167213</c:v>
                </c:pt>
                <c:pt idx="14">
                  <c:v>0.23257181249404291</c:v>
                </c:pt>
                <c:pt idx="15">
                  <c:v>0.24017783804660539</c:v>
                </c:pt>
                <c:pt idx="16">
                  <c:v>0.2480642862170741</c:v>
                </c:pt>
                <c:pt idx="17">
                  <c:v>0.25624175331773413</c:v>
                </c:pt>
                <c:pt idx="18">
                  <c:v>0.26472077624932161</c:v>
                </c:pt>
                <c:pt idx="19">
                  <c:v>0.27351167510608787</c:v>
                </c:pt>
                <c:pt idx="20">
                  <c:v>0.28262435224172461</c:v>
                </c:pt>
                <c:pt idx="21">
                  <c:v>0.29206803847177348</c:v>
                </c:pt>
                <c:pt idx="22">
                  <c:v>0.30185097554885776</c:v>
                </c:pt>
                <c:pt idx="23">
                  <c:v>0.31198002244029477</c:v>
                </c:pt>
                <c:pt idx="24">
                  <c:v>0.32246017136627969</c:v>
                </c:pt>
                <c:pt idx="25">
                  <c:v>0.3332939581915485</c:v>
                </c:pt>
                <c:pt idx="26">
                  <c:v>0.34448075086791491</c:v>
                </c:pt>
                <c:pt idx="27">
                  <c:v>0.35601589958939983</c:v>
                </c:pt>
                <c:pt idx="28">
                  <c:v>0.36788973369949951</c:v>
                </c:pt>
                <c:pt idx="29">
                  <c:v>0.38008639393428484</c:v>
                </c:pt>
                <c:pt idx="30">
                  <c:v>0.39258249527399058</c:v>
                </c:pt>
                <c:pt idx="31">
                  <c:v>0.40534562671059138</c:v>
                </c:pt>
                <c:pt idx="32">
                  <c:v>0.41833271098421448</c:v>
                </c:pt>
                <c:pt idx="33">
                  <c:v>0.43148827116613486</c:v>
                </c:pt>
                <c:pt idx="34">
                  <c:v>0.44474268293639047</c:v>
                </c:pt>
                <c:pt idx="35">
                  <c:v>0.45801053176613693</c:v>
                </c:pt>
                <c:pt idx="36">
                  <c:v>0.47118924164427117</c:v>
                </c:pt>
                <c:pt idx="37">
                  <c:v>0.4841581926279851</c:v>
                </c:pt>
                <c:pt idx="38">
                  <c:v>0.49677859095502069</c:v>
                </c:pt>
                <c:pt idx="39">
                  <c:v>0.50889438611347315</c:v>
                </c:pt>
                <c:pt idx="40">
                  <c:v>0.520334528510492</c:v>
                </c:pt>
                <c:pt idx="41">
                  <c:v>0.53091681152377401</c:v>
                </c:pt>
                <c:pt idx="42">
                  <c:v>0.54045342725701739</c:v>
                </c:pt>
                <c:pt idx="43">
                  <c:v>0.54875817957231043</c:v>
                </c:pt>
                <c:pt idx="44">
                  <c:v>0.55565505082347799</c:v>
                </c:pt>
                <c:pt idx="45">
                  <c:v>0.56098754250872029</c:v>
                </c:pt>
                <c:pt idx="46">
                  <c:v>0.56462795951390343</c:v>
                </c:pt>
                <c:pt idx="47">
                  <c:v>0.56648565022012443</c:v>
                </c:pt>
                <c:pt idx="48">
                  <c:v>0.56651321151536349</c:v>
                </c:pt>
                <c:pt idx="49">
                  <c:v>0.56470984963229953</c:v>
                </c:pt>
                <c:pt idx="50">
                  <c:v>0.56112143771795797</c:v>
                </c:pt>
                <c:pt idx="51">
                  <c:v>0.55583726209719619</c:v>
                </c:pt>
                <c:pt idx="52">
                  <c:v>0.54898390205829062</c:v>
                </c:pt>
                <c:pt idx="53">
                  <c:v>0.54071704281077038</c:v>
                </c:pt>
                <c:pt idx="54">
                  <c:v>0.53121220950146053</c:v>
                </c:pt>
                <c:pt idx="55">
                  <c:v>0.5206554130104778</c:v>
                </c:pt>
                <c:pt idx="56">
                  <c:v>0.50923454522050815</c:v>
                </c:pt>
                <c:pt idx="57">
                  <c:v>0.49713211293555926</c:v>
                </c:pt>
                <c:pt idx="58">
                  <c:v>0.48451962325821346</c:v>
                </c:pt>
                <c:pt idx="59">
                  <c:v>0.47155368439540496</c:v>
                </c:pt>
                <c:pt idx="60">
                  <c:v>0.45837369771564523</c:v>
                </c:pt>
                <c:pt idx="61">
                  <c:v>0.44510090000554309</c:v>
                </c:pt>
                <c:pt idx="62">
                  <c:v>0.43183846303025081</c:v>
                </c:pt>
                <c:pt idx="63">
                  <c:v>0.41867235536704439</c:v>
                </c:pt>
                <c:pt idx="64">
                  <c:v>0.40567270135070821</c:v>
                </c:pt>
                <c:pt idx="65">
                  <c:v>0.39289541811392731</c:v>
                </c:pt>
                <c:pt idx="66">
                  <c:v>0.38038396235773653</c:v>
                </c:pt>
                <c:pt idx="67">
                  <c:v>0.36817106611562594</c:v>
                </c:pt>
                <c:pt idx="68">
                  <c:v>0.35628038141873314</c:v>
                </c:pt>
                <c:pt idx="69">
                  <c:v>0.34472798603355809</c:v>
                </c:pt>
                <c:pt idx="70">
                  <c:v>0.33352372653527956</c:v>
                </c:pt>
                <c:pt idx="71">
                  <c:v>0.32267239194642355</c:v>
                </c:pt>
                <c:pt idx="72">
                  <c:v>0.31217472237807836</c:v>
                </c:pt>
                <c:pt idx="73">
                  <c:v>0.3020282639269497</c:v>
                </c:pt>
                <c:pt idx="74">
                  <c:v>0.29222808471514899</c:v>
                </c:pt>
                <c:pt idx="75">
                  <c:v>0.28276736839686056</c:v>
                </c:pt>
                <c:pt idx="76">
                  <c:v>0.27363790145767625</c:v>
                </c:pt>
                <c:pt idx="77">
                  <c:v>0.26483046975802976</c:v>
                </c:pt>
                <c:pt idx="78">
                  <c:v>0.25633517841717296</c:v>
                </c:pt>
                <c:pt idx="79">
                  <c:v>0.24814170756585485</c:v>
                </c:pt>
                <c:pt idx="80">
                  <c:v>0.24023951488764494</c:v>
                </c:pt>
                <c:pt idx="81">
                  <c:v>0.2326179943256263</c:v>
                </c:pt>
                <c:pt idx="82">
                  <c:v>0.2252665989118238</c:v>
                </c:pt>
                <c:pt idx="83">
                  <c:v>0.21817493440838609</c:v>
                </c:pt>
                <c:pt idx="84">
                  <c:v>0.21133282933983136</c:v>
                </c:pt>
                <c:pt idx="85">
                  <c:v>0.20473038603974586</c:v>
                </c:pt>
                <c:pt idx="86">
                  <c:v>0.19835801652202037</c:v>
                </c:pt>
                <c:pt idx="87">
                  <c:v>0.19220646630116597</c:v>
                </c:pt>
                <c:pt idx="88">
                  <c:v>0.18626682871285977</c:v>
                </c:pt>
                <c:pt idx="89">
                  <c:v>0.18053055180934582</c:v>
                </c:pt>
                <c:pt idx="90">
                  <c:v>0.17498943951017479</c:v>
                </c:pt>
                <c:pt idx="91">
                  <c:v>0.16963564836431003</c:v>
                </c:pt>
                <c:pt idx="92">
                  <c:v>0.16446168101347508</c:v>
                </c:pt>
                <c:pt idx="93">
                  <c:v>0.15946037722894224</c:v>
                </c:pt>
                <c:pt idx="94">
                  <c:v>0.15462490321659036</c:v>
                </c:pt>
                <c:pt idx="95">
                  <c:v>0.14994873974074144</c:v>
                </c:pt>
                <c:pt idx="96">
                  <c:v>0.14542566950034605</c:v>
                </c:pt>
                <c:pt idx="97">
                  <c:v>0.14104976409640171</c:v>
                </c:pt>
                <c:pt idx="98">
                  <c:v>0.13681537085318185</c:v>
                </c:pt>
                <c:pt idx="99">
                  <c:v>0.13271709969440695</c:v>
                </c:pt>
                <c:pt idx="100">
                  <c:v>0.12874981022620663</c:v>
                </c:pt>
                <c:pt idx="101">
                  <c:v>0.12490859913937799</c:v>
                </c:pt>
                <c:pt idx="102">
                  <c:v>0.12118878801206132</c:v>
                </c:pt>
                <c:pt idx="103">
                  <c:v>0.11758591156911137</c:v>
                </c:pt>
                <c:pt idx="104">
                  <c:v>0.11409570643488454</c:v>
                </c:pt>
                <c:pt idx="105">
                  <c:v>0.11071410040077671</c:v>
                </c:pt>
                <c:pt idx="106">
                  <c:v>0.10743720221702319</c:v>
                </c:pt>
                <c:pt idx="107">
                  <c:v>0.10426129190902785</c:v>
                </c:pt>
                <c:pt idx="108">
                  <c:v>0.1011828116116414</c:v>
                </c:pt>
                <c:pt idx="109">
                  <c:v>9.8198356909593693E-2</c:v>
                </c:pt>
                <c:pt idx="110">
                  <c:v>9.5304668668510534E-2</c:v>
                </c:pt>
                <c:pt idx="111">
                  <c:v>9.2498625338373261E-2</c:v>
                </c:pt>
                <c:pt idx="112">
                  <c:v>8.977723570943251E-2</c:v>
                </c:pt>
                <c:pt idx="113">
                  <c:v>8.7137632099601944E-2</c:v>
                </c:pt>
                <c:pt idx="114">
                  <c:v>8.4577063951771878E-2</c:v>
                </c:pt>
                <c:pt idx="115">
                  <c:v>8.2092891819404989E-2</c:v>
                </c:pt>
                <c:pt idx="116">
                  <c:v>7.9682581718963946E-2</c:v>
                </c:pt>
                <c:pt idx="117">
                  <c:v>7.7343699828150744E-2</c:v>
                </c:pt>
                <c:pt idx="118">
                  <c:v>7.5073907509572269E-2</c:v>
                </c:pt>
                <c:pt idx="119">
                  <c:v>7.2870956640140538E-2</c:v>
                </c:pt>
                <c:pt idx="120">
                  <c:v>7.0732685227342232E-2</c:v>
                </c:pt>
                <c:pt idx="121">
                  <c:v>6.8657013294378441E-2</c:v>
                </c:pt>
                <c:pt idx="122">
                  <c:v>6.6641939017019314E-2</c:v>
                </c:pt>
                <c:pt idx="123">
                  <c:v>6.4685535095935207E-2</c:v>
                </c:pt>
                <c:pt idx="124">
                  <c:v>6.2785945349109001E-2</c:v>
                </c:pt>
                <c:pt idx="125">
                  <c:v>6.0941381509783288E-2</c:v>
                </c:pt>
                <c:pt idx="126">
                  <c:v>5.9150120216214547E-2</c:v>
                </c:pt>
                <c:pt idx="127">
                  <c:v>5.7410500180270684E-2</c:v>
                </c:pt>
                <c:pt idx="128">
                  <c:v>5.5720919522634554E-2</c:v>
                </c:pt>
                <c:pt idx="129">
                  <c:v>5.4079833263060574E-2</c:v>
                </c:pt>
                <c:pt idx="130">
                  <c:v>5.2485750954765625E-2</c:v>
                </c:pt>
                <c:pt idx="131">
                  <c:v>5.093723445261248E-2</c:v>
                </c:pt>
                <c:pt idx="132">
                  <c:v>4.9432895805282068E-2</c:v>
                </c:pt>
                <c:pt idx="133">
                  <c:v>4.7971395262119298E-2</c:v>
                </c:pt>
                <c:pt idx="134">
                  <c:v>4.6551439385770353E-2</c:v>
                </c:pt>
                <c:pt idx="135">
                  <c:v>4.5171779262137127E-2</c:v>
                </c:pt>
                <c:pt idx="136">
                  <c:v>4.3831208799514659E-2</c:v>
                </c:pt>
                <c:pt idx="137">
                  <c:v>4.2528563109112932E-2</c:v>
                </c:pt>
                <c:pt idx="138">
                  <c:v>4.1262716959442274E-2</c:v>
                </c:pt>
                <c:pt idx="139">
                  <c:v>4.0032583297304858E-2</c:v>
                </c:pt>
                <c:pt idx="140">
                  <c:v>3.8837111828375875E-2</c:v>
                </c:pt>
                <c:pt idx="141">
                  <c:v>3.7675287650591312E-2</c:v>
                </c:pt>
                <c:pt idx="142">
                  <c:v>3.6546129933775963E-2</c:v>
                </c:pt>
                <c:pt idx="143">
                  <c:v>3.5448690639189567E-2</c:v>
                </c:pt>
                <c:pt idx="144">
                  <c:v>3.4382053272904722E-2</c:v>
                </c:pt>
                <c:pt idx="145">
                  <c:v>3.3345331667221534E-2</c:v>
                </c:pt>
                <c:pt idx="146">
                  <c:v>3.2337668784639999E-2</c:v>
                </c:pt>
                <c:pt idx="147">
                  <c:v>3.1358235539298028E-2</c:v>
                </c:pt>
                <c:pt idx="148">
                  <c:v>3.0924056267251587E-2</c:v>
                </c:pt>
                <c:pt idx="149">
                  <c:v>2.8475881882565873E-2</c:v>
                </c:pt>
                <c:pt idx="150">
                  <c:v>2.6206163983708806E-2</c:v>
                </c:pt>
                <c:pt idx="151">
                  <c:v>2.4101865544422361E-2</c:v>
                </c:pt>
                <c:pt idx="152">
                  <c:v>2.2150910100666565E-2</c:v>
                </c:pt>
                <c:pt idx="153">
                  <c:v>2.0342030899920701E-2</c:v>
                </c:pt>
                <c:pt idx="154">
                  <c:v>1.8664630550786702E-2</c:v>
                </c:pt>
                <c:pt idx="155">
                  <c:v>1.7108664108974644E-2</c:v>
                </c:pt>
                <c:pt idx="156">
                  <c:v>1.5664564259217331E-2</c:v>
                </c:pt>
                <c:pt idx="157">
                  <c:v>1.4323230513533106E-2</c:v>
                </c:pt>
                <c:pt idx="158">
                  <c:v>1.3076101081408435E-2</c:v>
                </c:pt>
                <c:pt idx="159">
                  <c:v>1.1915311264963599E-2</c:v>
                </c:pt>
                <c:pt idx="160">
                  <c:v>1.0833912915544473E-2</c:v>
                </c:pt>
                <c:pt idx="161">
                  <c:v>9.8260905976176663E-3</c:v>
                </c:pt>
                <c:pt idx="162">
                  <c:v>8.8872803862330377E-3</c:v>
                </c:pt>
                <c:pt idx="163">
                  <c:v>8.0141062701659001E-3</c:v>
                </c:pt>
                <c:pt idx="164">
                  <c:v>7.2903307217328005E-3</c:v>
                </c:pt>
                <c:pt idx="165">
                  <c:v>6.1797573446450713E-3</c:v>
                </c:pt>
                <c:pt idx="166">
                  <c:v>5.2015251996458912E-3</c:v>
                </c:pt>
                <c:pt idx="167">
                  <c:v>4.3488239420797379E-3</c:v>
                </c:pt>
                <c:pt idx="168">
                  <c:v>3.6128585127877485E-3</c:v>
                </c:pt>
                <c:pt idx="169">
                  <c:v>2.982958300326397E-3</c:v>
                </c:pt>
                <c:pt idx="170">
                  <c:v>2.4483224634107821E-3</c:v>
                </c:pt>
                <c:pt idx="171">
                  <c:v>1.9988770752000589E-3</c:v>
                </c:pt>
                <c:pt idx="172">
                  <c:v>1.6245017321467432E-3</c:v>
                </c:pt>
                <c:pt idx="173">
                  <c:v>1.3148634807732596E-3</c:v>
                </c:pt>
                <c:pt idx="174">
                  <c:v>1.0605210099980161E-3</c:v>
                </c:pt>
                <c:pt idx="175">
                  <c:v>8.5288647554466112E-4</c:v>
                </c:pt>
                <c:pt idx="176">
                  <c:v>6.8420059905129765E-4</c:v>
                </c:pt>
                <c:pt idx="177">
                  <c:v>5.4776572133904836E-4</c:v>
                </c:pt>
                <c:pt idx="178">
                  <c:v>4.3780127673478687E-4</c:v>
                </c:pt>
                <c:pt idx="179">
                  <c:v>3.2368357168916889E-4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8E-44E0-9048-63B94D728E5D}"/>
            </c:ext>
          </c:extLst>
        </c:ser>
        <c:ser>
          <c:idx val="4"/>
          <c:order val="4"/>
          <c:tx>
            <c:strRef>
              <c:f>FRES!$AN$4</c:f>
              <c:strCache>
                <c:ptCount val="1"/>
                <c:pt idx="0">
                  <c:v>V2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FRES!$AN$5:$AN$184</c:f>
              <c:numCache>
                <c:formatCode>General</c:formatCode>
                <c:ptCount val="180"/>
                <c:pt idx="0">
                  <c:v>5.2094831423632026E-2</c:v>
                </c:pt>
                <c:pt idx="1">
                  <c:v>5.5272862708174338E-2</c:v>
                </c:pt>
                <c:pt idx="2">
                  <c:v>5.8655230588407568E-2</c:v>
                </c:pt>
                <c:pt idx="3">
                  <c:v>6.2257046767739535E-2</c:v>
                </c:pt>
                <c:pt idx="4">
                  <c:v>6.6094899833075413E-2</c:v>
                </c:pt>
                <c:pt idx="5">
                  <c:v>7.018705833517086E-2</c:v>
                </c:pt>
                <c:pt idx="6">
                  <c:v>7.4553709601653501E-2</c:v>
                </c:pt>
                <c:pt idx="7">
                  <c:v>7.9217241439030722E-2</c:v>
                </c:pt>
                <c:pt idx="8">
                  <c:v>8.4202575404640018E-2</c:v>
                </c:pt>
                <c:pt idx="9">
                  <c:v>8.9537562177266078E-2</c:v>
                </c:pt>
                <c:pt idx="10">
                  <c:v>9.5253451780989387E-2</c:v>
                </c:pt>
                <c:pt idx="11">
                  <c:v>0.10138545407187038</c:v>
                </c:pt>
                <c:pt idx="12">
                  <c:v>0.10797340801380319</c:v>
                </c:pt>
                <c:pt idx="13">
                  <c:v>0.11145227612442517</c:v>
                </c:pt>
                <c:pt idx="14">
                  <c:v>0.1150625818342977</c:v>
                </c:pt>
                <c:pt idx="15">
                  <c:v>0.11881098891409364</c:v>
                </c:pt>
                <c:pt idx="16">
                  <c:v>0.12270463004866625</c:v>
                </c:pt>
                <c:pt idx="17">
                  <c:v>0.12675114746370669</c:v>
                </c:pt>
                <c:pt idx="18">
                  <c:v>0.13095873725811008</c:v>
                </c:pt>
                <c:pt idx="19">
                  <c:v>0.13533619771665367</c:v>
                </c:pt>
                <c:pt idx="20">
                  <c:v>0.13989298186783028</c:v>
                </c:pt>
                <c:pt idx="21">
                  <c:v>0.1446392545276862</c:v>
                </c:pt>
                <c:pt idx="22">
                  <c:v>0.14958595402596717</c:v>
                </c:pt>
                <c:pt idx="23">
                  <c:v>0.15474485873761529</c:v>
                </c:pt>
                <c:pt idx="24">
                  <c:v>0.16012865842940557</c:v>
                </c:pt>
                <c:pt idx="25">
                  <c:v>0.165751030263143</c:v>
                </c:pt>
                <c:pt idx="26">
                  <c:v>0.17162671905274454</c:v>
                </c:pt>
                <c:pt idx="27">
                  <c:v>0.17777162102524616</c:v>
                </c:pt>
                <c:pt idx="28">
                  <c:v>0.18420286984801759</c:v>
                </c:pt>
                <c:pt idx="29">
                  <c:v>0.19093892300662713</c:v>
                </c:pt>
                <c:pt idx="30">
                  <c:v>0.19799964568330608</c:v>
                </c:pt>
                <c:pt idx="31">
                  <c:v>0.20540638800621669</c:v>
                </c:pt>
                <c:pt idx="32">
                  <c:v>0.2131820497976403</c:v>
                </c:pt>
                <c:pt idx="33">
                  <c:v>0.22135112459014661</c:v>
                </c:pt>
                <c:pt idx="34">
                  <c:v>0.22993971150285922</c:v>
                </c:pt>
                <c:pt idx="35">
                  <c:v>0.23897547931549656</c:v>
                </c:pt>
                <c:pt idx="36">
                  <c:v>0.24848756141808934</c:v>
                </c:pt>
                <c:pt idx="37">
                  <c:v>0.25850635284373447</c:v>
                </c:pt>
                <c:pt idx="38">
                  <c:v>0.26906317082889292</c:v>
                </c:pt>
                <c:pt idx="39">
                  <c:v>0.28018972775174311</c:v>
                </c:pt>
                <c:pt idx="40">
                  <c:v>0.29191734933558378</c:v>
                </c:pt>
                <c:pt idx="41">
                  <c:v>0.30427585125906192</c:v>
                </c:pt>
                <c:pt idx="42">
                  <c:v>0.31729196374953011</c:v>
                </c:pt>
                <c:pt idx="43">
                  <c:v>0.33098716712860832</c:v>
                </c:pt>
                <c:pt idx="44">
                  <c:v>0.34537477397799216</c:v>
                </c:pt>
                <c:pt idx="45">
                  <c:v>0.36045607070863578</c:v>
                </c:pt>
                <c:pt idx="46">
                  <c:v>0.37621532247534006</c:v>
                </c:pt>
                <c:pt idx="47">
                  <c:v>0.39261346704380584</c:v>
                </c:pt>
                <c:pt idx="48">
                  <c:v>0.40958040119617706</c:v>
                </c:pt>
                <c:pt idx="49">
                  <c:v>0.42700593422672406</c:v>
                </c:pt>
                <c:pt idx="50">
                  <c:v>0.44472979240776639</c:v>
                </c:pt>
                <c:pt idx="51">
                  <c:v>0.46253154936765956</c:v>
                </c:pt>
                <c:pt idx="52">
                  <c:v>0.48012204538735082</c:v>
                </c:pt>
                <c:pt idx="53">
                  <c:v>0.49713868368693598</c:v>
                </c:pt>
                <c:pt idx="54">
                  <c:v>0.51314775462978446</c:v>
                </c:pt>
                <c:pt idx="55">
                  <c:v>0.52765725015578335</c:v>
                </c:pt>
                <c:pt idx="56">
                  <c:v>0.54014294225597304</c:v>
                </c:pt>
                <c:pt idx="57">
                  <c:v>0.55008830723333602</c:v>
                </c:pt>
                <c:pt idx="58">
                  <c:v>0.55703513104747437</c:v>
                </c:pt>
                <c:pt idx="59">
                  <c:v>0.56063717839324445</c:v>
                </c:pt>
                <c:pt idx="60">
                  <c:v>0.56070596503762393</c:v>
                </c:pt>
                <c:pt idx="61">
                  <c:v>0.55723750770543368</c:v>
                </c:pt>
                <c:pt idx="62">
                  <c:v>0.55041291012593807</c:v>
                </c:pt>
                <c:pt idx="63">
                  <c:v>0.54057262299600428</c:v>
                </c:pt>
                <c:pt idx="64">
                  <c:v>0.52817126553953708</c:v>
                </c:pt>
                <c:pt idx="65">
                  <c:v>0.51372404934966054</c:v>
                </c:pt>
                <c:pt idx="66">
                  <c:v>0.49775585095308084</c:v>
                </c:pt>
                <c:pt idx="67">
                  <c:v>0.48076073256371826</c:v>
                </c:pt>
                <c:pt idx="68">
                  <c:v>0.4631752620069311</c:v>
                </c:pt>
                <c:pt idx="69">
                  <c:v>0.44536518056169555</c:v>
                </c:pt>
                <c:pt idx="70">
                  <c:v>0.42762270449622225</c:v>
                </c:pt>
                <c:pt idx="71">
                  <c:v>0.4101710019162022</c:v>
                </c:pt>
                <c:pt idx="72">
                  <c:v>0.3931726672280102</c:v>
                </c:pt>
                <c:pt idx="73">
                  <c:v>0.37673976870624604</c:v>
                </c:pt>
                <c:pt idx="74">
                  <c:v>0.3609438726149658</c:v>
                </c:pt>
                <c:pt idx="75">
                  <c:v>0.34582514342612303</c:v>
                </c:pt>
                <c:pt idx="76">
                  <c:v>0.33140011930654933</c:v>
                </c:pt>
                <c:pt idx="77">
                  <c:v>0.31766807839308009</c:v>
                </c:pt>
                <c:pt idx="78">
                  <c:v>0.30461608730193662</c:v>
                </c:pt>
                <c:pt idx="79">
                  <c:v>0.29222290443504673</c:v>
                </c:pt>
                <c:pt idx="80">
                  <c:v>0.28046193409506259</c:v>
                </c:pt>
                <c:pt idx="81">
                  <c:v>0.26930341946575614</c:v>
                </c:pt>
                <c:pt idx="82">
                  <c:v>0.25871603997167725</c:v>
                </c:pt>
                <c:pt idx="83">
                  <c:v>0.24866805127081865</c:v>
                </c:pt>
                <c:pt idx="84">
                  <c:v>0.23912807942031694</c:v>
                </c:pt>
                <c:pt idx="85">
                  <c:v>0.23006565702497242</c:v>
                </c:pt>
                <c:pt idx="86">
                  <c:v>0.22145156925912063</c:v>
                </c:pt>
                <c:pt idx="87">
                  <c:v>0.21325806152863222</c:v>
                </c:pt>
                <c:pt idx="88">
                  <c:v>0.20545894780874691</c:v>
                </c:pt>
                <c:pt idx="89">
                  <c:v>0.19802964881848958</c:v>
                </c:pt>
                <c:pt idx="90">
                  <c:v>0.1909471816327041</c:v>
                </c:pt>
                <c:pt idx="91">
                  <c:v>0.18419011660345957</c:v>
                </c:pt>
                <c:pt idx="92">
                  <c:v>0.17773851315487618</c:v>
                </c:pt>
                <c:pt idx="93">
                  <c:v>0.17157384279787102</c:v>
                </c:pt>
                <c:pt idx="94">
                  <c:v>0.16567890532181193</c:v>
                </c:pt>
                <c:pt idx="95">
                  <c:v>0.16003774235507554</c:v>
                </c:pt>
                <c:pt idx="96">
                  <c:v>0.15463555118976371</c:v>
                </c:pt>
                <c:pt idx="97">
                  <c:v>0.14945860081872156</c:v>
                </c:pt>
                <c:pt idx="98">
                  <c:v>0.14449415144585206</c:v>
                </c:pt>
                <c:pt idx="99">
                  <c:v>0.13973037823610718</c:v>
                </c:pt>
                <c:pt idx="100">
                  <c:v>0.13515629971925847</c:v>
                </c:pt>
                <c:pt idx="101">
                  <c:v>0.1307617110138021</c:v>
                </c:pt>
                <c:pt idx="102">
                  <c:v>0.12653712186634564</c:v>
                </c:pt>
                <c:pt idx="103">
                  <c:v>0.12247369938665457</c:v>
                </c:pt>
                <c:pt idx="104">
                  <c:v>0.11856321528396173</c:v>
                </c:pt>
                <c:pt idx="105">
                  <c:v>0.11479799736462504</c:v>
                </c:pt>
                <c:pt idx="106">
                  <c:v>0.11117088502654453</c:v>
                </c:pt>
                <c:pt idx="107">
                  <c:v>0.10767518847562788</c:v>
                </c:pt>
                <c:pt idx="108">
                  <c:v>0.10430465138959032</c:v>
                </c:pt>
                <c:pt idx="109">
                  <c:v>0.10105341676112782</c:v>
                </c:pt>
                <c:pt idx="110">
                  <c:v>9.7915995663699018E-2</c:v>
                </c:pt>
                <c:pt idx="111">
                  <c:v>9.4887238697027296E-2</c:v>
                </c:pt>
                <c:pt idx="112">
                  <c:v>9.1962309884724161E-2</c:v>
                </c:pt>
                <c:pt idx="113">
                  <c:v>8.9136662812420608E-2</c:v>
                </c:pt>
                <c:pt idx="114">
                  <c:v>8.6406018810656696E-2</c:v>
                </c:pt>
                <c:pt idx="115">
                  <c:v>8.3766347002381211E-2</c:v>
                </c:pt>
                <c:pt idx="116">
                  <c:v>8.1213846049725091E-2</c:v>
                </c:pt>
                <c:pt idx="117">
                  <c:v>7.8744927448808399E-2</c:v>
                </c:pt>
                <c:pt idx="118">
                  <c:v>7.6356200234465127E-2</c:v>
                </c:pt>
                <c:pt idx="119">
                  <c:v>7.4044456968994241E-2</c:v>
                </c:pt>
                <c:pt idx="120">
                  <c:v>7.1806660900298622E-2</c:v>
                </c:pt>
                <c:pt idx="121">
                  <c:v>6.9639934185144178E-2</c:v>
                </c:pt>
                <c:pt idx="122">
                  <c:v>6.7541547082710054E-2</c:v>
                </c:pt>
                <c:pt idx="123">
                  <c:v>6.5508908032283777E-2</c:v>
                </c:pt>
                <c:pt idx="124">
                  <c:v>6.35395545367754E-2</c:v>
                </c:pt>
                <c:pt idx="125">
                  <c:v>6.1631144780900593E-2</c:v>
                </c:pt>
                <c:pt idx="126">
                  <c:v>5.9781449919330709E-2</c:v>
                </c:pt>
                <c:pt idx="127">
                  <c:v>5.7988346975990944E-2</c:v>
                </c:pt>
                <c:pt idx="128">
                  <c:v>5.6249812300957852E-2</c:v>
                </c:pt>
                <c:pt idx="129">
                  <c:v>5.456391553622679E-2</c:v>
                </c:pt>
                <c:pt idx="130">
                  <c:v>5.2928814045901836E-2</c:v>
                </c:pt>
                <c:pt idx="131">
                  <c:v>5.134274777027803E-2</c:v>
                </c:pt>
                <c:pt idx="132">
                  <c:v>4.9804034466769814E-2</c:v>
                </c:pt>
                <c:pt idx="133">
                  <c:v>4.8311065303804857E-2</c:v>
                </c:pt>
                <c:pt idx="134">
                  <c:v>4.6862300776631845E-2</c:v>
                </c:pt>
                <c:pt idx="135">
                  <c:v>4.5456266916535058E-2</c:v>
                </c:pt>
                <c:pt idx="136">
                  <c:v>4.4091551767247952E-2</c:v>
                </c:pt>
                <c:pt idx="137">
                  <c:v>4.2766802104402341E-2</c:v>
                </c:pt>
                <c:pt idx="138">
                  <c:v>4.1480720375719128E-2</c:v>
                </c:pt>
                <c:pt idx="139">
                  <c:v>4.0232061841294887E-2</c:v>
                </c:pt>
                <c:pt idx="140">
                  <c:v>3.9019631894866381E-2</c:v>
                </c:pt>
                <c:pt idx="141">
                  <c:v>3.7842283548295455E-2</c:v>
                </c:pt>
                <c:pt idx="142">
                  <c:v>3.6698915062772973E-2</c:v>
                </c:pt>
                <c:pt idx="143">
                  <c:v>3.5588467711407244E-2</c:v>
                </c:pt>
                <c:pt idx="144">
                  <c:v>3.4509923658942246E-2</c:v>
                </c:pt>
                <c:pt idx="145">
                  <c:v>3.3462303945391708E-2</c:v>
                </c:pt>
                <c:pt idx="146">
                  <c:v>3.2444666561381209E-2</c:v>
                </c:pt>
                <c:pt idx="147">
                  <c:v>3.1456104603990252E-2</c:v>
                </c:pt>
                <c:pt idx="148">
                  <c:v>3.1018052759374349E-2</c:v>
                </c:pt>
                <c:pt idx="149">
                  <c:v>2.8549963015905375E-2</c:v>
                </c:pt>
                <c:pt idx="150">
                  <c:v>2.6264530773880312E-2</c:v>
                </c:pt>
                <c:pt idx="151">
                  <c:v>2.4147838372796212E-2</c:v>
                </c:pt>
                <c:pt idx="152">
                  <c:v>2.2187111956672174E-2</c:v>
                </c:pt>
                <c:pt idx="153">
                  <c:v>2.0370532398843566E-2</c:v>
                </c:pt>
                <c:pt idx="154">
                  <c:v>1.8687064832645685E-2</c:v>
                </c:pt>
                <c:pt idx="155">
                  <c:v>1.7126317998945241E-2</c:v>
                </c:pt>
                <c:pt idx="156">
                  <c:v>1.5678450710223075E-2</c:v>
                </c:pt>
                <c:pt idx="157">
                  <c:v>1.433414627253281E-2</c:v>
                </c:pt>
                <c:pt idx="158">
                  <c:v>1.3084672656612083E-2</c:v>
                </c:pt>
                <c:pt idx="159">
                  <c:v>1.1922031572487722E-2</c:v>
                </c:pt>
                <c:pt idx="160">
                  <c:v>1.0839170419865997E-2</c:v>
                </c:pt>
                <c:pt idx="161">
                  <c:v>9.8301923203462978E-3</c:v>
                </c:pt>
                <c:pt idx="162">
                  <c:v>8.8904698491536413E-3</c:v>
                </c:pt>
                <c:pt idx="163">
                  <c:v>8.0165772670167217E-3</c:v>
                </c:pt>
                <c:pt idx="164">
                  <c:v>7.2922933474155842E-3</c:v>
                </c:pt>
                <c:pt idx="165">
                  <c:v>6.1810793930817572E-3</c:v>
                </c:pt>
                <c:pt idx="166">
                  <c:v>5.2024087195655985E-3</c:v>
                </c:pt>
                <c:pt idx="167">
                  <c:v>4.3494103539512205E-3</c:v>
                </c:pt>
                <c:pt idx="168">
                  <c:v>3.6132453625008342E-3</c:v>
                </c:pt>
                <c:pt idx="169">
                  <c:v>2.9832119311155561E-3</c:v>
                </c:pt>
                <c:pt idx="170">
                  <c:v>2.4484877070276418E-3</c:v>
                </c:pt>
                <c:pt idx="171">
                  <c:v>1.9989841442125188E-3</c:v>
                </c:pt>
                <c:pt idx="172">
                  <c:v>1.6245708005682286E-3</c:v>
                </c:pt>
                <c:pt idx="173">
                  <c:v>1.314907850777155E-3</c:v>
                </c:pt>
                <c:pt idx="174">
                  <c:v>1.0605494122509561E-3</c:v>
                </c:pt>
                <c:pt idx="175">
                  <c:v>8.529046045176571E-4</c:v>
                </c:pt>
                <c:pt idx="176">
                  <c:v>6.8421214141574913E-4</c:v>
                </c:pt>
                <c:pt idx="177">
                  <c:v>5.4777305545506251E-4</c:v>
                </c:pt>
                <c:pt idx="178">
                  <c:v>4.3780592907195488E-4</c:v>
                </c:pt>
                <c:pt idx="179">
                  <c:v>3.2368609633586697E-4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8E-44E0-9048-63B94D728E5D}"/>
            </c:ext>
          </c:extLst>
        </c:ser>
        <c:ser>
          <c:idx val="5"/>
          <c:order val="5"/>
          <c:tx>
            <c:strRef>
              <c:f>FRES!$AO$4</c:f>
              <c:strCache>
                <c:ptCount val="1"/>
                <c:pt idx="0">
                  <c:v>V3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FRES!$AO$5:$AO$184</c:f>
              <c:numCache>
                <c:formatCode>General</c:formatCode>
                <c:ptCount val="180"/>
                <c:pt idx="0">
                  <c:v>2.5915409210155727E-2</c:v>
                </c:pt>
                <c:pt idx="1">
                  <c:v>2.7479858940074355E-2</c:v>
                </c:pt>
                <c:pt idx="2">
                  <c:v>2.9141812367128185E-2</c:v>
                </c:pt>
                <c:pt idx="3">
                  <c:v>3.0907928468645592E-2</c:v>
                </c:pt>
                <c:pt idx="4">
                  <c:v>3.2785429876159199E-2</c:v>
                </c:pt>
                <c:pt idx="5">
                  <c:v>3.4782169738528157E-2</c:v>
                </c:pt>
                <c:pt idx="6">
                  <c:v>3.6906709423740372E-2</c:v>
                </c:pt>
                <c:pt idx="7">
                  <c:v>3.9168409193432389E-2</c:v>
                </c:pt>
                <c:pt idx="8">
                  <c:v>4.1577534459711352E-2</c:v>
                </c:pt>
                <c:pt idx="9">
                  <c:v>4.4145380827452611E-2</c:v>
                </c:pt>
                <c:pt idx="10">
                  <c:v>4.6884421869500356E-2</c:v>
                </c:pt>
                <c:pt idx="11">
                  <c:v>4.9808484519835931E-2</c:v>
                </c:pt>
                <c:pt idx="12">
                  <c:v>5.29329581568121E-2</c:v>
                </c:pt>
                <c:pt idx="13">
                  <c:v>5.4575646125158625E-2</c:v>
                </c:pt>
                <c:pt idx="14">
                  <c:v>5.627504495903176E-2</c:v>
                </c:pt>
                <c:pt idx="15">
                  <c:v>5.8033637549030168E-2</c:v>
                </c:pt>
                <c:pt idx="16">
                  <c:v>5.9854061048474141E-2</c:v>
                </c:pt>
                <c:pt idx="17">
                  <c:v>6.1739119935095295E-2</c:v>
                </c:pt>
                <c:pt idx="18">
                  <c:v>6.3691800419819769E-2</c:v>
                </c:pt>
                <c:pt idx="19">
                  <c:v>6.5715286361385045E-2</c:v>
                </c:pt>
                <c:pt idx="20">
                  <c:v>6.7812976866379521E-2</c:v>
                </c:pt>
                <c:pt idx="21">
                  <c:v>6.9988505778225962E-2</c:v>
                </c:pt>
                <c:pt idx="22">
                  <c:v>7.224576328597776E-2</c:v>
                </c:pt>
                <c:pt idx="23">
                  <c:v>7.4588919915219667E-2</c:v>
                </c:pt>
                <c:pt idx="24">
                  <c:v>7.7022453199396865E-2</c:v>
                </c:pt>
                <c:pt idx="25">
                  <c:v>7.9551177371313134E-2</c:v>
                </c:pt>
                <c:pt idx="26">
                  <c:v>8.2180276462117161E-2</c:v>
                </c:pt>
                <c:pt idx="27">
                  <c:v>8.4915341249846565E-2</c:v>
                </c:pt>
                <c:pt idx="28">
                  <c:v>8.7762410562502599E-2</c:v>
                </c:pt>
                <c:pt idx="29">
                  <c:v>9.0728017513009449E-2</c:v>
                </c:pt>
                <c:pt idx="30">
                  <c:v>9.3819241326483394E-2</c:v>
                </c:pt>
                <c:pt idx="31">
                  <c:v>9.7043765515641325E-2</c:v>
                </c:pt>
                <c:pt idx="32">
                  <c:v>0.10040994326933021</c:v>
                </c:pt>
                <c:pt idx="33">
                  <c:v>0.10392687104384585</c:v>
                </c:pt>
                <c:pt idx="34">
                  <c:v>0.10760447148837887</c:v>
                </c:pt>
                <c:pt idx="35">
                  <c:v>0.11145358699609575</c:v>
                </c:pt>
                <c:pt idx="36">
                  <c:v>0.11548608535181254</c:v>
                </c:pt>
                <c:pt idx="37">
                  <c:v>0.11971497914594328</c:v>
                </c:pt>
                <c:pt idx="38">
                  <c:v>0.12415456084090826</c:v>
                </c:pt>
                <c:pt idx="39">
                  <c:v>0.12882055560591382</c:v>
                </c:pt>
                <c:pt idx="40">
                  <c:v>0.13373029427082841</c:v>
                </c:pt>
                <c:pt idx="41">
                  <c:v>0.13890290897407037</c:v>
                </c:pt>
                <c:pt idx="42">
                  <c:v>0.14435955426748406</c:v>
                </c:pt>
                <c:pt idx="43">
                  <c:v>0.1501236565508389</c:v>
                </c:pt>
                <c:pt idx="44">
                  <c:v>0.156221194672787</c:v>
                </c:pt>
                <c:pt idx="45">
                  <c:v>0.16268101424847034</c:v>
                </c:pt>
                <c:pt idx="46">
                  <c:v>0.16953517754277461</c:v>
                </c:pt>
                <c:pt idx="47">
                  <c:v>0.17681934940025509</c:v>
                </c:pt>
                <c:pt idx="48">
                  <c:v>0.18457321728126602</c:v>
                </c:pt>
                <c:pt idx="49">
                  <c:v>0.19284093939918881</c:v>
                </c:pt>
                <c:pt idx="50">
                  <c:v>0.20167160835054379</c:v>
                </c:pt>
                <c:pt idx="51">
                  <c:v>0.21111970713554704</c:v>
                </c:pt>
                <c:pt idx="52">
                  <c:v>0.22124551805064371</c:v>
                </c:pt>
                <c:pt idx="53">
                  <c:v>0.23211541957427045</c:v>
                </c:pt>
                <c:pt idx="54">
                  <c:v>0.24380196762089121</c:v>
                </c:pt>
                <c:pt idx="55">
                  <c:v>0.25638359900410507</c:v>
                </c:pt>
                <c:pt idx="56">
                  <c:v>0.26994370767665621</c:v>
                </c:pt>
                <c:pt idx="57">
                  <c:v>0.28456871641043141</c:v>
                </c:pt>
                <c:pt idx="58">
                  <c:v>0.30034458364366123</c:v>
                </c:pt>
                <c:pt idx="59">
                  <c:v>0.31735093309651696</c:v>
                </c:pt>
                <c:pt idx="60">
                  <c:v>0.33565166668349322</c:v>
                </c:pt>
                <c:pt idx="61">
                  <c:v>0.35528054138177828</c:v>
                </c:pt>
                <c:pt idx="62">
                  <c:v>0.37621984877174863</c:v>
                </c:pt>
                <c:pt idx="63">
                  <c:v>0.39837026543133219</c:v>
                </c:pt>
                <c:pt idx="64">
                  <c:v>0.42151063124159377</c:v>
                </c:pt>
                <c:pt idx="65">
                  <c:v>0.44524871258178916</c:v>
                </c:pt>
                <c:pt idx="66">
                  <c:v>0.46896907470851368</c:v>
                </c:pt>
                <c:pt idx="67">
                  <c:v>0.4917928600979517</c:v>
                </c:pt>
                <c:pt idx="68">
                  <c:v>0.51257532214359824</c:v>
                </c:pt>
                <c:pt idx="69">
                  <c:v>0.52997432478416673</c:v>
                </c:pt>
                <c:pt idx="70">
                  <c:v>0.54261460907639514</c:v>
                </c:pt>
                <c:pt idx="71">
                  <c:v>0.54933701077881825</c:v>
                </c:pt>
                <c:pt idx="72">
                  <c:v>0.54946557841900734</c:v>
                </c:pt>
                <c:pt idx="73">
                  <c:v>0.54298577453688479</c:v>
                </c:pt>
                <c:pt idx="74">
                  <c:v>0.53054853979327876</c:v>
                </c:pt>
                <c:pt idx="75">
                  <c:v>0.51329815366667209</c:v>
                </c:pt>
                <c:pt idx="76">
                  <c:v>0.49260657408030656</c:v>
                </c:pt>
                <c:pt idx="77">
                  <c:v>0.46982164761417067</c:v>
                </c:pt>
                <c:pt idx="78">
                  <c:v>0.44609863986730647</c:v>
                </c:pt>
                <c:pt idx="79">
                  <c:v>0.42232803297766786</c:v>
                </c:pt>
                <c:pt idx="80">
                  <c:v>0.3991356957149913</c:v>
                </c:pt>
                <c:pt idx="81">
                  <c:v>0.37692213882118064</c:v>
                </c:pt>
                <c:pt idx="82">
                  <c:v>0.3559145427100886</c:v>
                </c:pt>
                <c:pt idx="83">
                  <c:v>0.33621631326800039</c:v>
                </c:pt>
                <c:pt idx="84">
                  <c:v>0.31784774776641</c:v>
                </c:pt>
                <c:pt idx="85">
                  <c:v>0.30077660485868263</c:v>
                </c:pt>
                <c:pt idx="86">
                  <c:v>0.28493976601423138</c:v>
                </c:pt>
                <c:pt idx="87">
                  <c:v>0.27025791274749522</c:v>
                </c:pt>
                <c:pt idx="88">
                  <c:v>0.25664509311441969</c:v>
                </c:pt>
                <c:pt idx="89">
                  <c:v>0.24401471400287159</c:v>
                </c:pt>
                <c:pt idx="90">
                  <c:v>0.23228311461584195</c:v>
                </c:pt>
                <c:pt idx="91">
                  <c:v>0.22137154624637562</c:v>
                </c:pt>
                <c:pt idx="92">
                  <c:v>0.21120712799480224</c:v>
                </c:pt>
                <c:pt idx="93">
                  <c:v>0.20172316238181484</c:v>
                </c:pt>
                <c:pt idx="94">
                  <c:v>0.19285906482241133</c:v>
                </c:pt>
                <c:pt idx="95">
                  <c:v>0.18456007216221934</c:v>
                </c:pt>
                <c:pt idx="96">
                  <c:v>0.17677683591156057</c:v>
                </c:pt>
                <c:pt idx="97">
                  <c:v>0.16946496636703265</c:v>
                </c:pt>
                <c:pt idx="98">
                  <c:v>0.16258456798320736</c:v>
                </c:pt>
                <c:pt idx="99">
                  <c:v>0.15609978963259988</c:v>
                </c:pt>
                <c:pt idx="100">
                  <c:v>0.14997840269608478</c:v>
                </c:pt>
                <c:pt idx="101">
                  <c:v>0.14419141319185261</c:v>
                </c:pt>
                <c:pt idx="102">
                  <c:v>0.13871271000219573</c:v>
                </c:pt>
                <c:pt idx="103">
                  <c:v>0.13351874878238229</c:v>
                </c:pt>
                <c:pt idx="104">
                  <c:v>0.12858826973442677</c:v>
                </c:pt>
                <c:pt idx="105">
                  <c:v>0.12390204670675475</c:v>
                </c:pt>
                <c:pt idx="106">
                  <c:v>0.11944266478196021</c:v>
                </c:pt>
                <c:pt idx="107">
                  <c:v>0.11519432347214389</c:v>
                </c:pt>
                <c:pt idx="108">
                  <c:v>0.11114266274745781</c:v>
                </c:pt>
                <c:pt idx="109">
                  <c:v>0.10727460931007042</c:v>
                </c:pt>
                <c:pt idx="110">
                  <c:v>0.10357824074977234</c:v>
                </c:pt>
                <c:pt idx="111">
                  <c:v>0.10004266545274144</c:v>
                </c:pt>
                <c:pt idx="112">
                  <c:v>9.6657916365607929E-2</c:v>
                </c:pt>
                <c:pt idx="113">
                  <c:v>9.341485693454403E-2</c:v>
                </c:pt>
                <c:pt idx="114">
                  <c:v>9.0305097738895973E-2</c:v>
                </c:pt>
                <c:pt idx="115">
                  <c:v>8.732092251946523E-2</c:v>
                </c:pt>
                <c:pt idx="116">
                  <c:v>8.4455222462655896E-2</c:v>
                </c:pt>
                <c:pt idx="117">
                  <c:v>8.170143774435315E-2</c:v>
                </c:pt>
                <c:pt idx="118">
                  <c:v>7.9053505462852641E-2</c:v>
                </c:pt>
                <c:pt idx="119">
                  <c:v>7.650581320009843E-2</c:v>
                </c:pt>
                <c:pt idx="120">
                  <c:v>7.4053157546423873E-2</c:v>
                </c:pt>
                <c:pt idx="121">
                  <c:v>7.1690707007710686E-2</c:v>
                </c:pt>
                <c:pt idx="122">
                  <c:v>6.9413968786620803E-2</c:v>
                </c:pt>
                <c:pt idx="123">
                  <c:v>6.7218758992932851E-2</c:v>
                </c:pt>
                <c:pt idx="124">
                  <c:v>6.51011758930235E-2</c:v>
                </c:pt>
                <c:pt idx="125">
                  <c:v>6.3057575856425185E-2</c:v>
                </c:pt>
                <c:pt idx="126">
                  <c:v>6.1084551698985946E-2</c:v>
                </c:pt>
                <c:pt idx="127">
                  <c:v>5.9178913158400279E-2</c:v>
                </c:pt>
                <c:pt idx="128">
                  <c:v>5.7337669269372997E-2</c:v>
                </c:pt>
                <c:pt idx="129">
                  <c:v>5.555801243317763E-2</c:v>
                </c:pt>
                <c:pt idx="130">
                  <c:v>5.3837304000302837E-2</c:v>
                </c:pt>
                <c:pt idx="131">
                  <c:v>5.2173061205791141E-2</c:v>
                </c:pt>
                <c:pt idx="132">
                  <c:v>5.0562945315143756E-2</c:v>
                </c:pt>
                <c:pt idx="133">
                  <c:v>4.9004750854628236E-2</c:v>
                </c:pt>
                <c:pt idx="134">
                  <c:v>4.7496395813815158E-2</c:v>
                </c:pt>
                <c:pt idx="135">
                  <c:v>4.6035912720413484E-2</c:v>
                </c:pt>
                <c:pt idx="136">
                  <c:v>4.4621440498238463E-2</c:v>
                </c:pt>
                <c:pt idx="137">
                  <c:v>4.3251217028569933E-2</c:v>
                </c:pt>
                <c:pt idx="138">
                  <c:v>4.1923572343485954E-2</c:v>
                </c:pt>
                <c:pt idx="139">
                  <c:v>4.0636922387054054E-2</c:v>
                </c:pt>
                <c:pt idx="140">
                  <c:v>3.9389763286741486E-2</c:v>
                </c:pt>
                <c:pt idx="141">
                  <c:v>3.8180666083106399E-2</c:v>
                </c:pt>
                <c:pt idx="142">
                  <c:v>3.7008271870909201E-2</c:v>
                </c:pt>
                <c:pt idx="143">
                  <c:v>3.5871287309308005E-2</c:v>
                </c:pt>
                <c:pt idx="144">
                  <c:v>3.4768480462837592E-2</c:v>
                </c:pt>
                <c:pt idx="145">
                  <c:v>3.3698676938525671E-2</c:v>
                </c:pt>
                <c:pt idx="146">
                  <c:v>3.2660756287808027E-2</c:v>
                </c:pt>
                <c:pt idx="147">
                  <c:v>3.1653648644945055E-2</c:v>
                </c:pt>
                <c:pt idx="148">
                  <c:v>3.1207734590575756E-2</c:v>
                </c:pt>
                <c:pt idx="149">
                  <c:v>2.8699263157529388E-2</c:v>
                </c:pt>
                <c:pt idx="150">
                  <c:v>2.6382031126208537E-2</c:v>
                </c:pt>
                <c:pt idx="151">
                  <c:v>2.4240300895597016E-2</c:v>
                </c:pt>
                <c:pt idx="152">
                  <c:v>2.225986425625592E-2</c:v>
                </c:pt>
                <c:pt idx="153">
                  <c:v>2.042777065630141E-2</c:v>
                </c:pt>
                <c:pt idx="154">
                  <c:v>1.8732092303480153E-2</c:v>
                </c:pt>
                <c:pt idx="155">
                  <c:v>1.7161733206144031E-2</c:v>
                </c:pt>
                <c:pt idx="156">
                  <c:v>1.5706296290435594E-2</c:v>
                </c:pt>
                <c:pt idx="157">
                  <c:v>1.4356026978517691E-2</c:v>
                </c:pt>
                <c:pt idx="158">
                  <c:v>1.3101849089334119E-2</c:v>
                </c:pt>
                <c:pt idx="159">
                  <c:v>1.193549468296959E-2</c:v>
                </c:pt>
                <c:pt idx="160">
                  <c:v>1.0849700600882051E-2</c:v>
                </c:pt>
                <c:pt idx="161">
                  <c:v>9.838405966504267E-3</c:v>
                </c:pt>
                <c:pt idx="162">
                  <c:v>8.8968556051154946E-3</c:v>
                </c:pt>
                <c:pt idx="163">
                  <c:v>8.0215238125686938E-3</c:v>
                </c:pt>
                <c:pt idx="164">
                  <c:v>7.2962217579617909E-3</c:v>
                </c:pt>
                <c:pt idx="165">
                  <c:v>6.1837251824225876E-3</c:v>
                </c:pt>
                <c:pt idx="166">
                  <c:v>5.2041766577950246E-3</c:v>
                </c:pt>
                <c:pt idx="167">
                  <c:v>4.350583651207769E-3</c:v>
                </c:pt>
                <c:pt idx="168">
                  <c:v>3.6140193100832911E-3</c:v>
                </c:pt>
                <c:pt idx="169">
                  <c:v>2.9837193219463421E-3</c:v>
                </c:pt>
                <c:pt idx="170">
                  <c:v>2.4488182611212459E-3</c:v>
                </c:pt>
                <c:pt idx="171">
                  <c:v>1.9991983166234291E-3</c:v>
                </c:pt>
                <c:pt idx="172">
                  <c:v>1.6247089550210701E-3</c:v>
                </c:pt>
                <c:pt idx="173">
                  <c:v>1.3149965997647814E-3</c:v>
                </c:pt>
                <c:pt idx="174">
                  <c:v>1.0606062213191908E-3</c:v>
                </c:pt>
                <c:pt idx="175">
                  <c:v>8.5294086477515237E-4</c:v>
                </c:pt>
                <c:pt idx="176">
                  <c:v>6.8423522731272393E-4</c:v>
                </c:pt>
                <c:pt idx="177">
                  <c:v>5.4778772427618199E-4</c:v>
                </c:pt>
                <c:pt idx="178">
                  <c:v>4.378152340428871E-4</c:v>
                </c:pt>
                <c:pt idx="179">
                  <c:v>3.2369114574739958E-4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8E-44E0-9048-63B94D728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7256"/>
        <c:axId val="630017648"/>
      </c:scatterChart>
      <c:valAx>
        <c:axId val="630017256"/>
        <c:scaling>
          <c:logBase val="10"/>
          <c:orientation val="minMax"/>
          <c:max val="10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 [Hz]</a:t>
                </a:r>
              </a:p>
            </c:rich>
          </c:tx>
          <c:layout>
            <c:manualLayout>
              <c:xMode val="edge"/>
              <c:yMode val="edge"/>
              <c:x val="0.92915905034056878"/>
              <c:y val="0.828285096779647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630017648"/>
        <c:crosses val="autoZero"/>
        <c:crossBetween val="midCat"/>
      </c:valAx>
      <c:valAx>
        <c:axId val="630017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Xmax [mm]</a:t>
                </a:r>
              </a:p>
              <a:p>
                <a:pPr>
                  <a:defRPr/>
                </a:pPr>
                <a:r>
                  <a:rPr lang="en-US"/>
                  <a:t>V [m/s]</a:t>
                </a:r>
              </a:p>
            </c:rich>
          </c:tx>
          <c:layout>
            <c:manualLayout>
              <c:xMode val="edge"/>
              <c:yMode val="edge"/>
              <c:x val="6.1652412449048231E-3"/>
              <c:y val="0.18152220852128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ja-JP"/>
          </a:p>
        </c:txPr>
        <c:crossAx val="630017256"/>
        <c:crosses val="autoZero"/>
        <c:crossBetween val="midCat"/>
      </c:valAx>
      <c:spPr>
        <a:noFill/>
        <a:ln w="254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431260477041618"/>
          <c:y val="2.0016550677423903E-2"/>
          <c:w val="0.11421497834695074"/>
          <c:h val="0.768984257035276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25400">
      <a:solidFill>
        <a:srgbClr val="00FF00"/>
      </a:solidFill>
      <a:prstDash val="solid"/>
      <a:miter lim="800000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Times New Roman" panose="02020603050405020304" pitchFamily="18" charset="0"/>
          <a:ea typeface="Arial"/>
          <a:cs typeface="Times New Roman" panose="02020603050405020304" pitchFamily="18" charset="0"/>
        </a:defRPr>
      </a:pPr>
      <a:endParaRPr lang="ja-JP"/>
    </a:p>
  </c:txPr>
  <c:printSettings>
    <c:headerFooter alignWithMargins="0">
      <c:oddHeader>&amp;A</c:oddHeader>
      <c:oddFooter>- &amp;P -</c:oddFooter>
    </c:headerFooter>
    <c:pageMargins b="1" l="0.75" r="0.7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SPL &amp; IMP.</a:t>
            </a:r>
          </a:p>
        </c:rich>
      </c:tx>
      <c:layout>
        <c:manualLayout>
          <c:xMode val="edge"/>
          <c:yMode val="edge"/>
          <c:x val="0.25090567365378141"/>
          <c:y val="3.22193199629768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33348295207901E-2"/>
          <c:y val="0.14699206907127454"/>
          <c:w val="0.78666615977230747"/>
          <c:h val="0.74006263190244215"/>
        </c:manualLayout>
      </c:layout>
      <c:scatterChart>
        <c:scatterStyle val="lineMarker"/>
        <c:varyColors val="0"/>
        <c:ser>
          <c:idx val="0"/>
          <c:order val="0"/>
          <c:tx>
            <c:strRef>
              <c:f>FRES!$AG$4</c:f>
              <c:strCache>
                <c:ptCount val="1"/>
                <c:pt idx="0">
                  <c:v>SPL1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FRES!$AG$5:$AG$184</c:f>
              <c:numCache>
                <c:formatCode>General</c:formatCode>
                <c:ptCount val="180"/>
                <c:pt idx="0">
                  <c:v>57.869234030299083</c:v>
                </c:pt>
                <c:pt idx="1">
                  <c:v>58.888626676431542</c:v>
                </c:pt>
                <c:pt idx="2">
                  <c:v>59.909877410983448</c:v>
                </c:pt>
                <c:pt idx="3">
                  <c:v>60.933186871760668</c:v>
                </c:pt>
                <c:pt idx="4">
                  <c:v>61.958772486293334</c:v>
                </c:pt>
                <c:pt idx="5">
                  <c:v>62.986868173454269</c:v>
                </c:pt>
                <c:pt idx="6">
                  <c:v>64.017723256171976</c:v>
                </c:pt>
                <c:pt idx="7">
                  <c:v>65.051600233922215</c:v>
                </c:pt>
                <c:pt idx="8">
                  <c:v>66.088770929941518</c:v>
                </c:pt>
                <c:pt idx="9">
                  <c:v>67.129510344760718</c:v>
                </c:pt>
                <c:pt idx="10">
                  <c:v>68.174087296733958</c:v>
                </c:pt>
                <c:pt idx="11">
                  <c:v>69.222750588005837</c:v>
                </c:pt>
                <c:pt idx="12">
                  <c:v>70.275708970293493</c:v>
                </c:pt>
                <c:pt idx="13">
                  <c:v>70.803846293481456</c:v>
                </c:pt>
                <c:pt idx="14">
                  <c:v>71.333102561616428</c:v>
                </c:pt>
                <c:pt idx="15">
                  <c:v>71.863477966497811</c:v>
                </c:pt>
                <c:pt idx="16">
                  <c:v>72.39496254091344</c:v>
                </c:pt>
                <c:pt idx="17">
                  <c:v>72.927533947538777</c:v>
                </c:pt>
                <c:pt idx="18">
                  <c:v>73.461154884287609</c:v>
                </c:pt>
                <c:pt idx="19">
                  <c:v>73.995770047784248</c:v>
                </c:pt>
                <c:pt idx="20">
                  <c:v>74.531302590284866</c:v>
                </c:pt>
                <c:pt idx="21">
                  <c:v>75.067649999483564</c:v>
                </c:pt>
                <c:pt idx="22">
                  <c:v>75.604679325844927</c:v>
                </c:pt>
                <c:pt idx="23">
                  <c:v>76.142221679387404</c:v>
                </c:pt>
                <c:pt idx="24">
                  <c:v>76.6800659185607</c:v>
                </c:pt>
                <c:pt idx="25">
                  <c:v>77.217951459932351</c:v>
                </c:pt>
                <c:pt idx="26">
                  <c:v>77.755560151381985</c:v>
                </c:pt>
                <c:pt idx="27">
                  <c:v>78.292507176760921</c:v>
                </c:pt>
                <c:pt idx="28">
                  <c:v>78.828331000784374</c:v>
                </c:pt>
                <c:pt idx="29">
                  <c:v>79.362482424470045</c:v>
                </c:pt>
                <c:pt idx="30">
                  <c:v>79.894312909703032</c:v>
                </c:pt>
                <c:pt idx="31">
                  <c:v>80.423062452835396</c:v>
                </c:pt>
                <c:pt idx="32">
                  <c:v>80.947847447430092</c:v>
                </c:pt>
                <c:pt idx="33">
                  <c:v>81.467649179070264</c:v>
                </c:pt>
                <c:pt idx="34">
                  <c:v>81.981303839790513</c:v>
                </c:pt>
                <c:pt idx="35">
                  <c:v>82.48749522741592</c:v>
                </c:pt>
                <c:pt idx="36">
                  <c:v>82.984751584866672</c:v>
                </c:pt>
                <c:pt idx="37">
                  <c:v>83.471448298304296</c:v>
                </c:pt>
                <c:pt idx="38">
                  <c:v>83.945818352222972</c:v>
                </c:pt>
                <c:pt idx="39">
                  <c:v>84.405972454711844</c:v>
                </c:pt>
                <c:pt idx="40">
                  <c:v>84.849930502982801</c:v>
                </c:pt>
                <c:pt idx="41">
                  <c:v>85.275665465433661</c:v>
                </c:pt>
                <c:pt idx="42">
                  <c:v>85.681159749430435</c:v>
                </c:pt>
                <c:pt idx="43">
                  <c:v>86.064472708700833</c:v>
                </c:pt>
                <c:pt idx="44">
                  <c:v>86.423816231523901</c:v>
                </c:pt>
                <c:pt idx="45">
                  <c:v>86.757633579011198</c:v>
                </c:pt>
                <c:pt idx="46">
                  <c:v>87.064675162309882</c:v>
                </c:pt>
                <c:pt idx="47">
                  <c:v>87.344064155660533</c:v>
                </c:pt>
                <c:pt idx="48">
                  <c:v>87.595345070745509</c:v>
                </c:pt>
                <c:pt idx="49">
                  <c:v>87.818509807396211</c:v>
                </c:pt>
                <c:pt idx="50">
                  <c:v>88.013998108296519</c:v>
                </c:pt>
                <c:pt idx="51">
                  <c:v>88.182672363179151</c:v>
                </c:pt>
                <c:pt idx="52">
                  <c:v>88.325769736799472</c:v>
                </c:pt>
                <c:pt idx="53">
                  <c:v>88.444837037081953</c:v>
                </c:pt>
                <c:pt idx="54">
                  <c:v>88.541655169161487</c:v>
                </c:pt>
                <c:pt idx="55">
                  <c:v>88.618160289075547</c:v>
                </c:pt>
                <c:pt idx="56">
                  <c:v>88.676368009691345</c:v>
                </c:pt>
                <c:pt idx="57">
                  <c:v>88.71830554831989</c:v>
                </c:pt>
                <c:pt idx="58">
                  <c:v>88.745954937314465</c:v>
                </c:pt>
                <c:pt idx="59">
                  <c:v>88.761208699428451</c:v>
                </c:pt>
                <c:pt idx="60">
                  <c:v>88.76583796148681</c:v>
                </c:pt>
                <c:pt idx="61">
                  <c:v>88.761471958019598</c:v>
                </c:pt>
                <c:pt idx="62">
                  <c:v>88.749587269060655</c:v>
                </c:pt>
                <c:pt idx="63">
                  <c:v>88.731504882442522</c:v>
                </c:pt>
                <c:pt idx="64">
                  <c:v>88.708393178674285</c:v>
                </c:pt>
                <c:pt idx="65">
                  <c:v>88.681275111452322</c:v>
                </c:pt>
                <c:pt idx="66">
                  <c:v>88.651038118834663</c:v>
                </c:pt>
                <c:pt idx="67">
                  <c:v>88.618445589727656</c:v>
                </c:pt>
                <c:pt idx="68">
                  <c:v>88.584148988922635</c:v>
                </c:pt>
                <c:pt idx="69">
                  <c:v>88.548699989912492</c:v>
                </c:pt>
                <c:pt idx="70">
                  <c:v>88.512562169034425</c:v>
                </c:pt>
                <c:pt idx="71">
                  <c:v>88.476121976125512</c:v>
                </c:pt>
                <c:pt idx="72">
                  <c:v>88.43969881947163</c:v>
                </c:pt>
                <c:pt idx="73">
                  <c:v>88.403554192136511</c:v>
                </c:pt>
                <c:pt idx="74">
                  <c:v>88.367899829136434</c:v>
                </c:pt>
                <c:pt idx="75">
                  <c:v>88.332904926359262</c:v>
                </c:pt>
                <c:pt idx="76">
                  <c:v>88.298702477854647</c:v>
                </c:pt>
                <c:pt idx="77">
                  <c:v>88.265394802434528</c:v>
                </c:pt>
                <c:pt idx="78">
                  <c:v>88.233058336822992</c:v>
                </c:pt>
                <c:pt idx="79">
                  <c:v>88.201747773464504</c:v>
                </c:pt>
                <c:pt idx="80">
                  <c:v>88.171499618475849</c:v>
                </c:pt>
                <c:pt idx="81">
                  <c:v>88.142335240487569</c:v>
                </c:pt>
                <c:pt idx="82">
                  <c:v>88.114263475252713</c:v>
                </c:pt>
                <c:pt idx="83">
                  <c:v>88.087282844566886</c:v>
                </c:pt>
                <c:pt idx="84">
                  <c:v>88.061383441687283</c:v>
                </c:pt>
                <c:pt idx="85">
                  <c:v>88.036548529332137</c:v>
                </c:pt>
                <c:pt idx="86">
                  <c:v>88.012755890651221</c:v>
                </c:pt>
                <c:pt idx="87">
                  <c:v>87.989978968365094</c:v>
                </c:pt>
                <c:pt idx="88">
                  <c:v>87.968187822596761</c:v>
                </c:pt>
                <c:pt idx="89">
                  <c:v>87.947349933775669</c:v>
                </c:pt>
                <c:pt idx="90">
                  <c:v>87.927430873337769</c:v>
                </c:pt>
                <c:pt idx="91">
                  <c:v>87.908394861754743</c:v>
                </c:pt>
                <c:pt idx="92">
                  <c:v>87.890205230645918</c:v>
                </c:pt>
                <c:pt idx="93">
                  <c:v>87.872824803324846</c:v>
                </c:pt>
                <c:pt idx="94">
                  <c:v>87.856216206057169</c:v>
                </c:pt>
                <c:pt idx="95">
                  <c:v>87.840342120522081</c:v>
                </c:pt>
                <c:pt idx="96">
                  <c:v>87.825165486437754</c:v>
                </c:pt>
                <c:pt idx="97">
                  <c:v>87.810649661997857</c:v>
                </c:pt>
                <c:pt idx="98">
                  <c:v>87.796758548643155</c:v>
                </c:pt>
                <c:pt idx="99">
                  <c:v>87.783456685730727</c:v>
                </c:pt>
                <c:pt idx="100">
                  <c:v>87.770709319840918</c:v>
                </c:pt>
                <c:pt idx="101">
                  <c:v>87.758482452766003</c:v>
                </c:pt>
                <c:pt idx="102">
                  <c:v>87.746742871621308</c:v>
                </c:pt>
                <c:pt idx="103">
                  <c:v>87.735458164013437</c:v>
                </c:pt>
                <c:pt idx="104">
                  <c:v>87.724596720765859</c:v>
                </c:pt>
                <c:pt idx="105">
                  <c:v>87.714127728328734</c:v>
                </c:pt>
                <c:pt idx="106">
                  <c:v>87.704021152690501</c:v>
                </c:pt>
                <c:pt idx="107">
                  <c:v>87.694247716335411</c:v>
                </c:pt>
                <c:pt idx="108">
                  <c:v>87.684778869567253</c:v>
                </c:pt>
                <c:pt idx="109">
                  <c:v>87.675586757326442</c:v>
                </c:pt>
                <c:pt idx="110">
                  <c:v>87.666644182460601</c:v>
                </c:pt>
                <c:pt idx="111">
                  <c:v>87.657924566276421</c:v>
                </c:pt>
                <c:pt idx="112">
                  <c:v>87.649401907077703</c:v>
                </c:pt>
                <c:pt idx="113">
                  <c:v>87.641050737302322</c:v>
                </c:pt>
                <c:pt idx="114">
                  <c:v>87.632846079784116</c:v>
                </c:pt>
                <c:pt idx="115">
                  <c:v>87.624763403601406</c:v>
                </c:pt>
                <c:pt idx="116">
                  <c:v>87.61677857991458</c:v>
                </c:pt>
                <c:pt idx="117">
                  <c:v>87.60886783814891</c:v>
                </c:pt>
                <c:pt idx="118">
                  <c:v>87.60100772284396</c:v>
                </c:pt>
                <c:pt idx="119">
                  <c:v>87.593175051454736</c:v>
                </c:pt>
                <c:pt idx="120">
                  <c:v>87.585346873369488</c:v>
                </c:pt>
                <c:pt idx="121">
                  <c:v>87.577500430387829</c:v>
                </c:pt>
                <c:pt idx="122">
                  <c:v>87.56961311888503</c:v>
                </c:pt>
                <c:pt idx="123">
                  <c:v>87.561662453878384</c:v>
                </c:pt>
                <c:pt idx="124">
                  <c:v>87.553626035197837</c:v>
                </c:pt>
                <c:pt idx="125">
                  <c:v>87.545481515953554</c:v>
                </c:pt>
                <c:pt idx="126">
                  <c:v>87.537206573483743</c:v>
                </c:pt>
                <c:pt idx="127">
                  <c:v>87.528778882954043</c:v>
                </c:pt>
                <c:pt idx="128">
                  <c:v>87.520176093765954</c:v>
                </c:pt>
                <c:pt idx="129">
                  <c:v>87.511375808916156</c:v>
                </c:pt>
                <c:pt idx="130">
                  <c:v>87.50235556742652</c:v>
                </c:pt>
                <c:pt idx="131">
                  <c:v>87.493092829937581</c:v>
                </c:pt>
                <c:pt idx="132">
                  <c:v>87.483564967522938</c:v>
                </c:pt>
                <c:pt idx="133">
                  <c:v>87.473749253739456</c:v>
                </c:pt>
                <c:pt idx="134">
                  <c:v>87.463622859871762</c:v>
                </c:pt>
                <c:pt idx="135">
                  <c:v>87.45316285326426</c:v>
                </c:pt>
                <c:pt idx="136">
                  <c:v>87.442346198549856</c:v>
                </c:pt>
                <c:pt idx="137">
                  <c:v>87.431149761487973</c:v>
                </c:pt>
                <c:pt idx="138">
                  <c:v>87.419550315007712</c:v>
                </c:pt>
                <c:pt idx="139">
                  <c:v>87.407524546913208</c:v>
                </c:pt>
                <c:pt idx="140">
                  <c:v>87.395049068551231</c:v>
                </c:pt>
                <c:pt idx="141">
                  <c:v>87.382100423557347</c:v>
                </c:pt>
                <c:pt idx="142">
                  <c:v>87.368655095589816</c:v>
                </c:pt>
                <c:pt idx="143">
                  <c:v>87.35468951372934</c:v>
                </c:pt>
                <c:pt idx="144">
                  <c:v>87.340180053965057</c:v>
                </c:pt>
                <c:pt idx="145">
                  <c:v>87.325103034908551</c:v>
                </c:pt>
                <c:pt idx="146">
                  <c:v>87.30943470557817</c:v>
                </c:pt>
                <c:pt idx="147">
                  <c:v>87.293151222780892</c:v>
                </c:pt>
                <c:pt idx="148">
                  <c:v>87.285573535921529</c:v>
                </c:pt>
                <c:pt idx="149">
                  <c:v>87.238143642082363</c:v>
                </c:pt>
                <c:pt idx="150">
                  <c:v>87.185624616909394</c:v>
                </c:pt>
                <c:pt idx="151">
                  <c:v>87.127524264468065</c:v>
                </c:pt>
                <c:pt idx="152">
                  <c:v>87.063298113637288</c:v>
                </c:pt>
                <c:pt idx="153">
                  <c:v>86.992308362860626</c:v>
                </c:pt>
                <c:pt idx="154">
                  <c:v>86.913765672961532</c:v>
                </c:pt>
                <c:pt idx="155">
                  <c:v>86.826655260551121</c:v>
                </c:pt>
                <c:pt idx="156">
                  <c:v>86.72965517960391</c:v>
                </c:pt>
                <c:pt idx="157">
                  <c:v>86.621063980531147</c:v>
                </c:pt>
                <c:pt idx="158">
                  <c:v>86.498765281341917</c:v>
                </c:pt>
                <c:pt idx="159">
                  <c:v>86.360263283865081</c:v>
                </c:pt>
                <c:pt idx="160">
                  <c:v>86.202817797688283</c:v>
                </c:pt>
                <c:pt idx="161">
                  <c:v>86.023681817845059</c:v>
                </c:pt>
                <c:pt idx="162">
                  <c:v>85.820399722790512</c:v>
                </c:pt>
                <c:pt idx="163">
                  <c:v>85.591079569470082</c:v>
                </c:pt>
                <c:pt idx="164">
                  <c:v>85.364167386315458</c:v>
                </c:pt>
                <c:pt idx="165">
                  <c:v>84.932084546343731</c:v>
                </c:pt>
                <c:pt idx="166">
                  <c:v>84.438703555105917</c:v>
                </c:pt>
                <c:pt idx="167">
                  <c:v>83.886959257788831</c:v>
                </c:pt>
                <c:pt idx="168">
                  <c:v>83.279975136199496</c:v>
                </c:pt>
                <c:pt idx="169">
                  <c:v>82.61933302036303</c:v>
                </c:pt>
                <c:pt idx="170">
                  <c:v>81.907195038923561</c:v>
                </c:pt>
                <c:pt idx="171">
                  <c:v>81.148977755958299</c:v>
                </c:pt>
                <c:pt idx="172">
                  <c:v>80.3510929066546</c:v>
                </c:pt>
                <c:pt idx="173">
                  <c:v>79.51773591801026</c:v>
                </c:pt>
                <c:pt idx="174">
                  <c:v>78.653941504392463</c:v>
                </c:pt>
                <c:pt idx="175">
                  <c:v>77.764813842977247</c:v>
                </c:pt>
                <c:pt idx="176">
                  <c:v>76.85409160901122</c:v>
                </c:pt>
                <c:pt idx="177">
                  <c:v>75.925752946587394</c:v>
                </c:pt>
                <c:pt idx="178">
                  <c:v>74.982829719700632</c:v>
                </c:pt>
                <c:pt idx="179">
                  <c:v>73.702657506566126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4E-46BD-8160-131E40E2965B}"/>
            </c:ext>
          </c:extLst>
        </c:ser>
        <c:ser>
          <c:idx val="1"/>
          <c:order val="1"/>
          <c:tx>
            <c:strRef>
              <c:f>FRES!$AH$4</c:f>
              <c:strCache>
                <c:ptCount val="1"/>
                <c:pt idx="0">
                  <c:v>SPL2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FRES!$AH$5:$AH$184</c:f>
              <c:numCache>
                <c:formatCode>General</c:formatCode>
                <c:ptCount val="180"/>
                <c:pt idx="0">
                  <c:v>51.815537179952216</c:v>
                </c:pt>
                <c:pt idx="1">
                  <c:v>52.831600264545678</c:v>
                </c:pt>
                <c:pt idx="2">
                  <c:v>53.849212687573456</c:v>
                </c:pt>
                <c:pt idx="3">
                  <c:v>54.868564729884646</c:v>
                </c:pt>
                <c:pt idx="4">
                  <c:v>55.889870052403452</c:v>
                </c:pt>
                <c:pt idx="5">
                  <c:v>56.913368551641071</c:v>
                </c:pt>
                <c:pt idx="6">
                  <c:v>57.939329550494875</c:v>
                </c:pt>
                <c:pt idx="7">
                  <c:v>58.968055355981249</c:v>
                </c:pt>
                <c:pt idx="8">
                  <c:v>59.999885214313416</c:v>
                </c:pt>
                <c:pt idx="9">
                  <c:v>61.035199689707085</c:v>
                </c:pt>
                <c:pt idx="10">
                  <c:v>62.074425484783745</c:v>
                </c:pt>
                <c:pt idx="11">
                  <c:v>63.118040704832048</c:v>
                </c:pt>
                <c:pt idx="12">
                  <c:v>64.166580541443267</c:v>
                </c:pt>
                <c:pt idx="13">
                  <c:v>64.692881527661314</c:v>
                </c:pt>
                <c:pt idx="14">
                  <c:v>65.220643306922199</c:v>
                </c:pt>
                <c:pt idx="15">
                  <c:v>65.749951556395999</c:v>
                </c:pt>
                <c:pt idx="16">
                  <c:v>66.280896679723497</c:v>
                </c:pt>
                <c:pt idx="17">
                  <c:v>66.813573994411684</c:v>
                </c:pt>
                <c:pt idx="18">
                  <c:v>67.348083907928441</c:v>
                </c:pt>
                <c:pt idx="19">
                  <c:v>67.884532076499809</c:v>
                </c:pt>
                <c:pt idx="20">
                  <c:v>68.4230295389698</c:v>
                </c:pt>
                <c:pt idx="21">
                  <c:v>68.963692816028413</c:v>
                </c:pt>
                <c:pt idx="22">
                  <c:v>69.50664396253822</c:v>
                </c:pt>
                <c:pt idx="23">
                  <c:v>70.052010557460264</c:v>
                </c:pt>
                <c:pt idx="24">
                  <c:v>70.599925611830429</c:v>
                </c:pt>
                <c:pt idx="25">
                  <c:v>71.150527370160418</c:v>
                </c:pt>
                <c:pt idx="26">
                  <c:v>71.70395897426117</c:v>
                </c:pt>
                <c:pt idx="27">
                  <c:v>72.260367950490632</c:v>
                </c:pt>
                <c:pt idx="28">
                  <c:v>72.819905471387841</c:v>
                </c:pt>
                <c:pt idx="29">
                  <c:v>73.382725330065355</c:v>
                </c:pt>
                <c:pt idx="30">
                  <c:v>73.948982549944276</c:v>
                </c:pt>
                <c:pt idx="31">
                  <c:v>74.518831532650694</c:v>
                </c:pt>
                <c:pt idx="32">
                  <c:v>75.092423622196065</c:v>
                </c:pt>
                <c:pt idx="33">
                  <c:v>75.669903932788216</c:v>
                </c:pt>
                <c:pt idx="34">
                  <c:v>76.251407249446444</c:v>
                </c:pt>
                <c:pt idx="35">
                  <c:v>76.837052763509391</c:v>
                </c:pt>
                <c:pt idx="36">
                  <c:v>77.426937347549355</c:v>
                </c:pt>
                <c:pt idx="37">
                  <c:v>78.021127004621874</c:v>
                </c:pt>
                <c:pt idx="38">
                  <c:v>78.619646044079289</c:v>
                </c:pt>
                <c:pt idx="39">
                  <c:v>79.222463440258167</c:v>
                </c:pt>
                <c:pt idx="40">
                  <c:v>79.829475723116943</c:v>
                </c:pt>
                <c:pt idx="41">
                  <c:v>80.440485636940963</c:v>
                </c:pt>
                <c:pt idx="42">
                  <c:v>81.055175696455009</c:v>
                </c:pt>
                <c:pt idx="43">
                  <c:v>81.673075691306451</c:v>
                </c:pt>
                <c:pt idx="44">
                  <c:v>82.293523178244797</c:v>
                </c:pt>
                <c:pt idx="45">
                  <c:v>82.915616117685559</c:v>
                </c:pt>
                <c:pt idx="46">
                  <c:v>83.538157153347242</c:v>
                </c:pt>
                <c:pt idx="47">
                  <c:v>84.159589738473116</c:v>
                </c:pt>
                <c:pt idx="48">
                  <c:v>84.77792756428488</c:v>
                </c:pt>
                <c:pt idx="49">
                  <c:v>85.390680764313288</c:v>
                </c:pt>
                <c:pt idx="50">
                  <c:v>85.99478535775259</c:v>
                </c:pt>
                <c:pt idx="51">
                  <c:v>86.58654644000093</c:v>
                </c:pt>
                <c:pt idx="52">
                  <c:v>87.161610493498927</c:v>
                </c:pt>
                <c:pt idx="53">
                  <c:v>87.714987032814406</c:v>
                </c:pt>
                <c:pt idx="54">
                  <c:v>88.241142859444807</c:v>
                </c:pt>
                <c:pt idx="55">
                  <c:v>88.734190727782561</c:v>
                </c:pt>
                <c:pt idx="56">
                  <c:v>89.188184976303972</c:v>
                </c:pt>
                <c:pt idx="57">
                  <c:v>89.597517462650259</c:v>
                </c:pt>
                <c:pt idx="58">
                  <c:v>89.957379241846311</c:v>
                </c:pt>
                <c:pt idx="59">
                  <c:v>90.264223738126489</c:v>
                </c:pt>
                <c:pt idx="60">
                  <c:v>90.516147706328155</c:v>
                </c:pt>
                <c:pt idx="61">
                  <c:v>90.713109331965455</c:v>
                </c:pt>
                <c:pt idx="62">
                  <c:v>90.856933076473723</c:v>
                </c:pt>
                <c:pt idx="63">
                  <c:v>90.951100114973812</c:v>
                </c:pt>
                <c:pt idx="64">
                  <c:v>91.000372904329808</c:v>
                </c:pt>
                <c:pt idx="65">
                  <c:v>91.010333771215898</c:v>
                </c:pt>
                <c:pt idx="66">
                  <c:v>90.986921632166087</c:v>
                </c:pt>
                <c:pt idx="67">
                  <c:v>90.936032252856961</c:v>
                </c:pt>
                <c:pt idx="68">
                  <c:v>90.863217934414735</c:v>
                </c:pt>
                <c:pt idx="69">
                  <c:v>90.773494349292662</c:v>
                </c:pt>
                <c:pt idx="70">
                  <c:v>90.67124259435964</c:v>
                </c:pt>
                <c:pt idx="71">
                  <c:v>90.560184877716807</c:v>
                </c:pt>
                <c:pt idx="72">
                  <c:v>90.443410510394244</c:v>
                </c:pt>
                <c:pt idx="73">
                  <c:v>90.323431802166766</c:v>
                </c:pt>
                <c:pt idx="74">
                  <c:v>90.202254268149147</c:v>
                </c:pt>
                <c:pt idx="75">
                  <c:v>90.081450439911137</c:v>
                </c:pt>
                <c:pt idx="76">
                  <c:v>89.962230663710315</c:v>
                </c:pt>
                <c:pt idx="77">
                  <c:v>89.845507303589045</c:v>
                </c:pt>
                <c:pt idx="78">
                  <c:v>89.731950823451839</c:v>
                </c:pt>
                <c:pt idx="79">
                  <c:v>89.622037503007604</c:v>
                </c:pt>
                <c:pt idx="80">
                  <c:v>89.516089266935452</c:v>
                </c:pt>
                <c:pt idx="81">
                  <c:v>89.414306461206593</c:v>
                </c:pt>
                <c:pt idx="82">
                  <c:v>89.316794535365148</c:v>
                </c:pt>
                <c:pt idx="83">
                  <c:v>89.223585582039661</c:v>
                </c:pt>
                <c:pt idx="84">
                  <c:v>89.134655608549096</c:v>
                </c:pt>
                <c:pt idx="85">
                  <c:v>89.049938309364833</c:v>
                </c:pt>
                <c:pt idx="86">
                  <c:v>88.969335995195536</c:v>
                </c:pt>
                <c:pt idx="87">
                  <c:v>88.892728226831906</c:v>
                </c:pt>
                <c:pt idx="88">
                  <c:v>88.81997860541162</c:v>
                </c:pt>
                <c:pt idx="89">
                  <c:v>88.750940087486399</c:v>
                </c:pt>
                <c:pt idx="90">
                  <c:v>88.685459123135104</c:v>
                </c:pt>
                <c:pt idx="91">
                  <c:v>88.623378857298846</c:v>
                </c:pt>
                <c:pt idx="92">
                  <c:v>88.564541587006886</c:v>
                </c:pt>
                <c:pt idx="93">
                  <c:v>88.508790628634998</c:v>
                </c:pt>
                <c:pt idx="94">
                  <c:v>88.455971718267406</c:v>
                </c:pt>
                <c:pt idx="95">
                  <c:v>88.405934043302892</c:v>
                </c:pt>
                <c:pt idx="96">
                  <c:v>88.358530983482012</c:v>
                </c:pt>
                <c:pt idx="97">
                  <c:v>88.313620623576014</c:v>
                </c:pt>
                <c:pt idx="98">
                  <c:v>88.271066087260891</c:v>
                </c:pt>
                <c:pt idx="99">
                  <c:v>88.230735731563186</c:v>
                </c:pt>
                <c:pt idx="100">
                  <c:v>88.192503233190095</c:v>
                </c:pt>
                <c:pt idx="101">
                  <c:v>88.156247591621479</c:v>
                </c:pt>
                <c:pt idx="102">
                  <c:v>88.121853068712923</c:v>
                </c:pt>
                <c:pt idx="103">
                  <c:v>88.089209080472898</c:v>
                </c:pt>
                <c:pt idx="104">
                  <c:v>88.058210053422073</c:v>
                </c:pt>
                <c:pt idx="105">
                  <c:v>88.028755255340059</c:v>
                </c:pt>
                <c:pt idx="106">
                  <c:v>88.00074860813838</c:v>
                </c:pt>
                <c:pt idx="107">
                  <c:v>87.974098488943127</c:v>
                </c:pt>
                <c:pt idx="108">
                  <c:v>87.948717524155796</c:v>
                </c:pt>
                <c:pt idx="109">
                  <c:v>87.92452238020951</c:v>
                </c:pt>
                <c:pt idx="110">
                  <c:v>87.901433553903487</c:v>
                </c:pt>
                <c:pt idx="111">
                  <c:v>87.87937516453475</c:v>
                </c:pt>
                <c:pt idx="112">
                  <c:v>87.858274749516454</c:v>
                </c:pt>
                <c:pt idx="113">
                  <c:v>87.83806306475924</c:v>
                </c:pt>
                <c:pt idx="114">
                  <c:v>87.818673890757168</c:v>
                </c:pt>
                <c:pt idx="115">
                  <c:v>87.800043845068984</c:v>
                </c:pt>
                <c:pt idx="116">
                  <c:v>87.782112201676782</c:v>
                </c:pt>
                <c:pt idx="117">
                  <c:v>87.764820717553562</c:v>
                </c:pt>
                <c:pt idx="118">
                  <c:v>87.748113466649187</c:v>
                </c:pt>
                <c:pt idx="119">
                  <c:v>87.731936681415021</c:v>
                </c:pt>
                <c:pt idx="120">
                  <c:v>87.716238601919798</c:v>
                </c:pt>
                <c:pt idx="121">
                  <c:v>87.700969332562408</c:v>
                </c:pt>
                <c:pt idx="122">
                  <c:v>87.686080706349031</c:v>
                </c:pt>
                <c:pt idx="123">
                  <c:v>87.671526156683825</c:v>
                </c:pt>
                <c:pt idx="124">
                  <c:v>87.65726059660183</c:v>
                </c:pt>
                <c:pt idx="125">
                  <c:v>87.643240305366277</c:v>
                </c:pt>
                <c:pt idx="126">
                  <c:v>87.629422822344466</c:v>
                </c:pt>
                <c:pt idx="127">
                  <c:v>87.615766848073164</c:v>
                </c:pt>
                <c:pt idx="128">
                  <c:v>87.602232152415539</c:v>
                </c:pt>
                <c:pt idx="129">
                  <c:v>87.588779489710447</c:v>
                </c:pt>
                <c:pt idx="130">
                  <c:v>87.575370520796923</c:v>
                </c:pt>
                <c:pt idx="131">
                  <c:v>87.561967741786177</c:v>
                </c:pt>
                <c:pt idx="132">
                  <c:v>87.548534419424612</c:v>
                </c:pt>
                <c:pt idx="133">
                  <c:v>87.535034532862539</c:v>
                </c:pt>
                <c:pt idx="134">
                  <c:v>87.521432721596625</c:v>
                </c:pt>
                <c:pt idx="135">
                  <c:v>87.507694239298317</c:v>
                </c:pt>
                <c:pt idx="136">
                  <c:v>87.493784913169762</c:v>
                </c:pt>
                <c:pt idx="137">
                  <c:v>87.479671108377886</c:v>
                </c:pt>
                <c:pt idx="138">
                  <c:v>87.465319697013911</c:v>
                </c:pt>
                <c:pt idx="139">
                  <c:v>87.450698030893022</c:v>
                </c:pt>
                <c:pt idx="140">
                  <c:v>87.435773917362098</c:v>
                </c:pt>
                <c:pt idx="141">
                  <c:v>87.42051559710734</c:v>
                </c:pt>
                <c:pt idx="142">
                  <c:v>87.404891722754087</c:v>
                </c:pt>
                <c:pt idx="143">
                  <c:v>87.388871336827734</c:v>
                </c:pt>
                <c:pt idx="144">
                  <c:v>87.372423847394188</c:v>
                </c:pt>
                <c:pt idx="145">
                  <c:v>87.355518999425328</c:v>
                </c:pt>
                <c:pt idx="146">
                  <c:v>87.338126839642882</c:v>
                </c:pt>
                <c:pt idx="147">
                  <c:v>87.320217672283917</c:v>
                </c:pt>
                <c:pt idx="148">
                  <c:v>87.31193504657945</c:v>
                </c:pt>
                <c:pt idx="149">
                  <c:v>87.2607109854182</c:v>
                </c:pt>
                <c:pt idx="150">
                  <c:v>87.2049484588902</c:v>
                </c:pt>
                <c:pt idx="151">
                  <c:v>87.144076284564576</c:v>
                </c:pt>
                <c:pt idx="152">
                  <c:v>87.077482120105941</c:v>
                </c:pt>
                <c:pt idx="153">
                  <c:v>87.004469764381298</c:v>
                </c:pt>
                <c:pt idx="154">
                  <c:v>86.92419956185293</c:v>
                </c:pt>
                <c:pt idx="155">
                  <c:v>86.835613334668139</c:v>
                </c:pt>
                <c:pt idx="156">
                  <c:v>86.737351707133868</c:v>
                </c:pt>
                <c:pt idx="157">
                  <c:v>86.627680991102679</c:v>
                </c:pt>
                <c:pt idx="158">
                  <c:v>86.504457143490413</c:v>
                </c:pt>
                <c:pt idx="159">
                  <c:v>86.365160797101609</c:v>
                </c:pt>
                <c:pt idx="160">
                  <c:v>86.207031882273981</c:v>
                </c:pt>
                <c:pt idx="161">
                  <c:v>86.027306827885127</c:v>
                </c:pt>
                <c:pt idx="162">
                  <c:v>85.823516351482397</c:v>
                </c:pt>
                <c:pt idx="163">
                  <c:v>85.593757285122379</c:v>
                </c:pt>
                <c:pt idx="164">
                  <c:v>85.366505394907534</c:v>
                </c:pt>
                <c:pt idx="165">
                  <c:v>84.933942538177902</c:v>
                </c:pt>
                <c:pt idx="166">
                  <c:v>84.440178796412454</c:v>
                </c:pt>
                <c:pt idx="167">
                  <c:v>83.888130417045403</c:v>
                </c:pt>
                <c:pt idx="168">
                  <c:v>83.280905134986</c:v>
                </c:pt>
                <c:pt idx="169">
                  <c:v>82.620071520593271</c:v>
                </c:pt>
                <c:pt idx="170">
                  <c:v>81.907781252303295</c:v>
                </c:pt>
                <c:pt idx="171">
                  <c:v>81.149442999534855</c:v>
                </c:pt>
                <c:pt idx="172">
                  <c:v>80.351462194000788</c:v>
                </c:pt>
                <c:pt idx="173">
                  <c:v>79.518029017986279</c:v>
                </c:pt>
                <c:pt idx="174">
                  <c:v>78.654174121689749</c:v>
                </c:pt>
                <c:pt idx="175">
                  <c:v>77.764998468469258</c:v>
                </c:pt>
                <c:pt idx="176">
                  <c:v>76.854238137468386</c:v>
                </c:pt>
                <c:pt idx="177">
                  <c:v>75.925869242466007</c:v>
                </c:pt>
                <c:pt idx="178">
                  <c:v>74.982922020647749</c:v>
                </c:pt>
                <c:pt idx="179">
                  <c:v>73.702725253955833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4E-46BD-8160-131E40E2965B}"/>
            </c:ext>
          </c:extLst>
        </c:ser>
        <c:ser>
          <c:idx val="2"/>
          <c:order val="2"/>
          <c:tx>
            <c:strRef>
              <c:f>FRES!$AI$4</c:f>
              <c:strCache>
                <c:ptCount val="1"/>
                <c:pt idx="0">
                  <c:v>SPL3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FRES!$AI$5:$AI$184</c:f>
              <c:numCache>
                <c:formatCode>General</c:formatCode>
                <c:ptCount val="180"/>
                <c:pt idx="0">
                  <c:v>45.750805856448835</c:v>
                </c:pt>
                <c:pt idx="1">
                  <c:v>46.761651080495604</c:v>
                </c:pt>
                <c:pt idx="2">
                  <c:v>47.773408910804534</c:v>
                </c:pt>
                <c:pt idx="3">
                  <c:v>48.786192387428294</c:v>
                </c:pt>
                <c:pt idx="4">
                  <c:v>49.800128725946102</c:v>
                </c:pt>
                <c:pt idx="5">
                  <c:v>50.815361139616343</c:v>
                </c:pt>
                <c:pt idx="6">
                  <c:v>51.832050906961172</c:v>
                </c:pt>
                <c:pt idx="7">
                  <c:v>52.850379720566011</c:v>
                </c:pt>
                <c:pt idx="8">
                  <c:v>53.87055235871108</c:v>
                </c:pt>
                <c:pt idx="9">
                  <c:v>54.892799728355762</c:v>
                </c:pt>
                <c:pt idx="10">
                  <c:v>55.917382336176551</c:v>
                </c:pt>
                <c:pt idx="11">
                  <c:v>56.944594254070381</c:v>
                </c:pt>
                <c:pt idx="12">
                  <c:v>57.974767657055253</c:v>
                </c:pt>
                <c:pt idx="13">
                  <c:v>58.491080403828093</c:v>
                </c:pt>
                <c:pt idx="14">
                  <c:v>59.00827802516821</c:v>
                </c:pt>
                <c:pt idx="15">
                  <c:v>59.526415202148755</c:v>
                </c:pt>
                <c:pt idx="16">
                  <c:v>60.045550117119426</c:v>
                </c:pt>
                <c:pt idx="17">
                  <c:v>60.565744691718564</c:v>
                </c:pt>
                <c:pt idx="18">
                  <c:v>61.087064842483471</c:v>
                </c:pt>
                <c:pt idx="19">
                  <c:v>61.609580755470496</c:v>
                </c:pt>
                <c:pt idx="20">
                  <c:v>62.133367181409305</c:v>
                </c:pt>
                <c:pt idx="21">
                  <c:v>62.658503753035966</c:v>
                </c:pt>
                <c:pt idx="22">
                  <c:v>63.185075326370409</c:v>
                </c:pt>
                <c:pt idx="23">
                  <c:v>63.713172347831261</c:v>
                </c:pt>
                <c:pt idx="24">
                  <c:v>64.242891249207105</c:v>
                </c:pt>
                <c:pt idx="25">
                  <c:v>64.774334872624578</c:v>
                </c:pt>
                <c:pt idx="26">
                  <c:v>65.307612927767522</c:v>
                </c:pt>
                <c:pt idx="27">
                  <c:v>65.842842483696302</c:v>
                </c:pt>
                <c:pt idx="28">
                  <c:v>66.380148497683493</c:v>
                </c:pt>
                <c:pt idx="29">
                  <c:v>66.919664383508277</c:v>
                </c:pt>
                <c:pt idx="30">
                  <c:v>67.461532621607546</c:v>
                </c:pt>
                <c:pt idx="31">
                  <c:v>68.005905413356246</c:v>
                </c:pt>
                <c:pt idx="32">
                  <c:v>68.552945381482672</c:v>
                </c:pt>
                <c:pt idx="33">
                  <c:v>69.10282631818599</c:v>
                </c:pt>
                <c:pt idx="34">
                  <c:v>69.655733981823218</c:v>
                </c:pt>
                <c:pt idx="35">
                  <c:v>70.211866941996021</c:v>
                </c:pt>
                <c:pt idx="36">
                  <c:v>70.771437471346403</c:v>
                </c:pt>
                <c:pt idx="37">
                  <c:v>71.334672480200396</c:v>
                </c:pt>
                <c:pt idx="38">
                  <c:v>71.901814487143582</c:v>
                </c:pt>
                <c:pt idx="39">
                  <c:v>72.473122614331345</c:v>
                </c:pt>
                <c:pt idx="40">
                  <c:v>73.048873590413322</c:v>
                </c:pt>
                <c:pt idx="41">
                  <c:v>73.629362735752522</c:v>
                </c:pt>
                <c:pt idx="42">
                  <c:v>74.21490489333722</c:v>
                </c:pt>
                <c:pt idx="43">
                  <c:v>74.805835253269152</c:v>
                </c:pt>
                <c:pt idx="44">
                  <c:v>75.402509997404621</c:v>
                </c:pt>
                <c:pt idx="45">
                  <c:v>76.005306661467444</c:v>
                </c:pt>
                <c:pt idx="46">
                  <c:v>76.614624071775978</c:v>
                </c:pt>
                <c:pt idx="47">
                  <c:v>77.230881658523543</c:v>
                </c:pt>
                <c:pt idx="48">
                  <c:v>77.85451787166609</c:v>
                </c:pt>
                <c:pt idx="49">
                  <c:v>78.485987321105469</c:v>
                </c:pt>
                <c:pt idx="50">
                  <c:v>79.125756119315739</c:v>
                </c:pt>
                <c:pt idx="51">
                  <c:v>79.774294707273057</c:v>
                </c:pt>
                <c:pt idx="52">
                  <c:v>80.432067173867551</c:v>
                </c:pt>
                <c:pt idx="53">
                  <c:v>81.099515708930085</c:v>
                </c:pt>
                <c:pt idx="54">
                  <c:v>81.777038327229889</c:v>
                </c:pt>
                <c:pt idx="55">
                  <c:v>82.46495732464119</c:v>
                </c:pt>
                <c:pt idx="56">
                  <c:v>83.163475033150007</c:v>
                </c:pt>
                <c:pt idx="57">
                  <c:v>83.872612288962898</c:v>
                </c:pt>
                <c:pt idx="58">
                  <c:v>84.592123607517806</c:v>
                </c:pt>
                <c:pt idx="59">
                  <c:v>85.321381441690548</c:v>
                </c:pt>
                <c:pt idx="60">
                  <c:v>86.059220339981621</c:v>
                </c:pt>
                <c:pt idx="61">
                  <c:v>86.803730948268083</c:v>
                </c:pt>
                <c:pt idx="62">
                  <c:v>87.551994929327833</c:v>
                </c:pt>
                <c:pt idx="63">
                  <c:v>88.299757468498967</c:v>
                </c:pt>
                <c:pt idx="64">
                  <c:v>89.041048153852728</c:v>
                </c:pt>
                <c:pt idx="65">
                  <c:v>89.767789275989401</c:v>
                </c:pt>
                <c:pt idx="66">
                  <c:v>90.469478256241786</c:v>
                </c:pt>
                <c:pt idx="67">
                  <c:v>91.133096873859699</c:v>
                </c:pt>
                <c:pt idx="68">
                  <c:v>91.743464683569456</c:v>
                </c:pt>
                <c:pt idx="69">
                  <c:v>92.284265751310471</c:v>
                </c:pt>
                <c:pt idx="70">
                  <c:v>92.739857122818307</c:v>
                </c:pt>
                <c:pt idx="71">
                  <c:v>93.097663005728037</c:v>
                </c:pt>
                <c:pt idx="72">
                  <c:v>93.350553955956542</c:v>
                </c:pt>
                <c:pt idx="73">
                  <c:v>93.49837150257089</c:v>
                </c:pt>
                <c:pt idx="74">
                  <c:v>93.547963267245549</c:v>
                </c:pt>
                <c:pt idx="75">
                  <c:v>93.511713167466084</c:v>
                </c:pt>
                <c:pt idx="76">
                  <c:v>93.405181523419969</c:v>
                </c:pt>
                <c:pt idx="77">
                  <c:v>93.244696255949989</c:v>
                </c:pt>
                <c:pt idx="78">
                  <c:v>93.045512096522117</c:v>
                </c:pt>
                <c:pt idx="79">
                  <c:v>92.820750637406348</c:v>
                </c:pt>
                <c:pt idx="80">
                  <c:v>92.581022165439236</c:v>
                </c:pt>
                <c:pt idx="81">
                  <c:v>92.334502040259082</c:v>
                </c:pt>
                <c:pt idx="82">
                  <c:v>92.08724210717773</c:v>
                </c:pt>
                <c:pt idx="83">
                  <c:v>91.843561396111937</c:v>
                </c:pt>
                <c:pt idx="84">
                  <c:v>91.606426861122387</c:v>
                </c:pt>
                <c:pt idx="85">
                  <c:v>91.377783477424316</c:v>
                </c:pt>
                <c:pt idx="86">
                  <c:v>91.158822018927196</c:v>
                </c:pt>
                <c:pt idx="87">
                  <c:v>90.950187448065407</c:v>
                </c:pt>
                <c:pt idx="88">
                  <c:v>90.752136716716606</c:v>
                </c:pt>
                <c:pt idx="89">
                  <c:v>90.564656040125143</c:v>
                </c:pt>
                <c:pt idx="90">
                  <c:v>90.387546885678631</c:v>
                </c:pt>
                <c:pt idx="91">
                  <c:v>90.220488371971356</c:v>
                </c:pt>
                <c:pt idx="92">
                  <c:v>90.063082151427437</c:v>
                </c:pt>
                <c:pt idx="93">
                  <c:v>89.914884418411759</c:v>
                </c:pt>
                <c:pt idx="94">
                  <c:v>89.775428520569278</c:v>
                </c:pt>
                <c:pt idx="95">
                  <c:v>89.644240746145186</c:v>
                </c:pt>
                <c:pt idx="96">
                  <c:v>89.520851175343125</c:v>
                </c:pt>
                <c:pt idx="97">
                  <c:v>89.404800974376116</c:v>
                </c:pt>
                <c:pt idx="98">
                  <c:v>89.295647135805197</c:v>
                </c:pt>
                <c:pt idx="99">
                  <c:v>89.192965394360954</c:v>
                </c:pt>
                <c:pt idx="100">
                  <c:v>89.096351847420635</c:v>
                </c:pt>
                <c:pt idx="101">
                  <c:v>89.005423663778885</c:v>
                </c:pt>
                <c:pt idx="102">
                  <c:v>88.91981915853215</c:v>
                </c:pt>
                <c:pt idx="103">
                  <c:v>88.839197434957171</c:v>
                </c:pt>
                <c:pt idx="104">
                  <c:v>88.763237738301967</c:v>
                </c:pt>
                <c:pt idx="105">
                  <c:v>88.691638625670222</c:v>
                </c:pt>
                <c:pt idx="106">
                  <c:v>88.62411702652733</c:v>
                </c:pt>
                <c:pt idx="107">
                  <c:v>88.560407246755318</c:v>
                </c:pt>
                <c:pt idx="108">
                  <c:v>88.500259953460045</c:v>
                </c:pt>
                <c:pt idx="109">
                  <c:v>88.443441166298527</c:v>
                </c:pt>
                <c:pt idx="110">
                  <c:v>88.389731272788126</c:v>
                </c:pt>
                <c:pt idx="111">
                  <c:v>88.338924079056383</c:v>
                </c:pt>
                <c:pt idx="112">
                  <c:v>88.290825903154499</c:v>
                </c:pt>
                <c:pt idx="113">
                  <c:v>88.24525471496672</c:v>
                </c:pt>
                <c:pt idx="114">
                  <c:v>88.202039324548181</c:v>
                </c:pt>
                <c:pt idx="115">
                  <c:v>88.161018619193271</c:v>
                </c:pt>
                <c:pt idx="116">
                  <c:v>88.12204084848311</c:v>
                </c:pt>
                <c:pt idx="117">
                  <c:v>88.084962955864</c:v>
                </c:pt>
                <c:pt idx="118">
                  <c:v>88.049649954864748</c:v>
                </c:pt>
                <c:pt idx="119">
                  <c:v>88.015974347803279</c:v>
                </c:pt>
                <c:pt idx="120">
                  <c:v>87.983815584702981</c:v>
                </c:pt>
                <c:pt idx="121">
                  <c:v>87.953059560111427</c:v>
                </c:pt>
                <c:pt idx="122">
                  <c:v>87.923598145536886</c:v>
                </c:pt>
                <c:pt idx="123">
                  <c:v>87.895328755298848</c:v>
                </c:pt>
                <c:pt idx="124">
                  <c:v>87.868153943683822</c:v>
                </c:pt>
                <c:pt idx="125">
                  <c:v>87.841981031418953</c:v>
                </c:pt>
                <c:pt idx="126">
                  <c:v>87.816721759596163</c:v>
                </c:pt>
                <c:pt idx="127">
                  <c:v>87.792291969308906</c:v>
                </c:pt>
                <c:pt idx="128">
                  <c:v>87.768611305380205</c:v>
                </c:pt>
                <c:pt idx="129">
                  <c:v>87.745602942678872</c:v>
                </c:pt>
                <c:pt idx="130">
                  <c:v>87.723193333620657</c:v>
                </c:pt>
                <c:pt idx="131">
                  <c:v>87.70131197554349</c:v>
                </c:pt>
                <c:pt idx="132">
                  <c:v>87.679891196721769</c:v>
                </c:pt>
                <c:pt idx="133">
                  <c:v>87.658865959843283</c:v>
                </c:pt>
                <c:pt idx="134">
                  <c:v>87.638173681815076</c:v>
                </c:pt>
                <c:pt idx="135">
                  <c:v>87.617754068782773</c:v>
                </c:pt>
                <c:pt idx="136">
                  <c:v>87.597548965253225</c:v>
                </c:pt>
                <c:pt idx="137">
                  <c:v>87.577502216180818</c:v>
                </c:pt>
                <c:pt idx="138">
                  <c:v>87.557559540836479</c:v>
                </c:pt>
                <c:pt idx="139">
                  <c:v>87.537668417199683</c:v>
                </c:pt>
                <c:pt idx="140">
                  <c:v>87.517777975517362</c:v>
                </c:pt>
                <c:pt idx="141">
                  <c:v>87.497838899541222</c:v>
                </c:pt>
                <c:pt idx="142">
                  <c:v>87.477803333798363</c:v>
                </c:pt>
                <c:pt idx="143">
                  <c:v>87.457624795063666</c:v>
                </c:pt>
                <c:pt idx="144">
                  <c:v>87.437258085985633</c:v>
                </c:pt>
                <c:pt idx="145">
                  <c:v>87.416659208577272</c:v>
                </c:pt>
                <c:pt idx="146">
                  <c:v>87.395785275017971</c:v>
                </c:pt>
                <c:pt idx="147">
                  <c:v>87.374594412930492</c:v>
                </c:pt>
                <c:pt idx="148">
                  <c:v>87.364889316035942</c:v>
                </c:pt>
                <c:pt idx="149">
                  <c:v>87.30601491630766</c:v>
                </c:pt>
                <c:pt idx="150">
                  <c:v>87.24372009945094</c:v>
                </c:pt>
                <c:pt idx="151">
                  <c:v>87.177271206226777</c:v>
                </c:pt>
                <c:pt idx="152">
                  <c:v>87.105916855752469</c:v>
                </c:pt>
                <c:pt idx="153">
                  <c:v>87.028841636557971</c:v>
                </c:pt>
                <c:pt idx="154">
                  <c:v>86.945103497753934</c:v>
                </c:pt>
                <c:pt idx="155">
                  <c:v>86.853556185300732</c:v>
                </c:pt>
                <c:pt idx="156">
                  <c:v>86.75276452534726</c:v>
                </c:pt>
                <c:pt idx="157">
                  <c:v>86.640929669148107</c:v>
                </c:pt>
                <c:pt idx="158">
                  <c:v>86.51585175495066</c:v>
                </c:pt>
                <c:pt idx="159">
                  <c:v>86.374963917759757</c:v>
                </c:pt>
                <c:pt idx="160">
                  <c:v>86.215466069306927</c:v>
                </c:pt>
                <c:pt idx="161">
                  <c:v>86.034561318231709</c:v>
                </c:pt>
                <c:pt idx="162">
                  <c:v>85.829752924154974</c:v>
                </c:pt>
                <c:pt idx="163">
                  <c:v>85.599115170061907</c:v>
                </c:pt>
                <c:pt idx="164">
                  <c:v>85.371183285842392</c:v>
                </c:pt>
                <c:pt idx="165">
                  <c:v>84.937659707249281</c:v>
                </c:pt>
                <c:pt idx="166">
                  <c:v>84.443130026991682</c:v>
                </c:pt>
                <c:pt idx="167">
                  <c:v>83.890473207290739</c:v>
                </c:pt>
                <c:pt idx="168">
                  <c:v>83.282765430303002</c:v>
                </c:pt>
                <c:pt idx="169">
                  <c:v>82.621548708978139</c:v>
                </c:pt>
                <c:pt idx="170">
                  <c:v>81.908953797535133</c:v>
                </c:pt>
                <c:pt idx="171">
                  <c:v>81.150373561331236</c:v>
                </c:pt>
                <c:pt idx="172">
                  <c:v>80.35220081573938</c:v>
                </c:pt>
                <c:pt idx="173">
                  <c:v>79.518615247582687</c:v>
                </c:pt>
                <c:pt idx="174">
                  <c:v>78.654639374959686</c:v>
                </c:pt>
                <c:pt idx="175">
                  <c:v>77.765367731219669</c:v>
                </c:pt>
                <c:pt idx="176">
                  <c:v>76.854531201794998</c:v>
                </c:pt>
                <c:pt idx="177">
                  <c:v>75.926101838892862</c:v>
                </c:pt>
                <c:pt idx="178">
                  <c:v>74.983106625483742</c:v>
                </c:pt>
                <c:pt idx="179">
                  <c:v>73.702860750320113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4E-46BD-8160-131E40E2965B}"/>
            </c:ext>
          </c:extLst>
        </c:ser>
        <c:ser>
          <c:idx val="6"/>
          <c:order val="6"/>
          <c:tx>
            <c:strRef>
              <c:f>FRES!$AV$4</c:f>
              <c:strCache>
                <c:ptCount val="1"/>
                <c:pt idx="0">
                  <c:v>Phase1</c:v>
                </c:pt>
              </c:strCache>
            </c:strRef>
          </c:tx>
          <c:spPr>
            <a:ln w="22225" cap="rnd" cmpd="sng" algn="ctr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FRES!$AV$5:$AV$184</c:f>
              <c:numCache>
                <c:formatCode>General</c:formatCode>
                <c:ptCount val="180"/>
                <c:pt idx="0">
                  <c:v>119.40724135691123</c:v>
                </c:pt>
                <c:pt idx="1">
                  <c:v>119.3703797973487</c:v>
                </c:pt>
                <c:pt idx="2">
                  <c:v>119.33101694498421</c:v>
                </c:pt>
                <c:pt idx="3">
                  <c:v>119.28894428278338</c:v>
                </c:pt>
                <c:pt idx="4">
                  <c:v>119.24392920984778</c:v>
                </c:pt>
                <c:pt idx="5">
                  <c:v>119.19571129667303</c:v>
                </c:pt>
                <c:pt idx="6">
                  <c:v>119.14399785900983</c:v>
                </c:pt>
                <c:pt idx="7">
                  <c:v>119.08845872329285</c:v>
                </c:pt>
                <c:pt idx="8">
                  <c:v>119.0287200370652</c:v>
                </c:pt>
                <c:pt idx="9">
                  <c:v>118.96435695889488</c:v>
                </c:pt>
                <c:pt idx="10">
                  <c:v>118.8948850472226</c:v>
                </c:pt>
                <c:pt idx="11">
                  <c:v>118.81975016238935</c:v>
                </c:pt>
                <c:pt idx="12">
                  <c:v>118.73831671128944</c:v>
                </c:pt>
                <c:pt idx="13">
                  <c:v>118.69501383543623</c:v>
                </c:pt>
                <c:pt idx="14">
                  <c:v>118.64985411765537</c:v>
                </c:pt>
                <c:pt idx="15">
                  <c:v>118.6027288837597</c:v>
                </c:pt>
                <c:pt idx="16">
                  <c:v>118.55352152286983</c:v>
                </c:pt>
                <c:pt idx="17">
                  <c:v>118.50210693321571</c:v>
                </c:pt>
                <c:pt idx="18">
                  <c:v>118.44835096124478</c:v>
                </c:pt>
                <c:pt idx="19">
                  <c:v>118.39210984625673</c:v>
                </c:pt>
                <c:pt idx="20">
                  <c:v>118.3332296873732</c:v>
                </c:pt>
                <c:pt idx="21">
                  <c:v>118.27154595548565</c:v>
                </c:pt>
                <c:pt idx="22">
                  <c:v>118.20688308016963</c:v>
                </c:pt>
                <c:pt idx="23">
                  <c:v>118.13905415068969</c:v>
                </c:pt>
                <c:pt idx="24">
                  <c:v>118.0678607814321</c:v>
                </c:pt>
                <c:pt idx="25">
                  <c:v>117.99309320564679</c:v>
                </c:pt>
                <c:pt idx="26">
                  <c:v>117.91453067742066</c:v>
                </c:pt>
                <c:pt idx="27">
                  <c:v>117.83194228033182</c:v>
                </c:pt>
                <c:pt idx="28">
                  <c:v>117.74508826192471</c:v>
                </c:pt>
                <c:pt idx="29">
                  <c:v>117.65372203517954</c:v>
                </c:pt>
                <c:pt idx="30">
                  <c:v>117.55759300995496</c:v>
                </c:pt>
                <c:pt idx="31">
                  <c:v>117.45645043631846</c:v>
                </c:pt>
                <c:pt idx="32">
                  <c:v>117.35004845367735</c:v>
                </c:pt>
                <c:pt idx="33">
                  <c:v>117.23815253883933</c:v>
                </c:pt>
                <c:pt idx="34">
                  <c:v>117.12054752472058</c:v>
                </c:pt>
                <c:pt idx="35">
                  <c:v>116.99704730963872</c:v>
                </c:pt>
                <c:pt idx="36">
                  <c:v>116.86750628403436</c:v>
                </c:pt>
                <c:pt idx="37">
                  <c:v>116.7318323565966</c:v>
                </c:pt>
                <c:pt idx="38">
                  <c:v>116.59000125811332</c:v>
                </c:pt>
                <c:pt idx="39">
                  <c:v>116.44207153984489</c:v>
                </c:pt>
                <c:pt idx="40">
                  <c:v>116.28819937821834</c:v>
                </c:pt>
                <c:pt idx="41">
                  <c:v>116.12865198250627</c:v>
                </c:pt>
                <c:pt idx="42">
                  <c:v>115.96381813215946</c:v>
                </c:pt>
                <c:pt idx="43">
                  <c:v>115.79421422003047</c:v>
                </c:pt>
                <c:pt idx="44">
                  <c:v>115.62048422866967</c:v>
                </c:pt>
                <c:pt idx="45">
                  <c:v>115.44339238660221</c:v>
                </c:pt>
                <c:pt idx="46">
                  <c:v>115.26380786454455</c:v>
                </c:pt>
                <c:pt idx="47">
                  <c:v>115.08268173371486</c:v>
                </c:pt>
                <c:pt idx="48">
                  <c:v>114.90101739666702</c:v>
                </c:pt>
                <c:pt idx="49">
                  <c:v>114.7198366302146</c:v>
                </c:pt>
                <c:pt idx="50">
                  <c:v>114.54014404787503</c:v>
                </c:pt>
                <c:pt idx="51">
                  <c:v>114.36289303773896</c:v>
                </c:pt>
                <c:pt idx="52">
                  <c:v>114.18895599957914</c:v>
                </c:pt>
                <c:pt idx="53">
                  <c:v>114.01910104953834</c:v>
                </c:pt>
                <c:pt idx="54">
                  <c:v>113.8539764373763</c:v>
                </c:pt>
                <c:pt idx="55">
                  <c:v>113.69410293167256</c:v>
                </c:pt>
                <c:pt idx="56">
                  <c:v>113.5398735592801</c:v>
                </c:pt>
                <c:pt idx="57">
                  <c:v>113.39155946239835</c:v>
                </c:pt>
                <c:pt idx="58">
                  <c:v>113.24932030676713</c:v>
                </c:pt>
                <c:pt idx="59">
                  <c:v>113.11321761514358</c:v>
                </c:pt>
                <c:pt idx="60">
                  <c:v>112.98322954500681</c:v>
                </c:pt>
                <c:pt idx="61">
                  <c:v>112.85926589660346</c:v>
                </c:pt>
                <c:pt idx="62">
                  <c:v>112.74118245206576</c:v>
                </c:pt>
                <c:pt idx="63">
                  <c:v>112.62879405236976</c:v>
                </c:pt>
                <c:pt idx="64">
                  <c:v>112.52188608227821</c:v>
                </c:pt>
                <c:pt idx="65">
                  <c:v>112.42022423915706</c:v>
                </c:pt>
                <c:pt idx="66">
                  <c:v>112.32356260838608</c:v>
                </c:pt>
                <c:pt idx="67">
                  <c:v>112.23165016281385</c:v>
                </c:pt>
                <c:pt idx="68">
                  <c:v>112.14423585674032</c:v>
                </c:pt>
                <c:pt idx="69">
                  <c:v>112.0610725072046</c:v>
                </c:pt>
                <c:pt idx="70">
                  <c:v>111.98191965671454</c:v>
                </c:pt>
                <c:pt idx="71">
                  <c:v>111.90654559989144</c:v>
                </c:pt>
                <c:pt idx="72">
                  <c:v>111.83472873773148</c:v>
                </c:pt>
                <c:pt idx="73">
                  <c:v>111.76625840142729</c:v>
                </c:pt>
                <c:pt idx="74">
                  <c:v>111.70093526563673</c:v>
                </c:pt>
                <c:pt idx="75">
                  <c:v>111.63857145032917</c:v>
                </c:pt>
                <c:pt idx="76">
                  <c:v>111.57899039173047</c:v>
                </c:pt>
                <c:pt idx="77">
                  <c:v>111.5220265467569</c:v>
                </c:pt>
                <c:pt idx="78">
                  <c:v>111.4675249816995</c:v>
                </c:pt>
                <c:pt idx="79">
                  <c:v>111.41534088462878</c:v>
                </c:pt>
                <c:pt idx="80">
                  <c:v>111.36533903178626</c:v>
                </c:pt>
                <c:pt idx="81">
                  <c:v>111.31739323082522</c:v>
                </c:pt>
                <c:pt idx="82">
                  <c:v>111.27138575787966</c:v>
                </c:pt>
                <c:pt idx="83">
                  <c:v>111.22720680081207</c:v>
                </c:pt>
                <c:pt idx="84">
                  <c:v>111.18475391738735</c:v>
                </c:pt>
                <c:pt idx="85">
                  <c:v>111.14393151434271</c:v>
                </c:pt>
                <c:pt idx="86">
                  <c:v>111.10465035120453</c:v>
                </c:pt>
                <c:pt idx="87">
                  <c:v>111.06682707110451</c:v>
                </c:pt>
                <c:pt idx="88">
                  <c:v>111.03038375965812</c:v>
                </c:pt>
                <c:pt idx="89">
                  <c:v>110.9952475320959</c:v>
                </c:pt>
                <c:pt idx="90">
                  <c:v>110.96135014821259</c:v>
                </c:pt>
                <c:pt idx="91">
                  <c:v>110.92862765426072</c:v>
                </c:pt>
                <c:pt idx="92">
                  <c:v>110.89702005062165</c:v>
                </c:pt>
                <c:pt idx="93">
                  <c:v>110.86647098389994</c:v>
                </c:pt>
                <c:pt idx="94">
                  <c:v>110.83692746198197</c:v>
                </c:pt>
                <c:pt idx="95">
                  <c:v>110.80833959055225</c:v>
                </c:pt>
                <c:pt idx="96">
                  <c:v>110.78066032955888</c:v>
                </c:pt>
                <c:pt idx="97">
                  <c:v>110.75384526814481</c:v>
                </c:pt>
                <c:pt idx="98">
                  <c:v>110.7278524166105</c:v>
                </c:pt>
                <c:pt idx="99">
                  <c:v>110.70264201403478</c:v>
                </c:pt>
                <c:pt idx="100">
                  <c:v>110.67817635025025</c:v>
                </c:pt>
                <c:pt idx="101">
                  <c:v>110.65441960094394</c:v>
                </c:pt>
                <c:pt idx="102">
                  <c:v>110.63133767472944</c:v>
                </c:pt>
                <c:pt idx="103">
                  <c:v>110.60889807111155</c:v>
                </c:pt>
                <c:pt idx="104">
                  <c:v>110.58706974833758</c:v>
                </c:pt>
                <c:pt idx="105">
                  <c:v>110.56582300019872</c:v>
                </c:pt>
                <c:pt idx="106">
                  <c:v>110.54512934091153</c:v>
                </c:pt>
                <c:pt idx="107">
                  <c:v>110.52496139727097</c:v>
                </c:pt>
                <c:pt idx="108">
                  <c:v>110.50529280732484</c:v>
                </c:pt>
                <c:pt idx="109">
                  <c:v>110.48609812487261</c:v>
                </c:pt>
                <c:pt idx="110">
                  <c:v>110.46735272914121</c:v>
                </c:pt>
                <c:pt idx="111">
                  <c:v>110.44903273903618</c:v>
                </c:pt>
                <c:pt idx="112">
                  <c:v>110.43111493140805</c:v>
                </c:pt>
                <c:pt idx="113">
                  <c:v>110.41357666281247</c:v>
                </c:pt>
                <c:pt idx="114">
                  <c:v>110.39639579427795</c:v>
                </c:pt>
                <c:pt idx="115">
                  <c:v>110.37955061862712</c:v>
                </c:pt>
                <c:pt idx="116">
                  <c:v>110.36301978992826</c:v>
                </c:pt>
                <c:pt idx="117">
                  <c:v>110.34678225468041</c:v>
                </c:pt>
                <c:pt idx="118">
                  <c:v>110.33081718436293</c:v>
                </c:pt>
                <c:pt idx="119">
                  <c:v>110.31510390900357</c:v>
                </c:pt>
                <c:pt idx="120">
                  <c:v>110.29962185144373</c:v>
                </c:pt>
                <c:pt idx="121">
                  <c:v>110.28435046200217</c:v>
                </c:pt>
                <c:pt idx="122">
                  <c:v>110.26926915326077</c:v>
                </c:pt>
                <c:pt idx="123">
                  <c:v>110.25435723471966</c:v>
                </c:pt>
                <c:pt idx="124">
                  <c:v>110.2395938470918</c:v>
                </c:pt>
                <c:pt idx="125">
                  <c:v>110.22495789603204</c:v>
                </c:pt>
                <c:pt idx="126">
                  <c:v>110.21042798512231</c:v>
                </c:pt>
                <c:pt idx="127">
                  <c:v>110.19598234796256</c:v>
                </c:pt>
                <c:pt idx="128">
                  <c:v>110.18159877924889</c:v>
                </c:pt>
                <c:pt idx="129">
                  <c:v>110.16725456475456</c:v>
                </c:pt>
                <c:pt idx="130">
                  <c:v>110.1529264101688</c:v>
                </c:pt>
                <c:pt idx="131">
                  <c:v>110.13859036879164</c:v>
                </c:pt>
                <c:pt idx="132">
                  <c:v>110.12422176813251</c:v>
                </c:pt>
                <c:pt idx="133">
                  <c:v>110.10979513551575</c:v>
                </c:pt>
                <c:pt idx="134">
                  <c:v>110.09528412285935</c:v>
                </c:pt>
                <c:pt idx="135">
                  <c:v>110.08066143086474</c:v>
                </c:pt>
                <c:pt idx="136">
                  <c:v>110.06589873293564</c:v>
                </c:pt>
                <c:pt idx="137">
                  <c:v>110.05096659923524</c:v>
                </c:pt>
                <c:pt idx="138">
                  <c:v>110.0358344213937</c:v>
                </c:pt>
                <c:pt idx="139">
                  <c:v>110.0204703384925</c:v>
                </c:pt>
                <c:pt idx="140">
                  <c:v>110.00484116508174</c:v>
                </c:pt>
                <c:pt idx="141">
                  <c:v>109.98891232213057</c:v>
                </c:pt>
                <c:pt idx="142">
                  <c:v>109.97264777197103</c:v>
                </c:pt>
                <c:pt idx="143">
                  <c:v>109.95600995847389</c:v>
                </c:pt>
                <c:pt idx="144">
                  <c:v>109.93895975389225</c:v>
                </c:pt>
                <c:pt idx="145">
                  <c:v>109.92145641402414</c:v>
                </c:pt>
                <c:pt idx="146">
                  <c:v>109.903457543584</c:v>
                </c:pt>
                <c:pt idx="147">
                  <c:v>109.88491907393079</c:v>
                </c:pt>
                <c:pt idx="148">
                  <c:v>109.87633993280403</c:v>
                </c:pt>
                <c:pt idx="149">
                  <c:v>109.82311582278025</c:v>
                </c:pt>
                <c:pt idx="150">
                  <c:v>109.76463394516611</c:v>
                </c:pt>
                <c:pt idx="151">
                  <c:v>109.69988240547306</c:v>
                </c:pt>
                <c:pt idx="152">
                  <c:v>109.62779642817728</c:v>
                </c:pt>
                <c:pt idx="153">
                  <c:v>109.54729567014795</c:v>
                </c:pt>
                <c:pt idx="154">
                  <c:v>109.45734329133961</c:v>
                </c:pt>
                <c:pt idx="155">
                  <c:v>109.35703215419551</c:v>
                </c:pt>
                <c:pt idx="156">
                  <c:v>109.24570210736795</c:v>
                </c:pt>
                <c:pt idx="157">
                  <c:v>109.1230881007029</c:v>
                </c:pt>
                <c:pt idx="158">
                  <c:v>108.98949013716184</c:v>
                </c:pt>
                <c:pt idx="159">
                  <c:v>108.8459412210409</c:v>
                </c:pt>
                <c:pt idx="160">
                  <c:v>108.69432862474353</c:v>
                </c:pt>
                <c:pt idx="161">
                  <c:v>108.5374013288853</c:v>
                </c:pt>
                <c:pt idx="162">
                  <c:v>108.37858366227559</c:v>
                </c:pt>
                <c:pt idx="163">
                  <c:v>108.22153046062597</c:v>
                </c:pt>
                <c:pt idx="164">
                  <c:v>108.08586793368625</c:v>
                </c:pt>
                <c:pt idx="165">
                  <c:v>107.86938249076208</c:v>
                </c:pt>
                <c:pt idx="166">
                  <c:v>107.66601054091493</c:v>
                </c:pt>
                <c:pt idx="167">
                  <c:v>107.46574946791641</c:v>
                </c:pt>
                <c:pt idx="168">
                  <c:v>107.26093530982936</c:v>
                </c:pt>
                <c:pt idx="169">
                  <c:v>107.05857719257651</c:v>
                </c:pt>
                <c:pt idx="170">
                  <c:v>106.8732430006451</c:v>
                </c:pt>
                <c:pt idx="171">
                  <c:v>106.70326348664213</c:v>
                </c:pt>
                <c:pt idx="172">
                  <c:v>106.53788787434853</c:v>
                </c:pt>
                <c:pt idx="173">
                  <c:v>106.38629053939042</c:v>
                </c:pt>
                <c:pt idx="174">
                  <c:v>106.24911407902655</c:v>
                </c:pt>
                <c:pt idx="175">
                  <c:v>106.12040734459657</c:v>
                </c:pt>
                <c:pt idx="176">
                  <c:v>106.00588710621582</c:v>
                </c:pt>
                <c:pt idx="177">
                  <c:v>105.90044340332327</c:v>
                </c:pt>
                <c:pt idx="178">
                  <c:v>105.80546539624112</c:v>
                </c:pt>
                <c:pt idx="179">
                  <c:v>105.69317599536738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4E-46BD-8160-131E40E2965B}"/>
            </c:ext>
          </c:extLst>
        </c:ser>
        <c:ser>
          <c:idx val="7"/>
          <c:order val="7"/>
          <c:tx>
            <c:strRef>
              <c:f>FRES!$AW$4</c:f>
              <c:strCache>
                <c:ptCount val="1"/>
                <c:pt idx="0">
                  <c:v>Phase2</c:v>
                </c:pt>
              </c:strCache>
            </c:strRef>
          </c:tx>
          <c:spPr>
            <a:ln w="19050" cap="rnd" cmpd="sng" algn="ctr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60"/>
            <c:bubble3D val="0"/>
            <c:spPr>
              <a:ln w="22225" cap="rnd" cmpd="sng" algn="ctr">
                <a:solidFill>
                  <a:srgbClr val="0000FF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3E34-4C86-B641-37A234BD9844}"/>
              </c:ext>
            </c:extLst>
          </c:dPt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FRES!$AW$5:$AW$184</c:f>
              <c:numCache>
                <c:formatCode>General</c:formatCode>
                <c:ptCount val="180"/>
                <c:pt idx="0">
                  <c:v>119.70210252197307</c:v>
                </c:pt>
                <c:pt idx="1">
                  <c:v>119.68387525028002</c:v>
                </c:pt>
                <c:pt idx="2">
                  <c:v>119.66446535820627</c:v>
                </c:pt>
                <c:pt idx="3">
                  <c:v>119.64378328158263</c:v>
                </c:pt>
                <c:pt idx="4">
                  <c:v>119.62173030166811</c:v>
                </c:pt>
                <c:pt idx="5">
                  <c:v>119.59819721206651</c:v>
                </c:pt>
                <c:pt idx="6">
                  <c:v>119.5730627349844</c:v>
                </c:pt>
                <c:pt idx="7">
                  <c:v>119.54619163177716</c:v>
                </c:pt>
                <c:pt idx="8">
                  <c:v>119.51743243913444</c:v>
                </c:pt>
                <c:pt idx="9">
                  <c:v>119.48661474492741</c:v>
                </c:pt>
                <c:pt idx="10">
                  <c:v>119.45354589555036</c:v>
                </c:pt>
                <c:pt idx="11">
                  <c:v>119.4180069980552</c:v>
                </c:pt>
                <c:pt idx="12">
                  <c:v>119.37974804353851</c:v>
                </c:pt>
                <c:pt idx="13">
                  <c:v>119.35951046493304</c:v>
                </c:pt>
                <c:pt idx="14">
                  <c:v>119.33848193051409</c:v>
                </c:pt>
                <c:pt idx="15">
                  <c:v>119.31661955055678</c:v>
                </c:pt>
                <c:pt idx="16">
                  <c:v>119.2938771050115</c:v>
                </c:pt>
                <c:pt idx="17">
                  <c:v>119.27020471129828</c:v>
                </c:pt>
                <c:pt idx="18">
                  <c:v>119.24554845350171</c:v>
                </c:pt>
                <c:pt idx="19">
                  <c:v>119.21984996800249</c:v>
                </c:pt>
                <c:pt idx="20">
                  <c:v>119.19304597990713</c:v>
                </c:pt>
                <c:pt idx="21">
                  <c:v>119.16506778387502</c:v>
                </c:pt>
                <c:pt idx="22">
                  <c:v>119.13584066208354</c:v>
                </c:pt>
                <c:pt idx="23">
                  <c:v>119.10528323111014</c:v>
                </c:pt>
                <c:pt idx="24">
                  <c:v>119.07330670844335</c:v>
                </c:pt>
                <c:pt idx="25">
                  <c:v>119.03981408816163</c:v>
                </c:pt>
                <c:pt idx="26">
                  <c:v>119.00469921404778</c:v>
                </c:pt>
                <c:pt idx="27">
                  <c:v>118.96784573706184</c:v>
                </c:pt>
                <c:pt idx="28">
                  <c:v>118.92912594271002</c:v>
                </c:pt>
                <c:pt idx="29">
                  <c:v>118.88839943249533</c:v>
                </c:pt>
                <c:pt idx="30">
                  <c:v>118.8455116424213</c:v>
                </c:pt>
                <c:pt idx="31">
                  <c:v>118.80029218061716</c:v>
                </c:pt>
                <c:pt idx="32">
                  <c:v>118.75255296581956</c:v>
                </c:pt>
                <c:pt idx="33">
                  <c:v>118.70208614907102</c:v>
                </c:pt>
                <c:pt idx="34">
                  <c:v>118.64866180315295</c:v>
                </c:pt>
                <c:pt idx="35">
                  <c:v>118.59202536879155</c:v>
                </c:pt>
                <c:pt idx="36">
                  <c:v>118.53189485476055</c:v>
                </c:pt>
                <c:pt idx="37">
                  <c:v>118.46795780235588</c:v>
                </c:pt>
                <c:pt idx="38">
                  <c:v>118.39986804572744</c:v>
                </c:pt>
                <c:pt idx="39">
                  <c:v>118.32724233152942</c:v>
                </c:pt>
                <c:pt idx="40">
                  <c:v>118.24965690877714</c:v>
                </c:pt>
                <c:pt idx="41">
                  <c:v>118.16664426861641</c:v>
                </c:pt>
                <c:pt idx="42">
                  <c:v>118.07769031150484</c:v>
                </c:pt>
                <c:pt idx="43">
                  <c:v>117.98223235526777</c:v>
                </c:pt>
                <c:pt idx="44">
                  <c:v>117.87965858182866</c:v>
                </c:pt>
                <c:pt idx="45">
                  <c:v>117.76930976262003</c:v>
                </c:pt>
                <c:pt idx="46">
                  <c:v>117.6504844078155</c:v>
                </c:pt>
                <c:pt idx="47">
                  <c:v>117.52244884611757</c:v>
                </c:pt>
                <c:pt idx="48">
                  <c:v>117.38445412983856</c:v>
                </c:pt>
                <c:pt idx="49">
                  <c:v>117.23576200243248</c:v>
                </c:pt>
                <c:pt idx="50">
                  <c:v>117.07568232447218</c:v>
                </c:pt>
                <c:pt idx="51">
                  <c:v>116.90362410152629</c:v>
                </c:pt>
                <c:pt idx="52">
                  <c:v>116.71916126897747</c:v>
                </c:pt>
                <c:pt idx="53">
                  <c:v>116.52211228600103</c:v>
                </c:pt>
                <c:pt idx="54">
                  <c:v>116.31262908020865</c:v>
                </c:pt>
                <c:pt idx="55">
                  <c:v>116.09128603010089</c:v>
                </c:pt>
                <c:pt idx="56">
                  <c:v>115.85915426891454</c:v>
                </c:pt>
                <c:pt idx="57">
                  <c:v>115.61784244587597</c:v>
                </c:pt>
                <c:pt idx="58">
                  <c:v>115.36948481656758</c:v>
                </c:pt>
                <c:pt idx="59">
                  <c:v>115.11666357413056</c:v>
                </c:pt>
                <c:pt idx="60">
                  <c:v>114.86226513677651</c:v>
                </c:pt>
                <c:pt idx="61">
                  <c:v>114.60928670670407</c:v>
                </c:pt>
                <c:pt idx="62">
                  <c:v>114.3606237818108</c:v>
                </c:pt>
                <c:pt idx="63">
                  <c:v>114.1188751673223</c:v>
                </c:pt>
                <c:pt idx="64">
                  <c:v>113.88619663808342</c:v>
                </c:pt>
                <c:pt idx="65">
                  <c:v>113.66422028824978</c:v>
                </c:pt>
                <c:pt idx="66">
                  <c:v>113.45403996233416</c:v>
                </c:pt>
                <c:pt idx="67">
                  <c:v>113.25625010377431</c:v>
                </c:pt>
                <c:pt idx="68">
                  <c:v>113.07101901127808</c:v>
                </c:pt>
                <c:pt idx="69">
                  <c:v>112.89817752621609</c:v>
                </c:pt>
                <c:pt idx="70">
                  <c:v>112.73730821114216</c:v>
                </c:pt>
                <c:pt idx="71">
                  <c:v>112.58782547362232</c:v>
                </c:pt>
                <c:pt idx="72">
                  <c:v>112.44904199102429</c:v>
                </c:pt>
                <c:pt idx="73">
                  <c:v>112.32022036632985</c:v>
                </c:pt>
                <c:pt idx="74">
                  <c:v>112.20061110442263</c:v>
                </c:pt>
                <c:pt idx="75">
                  <c:v>112.08947902727407</c:v>
                </c:pt>
                <c:pt idx="76">
                  <c:v>111.98612052360805</c:v>
                </c:pt>
                <c:pt idx="77">
                  <c:v>111.88987388222745</c:v>
                </c:pt>
                <c:pt idx="78">
                  <c:v>111.80012462030814</c:v>
                </c:pt>
                <c:pt idx="79">
                  <c:v>111.71630733005995</c:v>
                </c:pt>
                <c:pt idx="80">
                  <c:v>111.63790520355707</c:v>
                </c:pt>
                <c:pt idx="81">
                  <c:v>111.56444808769446</c:v>
                </c:pt>
                <c:pt idx="82">
                  <c:v>111.49550967633397</c:v>
                </c:pt>
                <c:pt idx="83">
                  <c:v>111.43070426003158</c:v>
                </c:pt>
                <c:pt idx="84">
                  <c:v>111.3696833158829</c:v>
                </c:pt>
                <c:pt idx="85">
                  <c:v>111.31213212077094</c:v>
                </c:pt>
                <c:pt idx="86">
                  <c:v>111.25776650139126</c:v>
                </c:pt>
                <c:pt idx="87">
                  <c:v>111.20632978620465</c:v>
                </c:pt>
                <c:pt idx="88">
                  <c:v>111.15758999192246</c:v>
                </c:pt>
                <c:pt idx="89">
                  <c:v>111.11133725571632</c:v>
                </c:pt>
                <c:pt idx="90">
                  <c:v>111.06738151071394</c:v>
                </c:pt>
                <c:pt idx="91">
                  <c:v>111.02555039406697</c:v>
                </c:pt>
                <c:pt idx="92">
                  <c:v>110.98568737222618</c:v>
                </c:pt>
                <c:pt idx="93">
                  <c:v>110.94765006581842</c:v>
                </c:pt>
                <c:pt idx="94">
                  <c:v>110.91130875583821</c:v>
                </c:pt>
                <c:pt idx="95">
                  <c:v>110.8765450531663</c:v>
                </c:pt>
                <c:pt idx="96">
                  <c:v>110.84325071431036</c:v>
                </c:pt>
                <c:pt idx="97">
                  <c:v>110.81132658746404</c:v>
                </c:pt>
                <c:pt idx="98">
                  <c:v>110.78068167432899</c:v>
                </c:pt>
                <c:pt idx="99">
                  <c:v>110.75123229452554</c:v>
                </c:pt>
                <c:pt idx="100">
                  <c:v>110.72290134076397</c:v>
                </c:pt>
                <c:pt idx="101">
                  <c:v>110.69561761422038</c:v>
                </c:pt>
                <c:pt idx="102">
                  <c:v>110.6693152307349</c:v>
                </c:pt>
                <c:pt idx="103">
                  <c:v>110.6439330895204</c:v>
                </c:pt>
                <c:pt idx="104">
                  <c:v>110.61941439703156</c:v>
                </c:pt>
                <c:pt idx="105">
                  <c:v>110.59570623950452</c:v>
                </c:pt>
                <c:pt idx="106">
                  <c:v>110.57275919844054</c:v>
                </c:pt>
                <c:pt idx="107">
                  <c:v>110.55052700398171</c:v>
                </c:pt>
                <c:pt idx="108">
                  <c:v>110.52896622172156</c:v>
                </c:pt>
                <c:pt idx="109">
                  <c:v>110.50803596901525</c:v>
                </c:pt>
                <c:pt idx="110">
                  <c:v>110.48769765731336</c:v>
                </c:pt>
                <c:pt idx="111">
                  <c:v>110.46791475744442</c:v>
                </c:pt>
                <c:pt idx="112">
                  <c:v>110.44865258512392</c:v>
                </c:pt>
                <c:pt idx="113">
                  <c:v>110.4298781042758</c:v>
                </c:pt>
                <c:pt idx="114">
                  <c:v>110.41155974602228</c:v>
                </c:pt>
                <c:pt idx="115">
                  <c:v>110.39366724143571</c:v>
                </c:pt>
                <c:pt idx="116">
                  <c:v>110.37617146635323</c:v>
                </c:pt>
                <c:pt idx="117">
                  <c:v>110.35904429673842</c:v>
                </c:pt>
                <c:pt idx="118">
                  <c:v>110.34225847323539</c:v>
                </c:pt>
                <c:pt idx="119">
                  <c:v>110.32578747370295</c:v>
                </c:pt>
                <c:pt idx="120">
                  <c:v>110.30960539264339</c:v>
                </c:pt>
                <c:pt idx="121">
                  <c:v>110.2936868265532</c:v>
                </c:pt>
                <c:pt idx="122">
                  <c:v>110.27800676432413</c:v>
                </c:pt>
                <c:pt idx="123">
                  <c:v>110.26254048191529</c:v>
                </c:pt>
                <c:pt idx="124">
                  <c:v>110.24726344060038</c:v>
                </c:pt>
                <c:pt idx="125">
                  <c:v>110.23215118817207</c:v>
                </c:pt>
                <c:pt idx="126">
                  <c:v>110.21717926255855</c:v>
                </c:pt>
                <c:pt idx="127">
                  <c:v>110.20232309737612</c:v>
                </c:pt>
                <c:pt idx="128">
                  <c:v>110.18755792900974</c:v>
                </c:pt>
                <c:pt idx="129">
                  <c:v>110.1728587048792</c:v>
                </c:pt>
                <c:pt idx="130">
                  <c:v>110.15819999261619</c:v>
                </c:pt>
                <c:pt idx="131">
                  <c:v>110.14355588994493</c:v>
                </c:pt>
                <c:pt idx="132">
                  <c:v>110.12889993513127</c:v>
                </c:pt>
                <c:pt idx="133">
                  <c:v>110.11420501793916</c:v>
                </c:pt>
                <c:pt idx="134">
                  <c:v>110.09944329111437</c:v>
                </c:pt>
                <c:pt idx="135">
                  <c:v>110.08458608250163</c:v>
                </c:pt>
                <c:pt idx="136">
                  <c:v>110.06960380799522</c:v>
                </c:pt>
                <c:pt idx="137">
                  <c:v>110.05446588562664</c:v>
                </c:pt>
                <c:pt idx="138">
                  <c:v>110.03914065120584</c:v>
                </c:pt>
                <c:pt idx="139">
                  <c:v>110.02359527605726</c:v>
                </c:pt>
                <c:pt idx="140">
                  <c:v>110.00779568752942</c:v>
                </c:pt>
                <c:pt idx="141">
                  <c:v>109.99170649310899</c:v>
                </c:pt>
                <c:pt idx="142">
                  <c:v>109.97529090913679</c:v>
                </c:pt>
                <c:pt idx="143">
                  <c:v>109.95851069530814</c:v>
                </c:pt>
                <c:pt idx="144">
                  <c:v>109.94132609634164</c:v>
                </c:pt>
                <c:pt idx="145">
                  <c:v>109.92369579242236</c:v>
                </c:pt>
                <c:pt idx="146">
                  <c:v>109.90557686026692</c:v>
                </c:pt>
                <c:pt idx="147">
                  <c:v>109.88692474692057</c:v>
                </c:pt>
                <c:pt idx="148">
                  <c:v>109.87829616519484</c:v>
                </c:pt>
                <c:pt idx="149">
                  <c:v>109.82480358848061</c:v>
                </c:pt>
                <c:pt idx="150">
                  <c:v>109.76608756140088</c:v>
                </c:pt>
                <c:pt idx="151">
                  <c:v>109.70113068177577</c:v>
                </c:pt>
                <c:pt idx="152">
                  <c:v>109.62886382143783</c:v>
                </c:pt>
                <c:pt idx="153">
                  <c:v>109.54820321351914</c:v>
                </c:pt>
                <c:pt idx="154">
                  <c:v>109.45810934451472</c:v>
                </c:pt>
                <c:pt idx="155">
                  <c:v>109.35767301199817</c:v>
                </c:pt>
                <c:pt idx="156">
                  <c:v>109.24623249413321</c:v>
                </c:pt>
                <c:pt idx="157">
                  <c:v>109.123521568301</c:v>
                </c:pt>
                <c:pt idx="158">
                  <c:v>108.98983937381662</c:v>
                </c:pt>
                <c:pt idx="159">
                  <c:v>108.84621826653972</c:v>
                </c:pt>
                <c:pt idx="160">
                  <c:v>108.69454497757192</c:v>
                </c:pt>
                <c:pt idx="161">
                  <c:v>108.53756792727063</c:v>
                </c:pt>
                <c:pt idx="162">
                  <c:v>108.37871073050813</c:v>
                </c:pt>
                <c:pt idx="163">
                  <c:v>108.22162723816879</c:v>
                </c:pt>
                <c:pt idx="164">
                  <c:v>108.08594446762689</c:v>
                </c:pt>
                <c:pt idx="165">
                  <c:v>107.86943591099957</c:v>
                </c:pt>
                <c:pt idx="166">
                  <c:v>107.66604960052091</c:v>
                </c:pt>
                <c:pt idx="167">
                  <c:v>107.46577812206165</c:v>
                </c:pt>
                <c:pt idx="168">
                  <c:v>107.26095536035173</c:v>
                </c:pt>
                <c:pt idx="169">
                  <c:v>107.05859071968024</c:v>
                </c:pt>
                <c:pt idx="170">
                  <c:v>106.8732525006513</c:v>
                </c:pt>
                <c:pt idx="171">
                  <c:v>106.70327040202346</c:v>
                </c:pt>
                <c:pt idx="172">
                  <c:v>106.53789265046834</c:v>
                </c:pt>
                <c:pt idx="173">
                  <c:v>106.38629388089139</c:v>
                </c:pt>
                <c:pt idx="174">
                  <c:v>106.24911647738547</c:v>
                </c:pt>
                <c:pt idx="175">
                  <c:v>106.12040900302593</c:v>
                </c:pt>
                <c:pt idx="176">
                  <c:v>106.00588829441922</c:v>
                </c:pt>
                <c:pt idx="177">
                  <c:v>105.90044423519424</c:v>
                </c:pt>
                <c:pt idx="178">
                  <c:v>105.80546598143283</c:v>
                </c:pt>
                <c:pt idx="179">
                  <c:v>105.69317636284818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34E-46BD-8160-131E40E2965B}"/>
            </c:ext>
          </c:extLst>
        </c:ser>
        <c:ser>
          <c:idx val="8"/>
          <c:order val="8"/>
          <c:tx>
            <c:strRef>
              <c:f>FRES!$AX$4</c:f>
              <c:strCache>
                <c:ptCount val="1"/>
                <c:pt idx="0">
                  <c:v>Phase3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FRES!$AX$5:$AX$184</c:f>
              <c:numCache>
                <c:formatCode>General</c:formatCode>
                <c:ptCount val="180"/>
                <c:pt idx="0">
                  <c:v>119.84807033432885</c:v>
                </c:pt>
                <c:pt idx="1">
                  <c:v>119.83889314163783</c:v>
                </c:pt>
                <c:pt idx="2">
                  <c:v>119.8291428995112</c:v>
                </c:pt>
                <c:pt idx="3">
                  <c:v>119.81878026024847</c:v>
                </c:pt>
                <c:pt idx="4">
                  <c:v>119.80776250538911</c:v>
                </c:pt>
                <c:pt idx="5">
                  <c:v>119.79604313876747</c:v>
                </c:pt>
                <c:pt idx="6">
                  <c:v>119.78357141235084</c:v>
                </c:pt>
                <c:pt idx="7">
                  <c:v>119.77029177134322</c:v>
                </c:pt>
                <c:pt idx="8">
                  <c:v>119.75614320193947</c:v>
                </c:pt>
                <c:pt idx="9">
                  <c:v>119.74105846121675</c:v>
                </c:pt>
                <c:pt idx="10">
                  <c:v>119.72496316372147</c:v>
                </c:pt>
                <c:pt idx="11">
                  <c:v>119.70777469303914</c:v>
                </c:pt>
                <c:pt idx="12">
                  <c:v>119.68940089861073</c:v>
                </c:pt>
                <c:pt idx="13">
                  <c:v>119.67973772147714</c:v>
                </c:pt>
                <c:pt idx="14">
                  <c:v>119.66973852772355</c:v>
                </c:pt>
                <c:pt idx="15">
                  <c:v>119.6593883651943</c:v>
                </c:pt>
                <c:pt idx="16">
                  <c:v>119.6486713292046</c:v>
                </c:pt>
                <c:pt idx="17">
                  <c:v>119.63757047942141</c:v>
                </c:pt>
                <c:pt idx="18">
                  <c:v>119.62606774784373</c:v>
                </c:pt>
                <c:pt idx="19">
                  <c:v>119.61414383677852</c:v>
                </c:pt>
                <c:pt idx="20">
                  <c:v>119.60177810555379</c:v>
                </c:pt>
                <c:pt idx="21">
                  <c:v>119.58894844452874</c:v>
                </c:pt>
                <c:pt idx="22">
                  <c:v>119.57563113475254</c:v>
                </c:pt>
                <c:pt idx="23">
                  <c:v>119.56180069137895</c:v>
                </c:pt>
                <c:pt idx="24">
                  <c:v>119.54742968865955</c:v>
                </c:pt>
                <c:pt idx="25">
                  <c:v>119.53248856400623</c:v>
                </c:pt>
                <c:pt idx="26">
                  <c:v>119.51694539822398</c:v>
                </c:pt>
                <c:pt idx="27">
                  <c:v>119.50076566855763</c:v>
                </c:pt>
                <c:pt idx="28">
                  <c:v>119.48391197065777</c:v>
                </c:pt>
                <c:pt idx="29">
                  <c:v>119.46634370493661</c:v>
                </c:pt>
                <c:pt idx="30">
                  <c:v>119.44801672203303</c:v>
                </c:pt>
                <c:pt idx="31">
                  <c:v>119.42888292121731</c:v>
                </c:pt>
                <c:pt idx="32">
                  <c:v>119.4088897945085</c:v>
                </c:pt>
                <c:pt idx="33">
                  <c:v>119.38797990802053</c:v>
                </c:pt>
                <c:pt idx="34">
                  <c:v>119.36609031055283</c:v>
                </c:pt>
                <c:pt idx="35">
                  <c:v>119.34315185764807</c:v>
                </c:pt>
                <c:pt idx="36">
                  <c:v>119.31908843719272</c:v>
                </c:pt>
                <c:pt idx="37">
                  <c:v>119.29381608006173</c:v>
                </c:pt>
                <c:pt idx="38">
                  <c:v>119.26724193621368</c:v>
                </c:pt>
                <c:pt idx="39">
                  <c:v>119.23926309292445</c:v>
                </c:pt>
                <c:pt idx="40">
                  <c:v>119.20976520736993</c:v>
                </c:pt>
                <c:pt idx="41">
                  <c:v>119.17862092038202</c:v>
                </c:pt>
                <c:pt idx="42">
                  <c:v>119.14568801172351</c:v>
                </c:pt>
                <c:pt idx="43">
                  <c:v>119.11080724945097</c:v>
                </c:pt>
                <c:pt idx="44">
                  <c:v>119.07379987662917</c:v>
                </c:pt>
                <c:pt idx="45">
                  <c:v>119.03446466758423</c:v>
                </c:pt>
                <c:pt idx="46">
                  <c:v>118.99257447280606</c:v>
                </c:pt>
                <c:pt idx="47">
                  <c:v>118.94787215636151</c:v>
                </c:pt>
                <c:pt idx="48">
                  <c:v>118.90006581223763</c:v>
                </c:pt>
                <c:pt idx="49">
                  <c:v>118.84882312667187</c:v>
                </c:pt>
                <c:pt idx="50">
                  <c:v>118.79376473309276</c:v>
                </c:pt>
                <c:pt idx="51">
                  <c:v>118.73445638665336</c:v>
                </c:pt>
                <c:pt idx="52">
                  <c:v>118.67039977014579</c:v>
                </c:pt>
                <c:pt idx="53">
                  <c:v>118.60102173902644</c:v>
                </c:pt>
                <c:pt idx="54">
                  <c:v>118.525661832152</c:v>
                </c:pt>
                <c:pt idx="55">
                  <c:v>118.44355793679465</c:v>
                </c:pt>
                <c:pt idx="56">
                  <c:v>118.353830135268</c:v>
                </c:pt>
                <c:pt idx="57">
                  <c:v>118.25546303102026</c:v>
                </c:pt>
                <c:pt idx="58">
                  <c:v>118.14728734156395</c:v>
                </c:pt>
                <c:pt idx="59">
                  <c:v>118.02796238755872</c:v>
                </c:pt>
                <c:pt idx="60">
                  <c:v>117.89596249500609</c:v>
                </c:pt>
                <c:pt idx="61">
                  <c:v>117.74957251600543</c:v>
                </c:pt>
                <c:pt idx="62">
                  <c:v>117.58690094173031</c:v>
                </c:pt>
                <c:pt idx="63">
                  <c:v>117.40592359127362</c:v>
                </c:pt>
                <c:pt idx="64">
                  <c:v>117.20457630165809</c:v>
                </c:pt>
                <c:pt idx="65">
                  <c:v>116.98091991630233</c:v>
                </c:pt>
                <c:pt idx="66">
                  <c:v>116.73340134893002</c:v>
                </c:pt>
                <c:pt idx="67">
                  <c:v>116.46122339563792</c:v>
                </c:pt>
                <c:pt idx="68">
                  <c:v>116.16480360893142</c:v>
                </c:pt>
                <c:pt idx="69">
                  <c:v>115.84624323150042</c:v>
                </c:pt>
                <c:pt idx="70">
                  <c:v>115.50965363794839</c:v>
                </c:pt>
                <c:pt idx="71">
                  <c:v>115.1611454060302</c:v>
                </c:pt>
                <c:pt idx="72">
                  <c:v>114.80833981018705</c:v>
                </c:pt>
                <c:pt idx="73">
                  <c:v>114.45943946318597</c:v>
                </c:pt>
                <c:pt idx="74">
                  <c:v>114.12211262746918</c:v>
                </c:pt>
                <c:pt idx="75">
                  <c:v>113.80254911447508</c:v>
                </c:pt>
                <c:pt idx="76">
                  <c:v>113.50495025298889</c:v>
                </c:pt>
                <c:pt idx="77">
                  <c:v>113.23149927205695</c:v>
                </c:pt>
                <c:pt idx="78">
                  <c:v>112.98267718663647</c:v>
                </c:pt>
                <c:pt idx="79">
                  <c:v>112.75772922106239</c:v>
                </c:pt>
                <c:pt idx="80">
                  <c:v>112.55512627856262</c:v>
                </c:pt>
                <c:pt idx="81">
                  <c:v>112.37293935792876</c:v>
                </c:pt>
                <c:pt idx="82">
                  <c:v>112.20910521609605</c:v>
                </c:pt>
                <c:pt idx="83">
                  <c:v>112.06159505670601</c:v>
                </c:pt>
                <c:pt idx="84">
                  <c:v>111.92850984528167</c:v>
                </c:pt>
                <c:pt idx="85">
                  <c:v>111.80812569932206</c:v>
                </c:pt>
                <c:pt idx="86">
                  <c:v>111.69890801935796</c:v>
                </c:pt>
                <c:pt idx="87">
                  <c:v>111.59950756665833</c:v>
                </c:pt>
                <c:pt idx="88">
                  <c:v>111.50874713099729</c:v>
                </c:pt>
                <c:pt idx="89">
                  <c:v>111.42560411141982</c:v>
                </c:pt>
                <c:pt idx="90">
                  <c:v>111.34919210325762</c:v>
                </c:pt>
                <c:pt idx="91">
                  <c:v>111.27874316794183</c:v>
                </c:pt>
                <c:pt idx="92">
                  <c:v>111.21359160101343</c:v>
                </c:pt>
                <c:pt idx="93">
                  <c:v>111.15315951208272</c:v>
                </c:pt>
                <c:pt idx="94">
                  <c:v>111.09694425255179</c:v>
                </c:pt>
                <c:pt idx="95">
                  <c:v>111.044507583761</c:v>
                </c:pt>
                <c:pt idx="96">
                  <c:v>110.99546641373901</c:v>
                </c:pt>
                <c:pt idx="97">
                  <c:v>110.94948491048822</c:v>
                </c:pt>
                <c:pt idx="98">
                  <c:v>110.90626780308995</c:v>
                </c:pt>
                <c:pt idx="99">
                  <c:v>110.86555469678899</c:v>
                </c:pt>
                <c:pt idx="100">
                  <c:v>110.82711524775554</c:v>
                </c:pt>
                <c:pt idx="101">
                  <c:v>110.7907450636669</c:v>
                </c:pt>
                <c:pt idx="102">
                  <c:v>110.7562622156801</c:v>
                </c:pt>
                <c:pt idx="103">
                  <c:v>110.72350426489839</c:v>
                </c:pt>
                <c:pt idx="104">
                  <c:v>110.69232572177627</c:v>
                </c:pt>
                <c:pt idx="105">
                  <c:v>110.66259587007232</c:v>
                </c:pt>
                <c:pt idx="106">
                  <c:v>110.63419689811546</c:v>
                </c:pt>
                <c:pt idx="107">
                  <c:v>110.6070222895228</c:v>
                </c:pt>
                <c:pt idx="108">
                  <c:v>110.58097543334318</c:v>
                </c:pt>
                <c:pt idx="109">
                  <c:v>110.55596842012667</c:v>
                </c:pt>
                <c:pt idx="110">
                  <c:v>110.53192099584724</c:v>
                </c:pt>
                <c:pt idx="111">
                  <c:v>110.50875965011531</c:v>
                </c:pt>
                <c:pt idx="112">
                  <c:v>110.4864168188633</c:v>
                </c:pt>
                <c:pt idx="113">
                  <c:v>110.46483018480296</c:v>
                </c:pt>
                <c:pt idx="114">
                  <c:v>110.44394206154543</c:v>
                </c:pt>
                <c:pt idx="115">
                  <c:v>110.42369884943766</c:v>
                </c:pt>
                <c:pt idx="116">
                  <c:v>110.40405055297268</c:v>
                </c:pt>
                <c:pt idx="117">
                  <c:v>110.38495035114261</c:v>
                </c:pt>
                <c:pt idx="118">
                  <c:v>110.36635421336902</c:v>
                </c:pt>
                <c:pt idx="119">
                  <c:v>110.34822055471098</c:v>
                </c:pt>
                <c:pt idx="120">
                  <c:v>110.33050992494813</c:v>
                </c:pt>
                <c:pt idx="121">
                  <c:v>110.31318472689547</c:v>
                </c:pt>
                <c:pt idx="122">
                  <c:v>110.29620895995002</c:v>
                </c:pt>
                <c:pt idx="123">
                  <c:v>110.27954798541808</c:v>
                </c:pt>
                <c:pt idx="124">
                  <c:v>110.26316831064021</c:v>
                </c:pt>
                <c:pt idx="125">
                  <c:v>110.24703738933401</c:v>
                </c:pt>
                <c:pt idx="126">
                  <c:v>110.23112343592301</c:v>
                </c:pt>
                <c:pt idx="127">
                  <c:v>110.21539525192337</c:v>
                </c:pt>
                <c:pt idx="128">
                  <c:v>110.19982206272543</c:v>
                </c:pt>
                <c:pt idx="129">
                  <c:v>110.18437336334404</c:v>
                </c:pt>
                <c:pt idx="130">
                  <c:v>110.16901877192201</c:v>
                </c:pt>
                <c:pt idx="131">
                  <c:v>110.15372788996393</c:v>
                </c:pt>
                <c:pt idx="132">
                  <c:v>110.13847016845448</c:v>
                </c:pt>
                <c:pt idx="133">
                  <c:v>110.12321477918162</c:v>
                </c:pt>
                <c:pt idx="134">
                  <c:v>110.10793049074391</c:v>
                </c:pt>
                <c:pt idx="135">
                  <c:v>110.09258554887511</c:v>
                </c:pt>
                <c:pt idx="136">
                  <c:v>110.07714756087226</c:v>
                </c:pt>
                <c:pt idx="137">
                  <c:v>110.06158338406671</c:v>
                </c:pt>
                <c:pt idx="138">
                  <c:v>110.04585901843497</c:v>
                </c:pt>
                <c:pt idx="139">
                  <c:v>110.02993950360897</c:v>
                </c:pt>
                <c:pt idx="140">
                  <c:v>110.01378882071614</c:v>
                </c:pt>
                <c:pt idx="141">
                  <c:v>109.9973697996604</c:v>
                </c:pt>
                <c:pt idx="142">
                  <c:v>109.98064403264769</c:v>
                </c:pt>
                <c:pt idx="143">
                  <c:v>109.96357179496609</c:v>
                </c:pt>
                <c:pt idx="144">
                  <c:v>109.94611197425222</c:v>
                </c:pt>
                <c:pt idx="145">
                  <c:v>109.92822200971383</c:v>
                </c:pt>
                <c:pt idx="146">
                  <c:v>109.90985784303602</c:v>
                </c:pt>
                <c:pt idx="147">
                  <c:v>109.89097388297334</c:v>
                </c:pt>
                <c:pt idx="148">
                  <c:v>109.88224452129239</c:v>
                </c:pt>
                <c:pt idx="149">
                  <c:v>109.82820559998873</c:v>
                </c:pt>
                <c:pt idx="150">
                  <c:v>109.76901430434927</c:v>
                </c:pt>
                <c:pt idx="151">
                  <c:v>109.70364157417825</c:v>
                </c:pt>
                <c:pt idx="152">
                  <c:v>109.63100910850129</c:v>
                </c:pt>
                <c:pt idx="153">
                  <c:v>109.55002595075719</c:v>
                </c:pt>
                <c:pt idx="154">
                  <c:v>109.45964698858073</c:v>
                </c:pt>
                <c:pt idx="155">
                  <c:v>109.35895870336331</c:v>
                </c:pt>
                <c:pt idx="156">
                  <c:v>109.24729609368981</c:v>
                </c:pt>
                <c:pt idx="157">
                  <c:v>109.12439048856096</c:v>
                </c:pt>
                <c:pt idx="158">
                  <c:v>108.99053922248659</c:v>
                </c:pt>
                <c:pt idx="159">
                  <c:v>108.84677329611756</c:v>
                </c:pt>
                <c:pt idx="160">
                  <c:v>108.6949783137887</c:v>
                </c:pt>
                <c:pt idx="161">
                  <c:v>108.53790154164847</c:v>
                </c:pt>
                <c:pt idx="162">
                  <c:v>108.37896514078183</c:v>
                </c:pt>
                <c:pt idx="163">
                  <c:v>108.22182097240153</c:v>
                </c:pt>
                <c:pt idx="164">
                  <c:v>108.08609765919648</c:v>
                </c:pt>
                <c:pt idx="165">
                  <c:v>107.86954282007363</c:v>
                </c:pt>
                <c:pt idx="166">
                  <c:v>107.66612775955383</c:v>
                </c:pt>
                <c:pt idx="167">
                  <c:v>107.46583545354139</c:v>
                </c:pt>
                <c:pt idx="168">
                  <c:v>107.26099547428075</c:v>
                </c:pt>
                <c:pt idx="169">
                  <c:v>107.05861778078983</c:v>
                </c:pt>
                <c:pt idx="170">
                  <c:v>106.87327150451129</c:v>
                </c:pt>
                <c:pt idx="171">
                  <c:v>106.70328423500891</c:v>
                </c:pt>
                <c:pt idx="172">
                  <c:v>106.53790220392645</c:v>
                </c:pt>
                <c:pt idx="173">
                  <c:v>106.38630056456994</c:v>
                </c:pt>
                <c:pt idx="174">
                  <c:v>106.2491212744887</c:v>
                </c:pt>
                <c:pt idx="175">
                  <c:v>106.12041232009614</c:v>
                </c:pt>
                <c:pt idx="176">
                  <c:v>106.00589067094633</c:v>
                </c:pt>
                <c:pt idx="177">
                  <c:v>105.900445899003</c:v>
                </c:pt>
                <c:pt idx="178">
                  <c:v>105.80546715185359</c:v>
                </c:pt>
                <c:pt idx="179">
                  <c:v>105.69317709782699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4E-46BD-8160-131E40E29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8040"/>
        <c:axId val="590860600"/>
      </c:scatterChart>
      <c:scatterChart>
        <c:scatterStyle val="lineMarker"/>
        <c:varyColors val="0"/>
        <c:ser>
          <c:idx val="3"/>
          <c:order val="3"/>
          <c:tx>
            <c:strRef>
              <c:f>FRES!$AY$4</c:f>
              <c:strCache>
                <c:ptCount val="1"/>
                <c:pt idx="0">
                  <c:v>Imp1</c:v>
                </c:pt>
              </c:strCache>
            </c:strRef>
          </c:tx>
          <c:spPr>
            <a:ln w="158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FRES!$AY$5:$AY$184</c:f>
              <c:numCache>
                <c:formatCode>General</c:formatCode>
                <c:ptCount val="180"/>
                <c:pt idx="0">
                  <c:v>7.3071393509374207</c:v>
                </c:pt>
                <c:pt idx="1">
                  <c:v>7.3210439009183208</c:v>
                </c:pt>
                <c:pt idx="2">
                  <c:v>7.3368637231288476</c:v>
                </c:pt>
                <c:pt idx="3">
                  <c:v>7.3548923245418436</c:v>
                </c:pt>
                <c:pt idx="4">
                  <c:v>7.375476098003781</c:v>
                </c:pt>
                <c:pt idx="5">
                  <c:v>7.3990259171555728</c:v>
                </c:pt>
                <c:pt idx="6">
                  <c:v>7.4260318049046266</c:v>
                </c:pt>
                <c:pt idx="7">
                  <c:v>7.4570816322403797</c:v>
                </c:pt>
                <c:pt idx="8">
                  <c:v>7.4928851449355562</c:v>
                </c:pt>
                <c:pt idx="9">
                  <c:v>7.5343050928300022</c:v>
                </c:pt>
                <c:pt idx="10">
                  <c:v>7.5823979103954979</c:v>
                </c:pt>
                <c:pt idx="11">
                  <c:v>7.6384673576596027</c:v>
                </c:pt>
                <c:pt idx="12">
                  <c:v>7.7041359106799785</c:v>
                </c:pt>
                <c:pt idx="13">
                  <c:v>7.7411869837838108</c:v>
                </c:pt>
                <c:pt idx="14">
                  <c:v>7.7814406899263853</c:v>
                </c:pt>
                <c:pt idx="15">
                  <c:v>7.8252377674075575</c:v>
                </c:pt>
                <c:pt idx="16">
                  <c:v>7.8729636309445388</c:v>
                </c:pt>
                <c:pt idx="17">
                  <c:v>7.9250553504062031</c:v>
                </c:pt>
                <c:pt idx="18">
                  <c:v>7.9820098763554475</c:v>
                </c:pt>
                <c:pt idx="19">
                  <c:v>8.0443937573625508</c:v>
                </c:pt>
                <c:pt idx="20">
                  <c:v>8.1128546443529199</c:v>
                </c:pt>
                <c:pt idx="21">
                  <c:v>8.1881349372421628</c:v>
                </c:pt>
                <c:pt idx="22">
                  <c:v>8.2710879998446689</c:v>
                </c:pt>
                <c:pt idx="23">
                  <c:v>8.3626974509793364</c:v>
                </c:pt>
                <c:pt idx="24">
                  <c:v>8.4641001319642601</c:v>
                </c:pt>
                <c:pt idx="25">
                  <c:v>8.5766134497475122</c:v>
                </c:pt>
                <c:pt idx="26">
                  <c:v>8.7017678921682915</c:v>
                </c:pt>
                <c:pt idx="27">
                  <c:v>8.8413455894097392</c:v>
                </c:pt>
                <c:pt idx="28">
                  <c:v>8.9974258190347509</c:v>
                </c:pt>
                <c:pt idx="29">
                  <c:v>9.1724382568347718</c:v>
                </c:pt>
                <c:pt idx="30">
                  <c:v>9.3692244454156182</c:v>
                </c:pt>
                <c:pt idx="31">
                  <c:v>9.5911071784071886</c:v>
                </c:pt>
                <c:pt idx="32">
                  <c:v>9.8419659115684937</c:v>
                </c:pt>
                <c:pt idx="33">
                  <c:v>10.126313267054032</c:v>
                </c:pt>
                <c:pt idx="34">
                  <c:v>10.449362076007157</c:v>
                </c:pt>
                <c:pt idx="35">
                  <c:v>10.817062305495291</c:v>
                </c:pt>
                <c:pt idx="36">
                  <c:v>11.236069491467708</c:v>
                </c:pt>
                <c:pt idx="37">
                  <c:v>11.713575997031624</c:v>
                </c:pt>
                <c:pt idx="38">
                  <c:v>12.256886474745363</c:v>
                </c:pt>
                <c:pt idx="39">
                  <c:v>12.872541421129906</c:v>
                </c:pt>
                <c:pt idx="40">
                  <c:v>13.564685445497942</c:v>
                </c:pt>
                <c:pt idx="41">
                  <c:v>14.332263964439878</c:v>
                </c:pt>
                <c:pt idx="42">
                  <c:v>15.164614549441772</c:v>
                </c:pt>
                <c:pt idx="43">
                  <c:v>16.035365517289861</c:v>
                </c:pt>
                <c:pt idx="44">
                  <c:v>16.895763389863834</c:v>
                </c:pt>
                <c:pt idx="45">
                  <c:v>17.67106245428872</c:v>
                </c:pt>
                <c:pt idx="46">
                  <c:v>18.26653541801921</c:v>
                </c:pt>
                <c:pt idx="47">
                  <c:v>18.588913768467286</c:v>
                </c:pt>
                <c:pt idx="48">
                  <c:v>18.579348353556231</c:v>
                </c:pt>
                <c:pt idx="49">
                  <c:v>18.239394337453852</c:v>
                </c:pt>
                <c:pt idx="50">
                  <c:v>17.630307156365983</c:v>
                </c:pt>
                <c:pt idx="51">
                  <c:v>16.846217523011301</c:v>
                </c:pt>
                <c:pt idx="52">
                  <c:v>15.981366371249049</c:v>
                </c:pt>
                <c:pt idx="53">
                  <c:v>15.109380338330112</c:v>
                </c:pt>
                <c:pt idx="54">
                  <c:v>14.277862813654739</c:v>
                </c:pt>
                <c:pt idx="55">
                  <c:v>13.512283134016743</c:v>
                </c:pt>
                <c:pt idx="56">
                  <c:v>12.822693434054067</c:v>
                </c:pt>
                <c:pt idx="57">
                  <c:v>12.209774672235493</c:v>
                </c:pt>
                <c:pt idx="58">
                  <c:v>11.669171672069114</c:v>
                </c:pt>
                <c:pt idx="59">
                  <c:v>11.194235831682635</c:v>
                </c:pt>
                <c:pt idx="60">
                  <c:v>10.777614901233781</c:v>
                </c:pt>
                <c:pt idx="61">
                  <c:v>10.412102846468159</c:v>
                </c:pt>
                <c:pt idx="62">
                  <c:v>10.091048420958334</c:v>
                </c:pt>
                <c:pt idx="63">
                  <c:v>9.8085146747639289</c:v>
                </c:pt>
                <c:pt idx="64">
                  <c:v>9.5593053570592215</c:v>
                </c:pt>
                <c:pt idx="65">
                  <c:v>9.3389252092105703</c:v>
                </c:pt>
                <c:pt idx="66">
                  <c:v>9.1435115076479878</c:v>
                </c:pt>
                <c:pt idx="67">
                  <c:v>8.9697569100487549</c:v>
                </c:pt>
                <c:pt idx="68">
                  <c:v>8.8148338120256753</c:v>
                </c:pt>
                <c:pt idx="69">
                  <c:v>8.6763249496471797</c:v>
                </c:pt>
                <c:pt idx="70">
                  <c:v>8.552162024947668</c:v>
                </c:pt>
                <c:pt idx="71">
                  <c:v>8.4405725949943218</c:v>
                </c:pt>
                <c:pt idx="72">
                  <c:v>8.3400347196001068</c:v>
                </c:pt>
                <c:pt idx="73">
                  <c:v>8.2492385486067388</c:v>
                </c:pt>
                <c:pt idx="74">
                  <c:v>8.1670539434944018</c:v>
                </c:pt>
                <c:pt idx="75">
                  <c:v>8.0925032563065962</c:v>
                </c:pt>
                <c:pt idx="76">
                  <c:v>8.0247384690243102</c:v>
                </c:pt>
                <c:pt idx="77">
                  <c:v>7.9630219950415784</c:v>
                </c:pt>
                <c:pt idx="78">
                  <c:v>7.9067105439991021</c:v>
                </c:pt>
                <c:pt idx="79">
                  <c:v>7.8552415436610419</c:v>
                </c:pt>
                <c:pt idx="80">
                  <c:v>7.8081216944197704</c:v>
                </c:pt>
                <c:pt idx="81">
                  <c:v>7.7649173026151548</c:v>
                </c:pt>
                <c:pt idx="82">
                  <c:v>7.7252460986783005</c:v>
                </c:pt>
                <c:pt idx="83">
                  <c:v>7.6887702962389968</c:v>
                </c:pt>
                <c:pt idx="84">
                  <c:v>7.6551906900447451</c:v>
                </c:pt>
                <c:pt idx="85">
                  <c:v>7.6242416250833154</c:v>
                </c:pt>
                <c:pt idx="86">
                  <c:v>7.5956866978366238</c:v>
                </c:pt>
                <c:pt idx="87">
                  <c:v>7.5693150741323141</c:v>
                </c:pt>
                <c:pt idx="88">
                  <c:v>7.5449383274686594</c:v>
                </c:pt>
                <c:pt idx="89">
                  <c:v>7.5223877176965024</c:v>
                </c:pt>
                <c:pt idx="90">
                  <c:v>7.5015118431559946</c:v>
                </c:pt>
                <c:pt idx="91">
                  <c:v>7.4821746102855462</c:v>
                </c:pt>
                <c:pt idx="92">
                  <c:v>7.4642534737581894</c:v>
                </c:pt>
                <c:pt idx="93">
                  <c:v>7.4476379076930668</c:v>
                </c:pt>
                <c:pt idx="94">
                  <c:v>7.4322280747127225</c:v>
                </c:pt>
                <c:pt idx="95">
                  <c:v>7.4179336647954877</c:v>
                </c:pt>
                <c:pt idx="96">
                  <c:v>7.4046728801914554</c:v>
                </c:pt>
                <c:pt idx="97">
                  <c:v>7.3923715462792456</c:v>
                </c:pt>
                <c:pt idx="98">
                  <c:v>7.3809623312637802</c:v>
                </c:pt>
                <c:pt idx="99">
                  <c:v>7.3703840601522739</c:v>
                </c:pt>
                <c:pt idx="100">
                  <c:v>7.3605811105800578</c:v>
                </c:pt>
                <c:pt idx="101">
                  <c:v>7.3515028798566</c:v>
                </c:pt>
                <c:pt idx="102">
                  <c:v>7.3431033141230744</c:v>
                </c:pt>
                <c:pt idx="103">
                  <c:v>7.3353404917992187</c:v>
                </c:pt>
                <c:pt idx="104">
                  <c:v>7.3281762545903728</c:v>
                </c:pt>
                <c:pt idx="105">
                  <c:v>7.3215758802539144</c:v>
                </c:pt>
                <c:pt idx="106">
                  <c:v>7.3155077921166418</c:v>
                </c:pt>
                <c:pt idx="107">
                  <c:v>7.309943301010394</c:v>
                </c:pt>
                <c:pt idx="108">
                  <c:v>7.3048563758721556</c:v>
                </c:pt>
                <c:pt idx="109">
                  <c:v>7.3002234397512868</c:v>
                </c:pt>
                <c:pt idx="110">
                  <c:v>7.2960231883928559</c:v>
                </c:pt>
                <c:pt idx="111">
                  <c:v>7.2922364289336867</c:v>
                </c:pt>
                <c:pt idx="112">
                  <c:v>7.2888459365643889</c:v>
                </c:pt>
                <c:pt idx="113">
                  <c:v>7.2858363272850335</c:v>
                </c:pt>
                <c:pt idx="114">
                  <c:v>7.2831939451192165</c:v>
                </c:pt>
                <c:pt idx="115">
                  <c:v>7.2809067623578674</c:v>
                </c:pt>
                <c:pt idx="116">
                  <c:v>7.2789642915828718</c:v>
                </c:pt>
                <c:pt idx="117">
                  <c:v>7.2773575083773645</c:v>
                </c:pt>
                <c:pt idx="118">
                  <c:v>7.2760787837655725</c:v>
                </c:pt>
                <c:pt idx="119">
                  <c:v>7.2751218255448666</c:v>
                </c:pt>
                <c:pt idx="120">
                  <c:v>7.2744816277769546</c:v>
                </c:pt>
                <c:pt idx="121">
                  <c:v>7.274154427797348</c:v>
                </c:pt>
                <c:pt idx="122">
                  <c:v>7.2741376701829967</c:v>
                </c:pt>
                <c:pt idx="123">
                  <c:v>7.274429977189337</c:v>
                </c:pt>
                <c:pt idx="124">
                  <c:v>7.2750311252309157</c:v>
                </c:pt>
                <c:pt idx="125">
                  <c:v>7.2759420270354411</c:v>
                </c:pt>
                <c:pt idx="126">
                  <c:v>7.2771647191506315</c:v>
                </c:pt>
                <c:pt idx="127">
                  <c:v>7.2787023545265574</c:v>
                </c:pt>
                <c:pt idx="128">
                  <c:v>7.2805591999355501</c:v>
                </c:pt>
                <c:pt idx="129">
                  <c:v>7.2827406380258406</c:v>
                </c:pt>
                <c:pt idx="130">
                  <c:v>7.2852531738358728</c:v>
                </c:pt>
                <c:pt idx="131">
                  <c:v>7.2881044456235502</c:v>
                </c:pt>
                <c:pt idx="132">
                  <c:v>7.2913032398885385</c:v>
                </c:pt>
                <c:pt idx="133">
                  <c:v>7.2948595104874814</c:v>
                </c:pt>
                <c:pt idx="134">
                  <c:v>7.298784401760253</c:v>
                </c:pt>
                <c:pt idx="135">
                  <c:v>7.3030902756024405</c:v>
                </c:pt>
                <c:pt idx="136">
                  <c:v>7.3077907424330872</c:v>
                </c:pt>
                <c:pt idx="137">
                  <c:v>7.3129006960191605</c:v>
                </c:pt>
                <c:pt idx="138">
                  <c:v>7.3184363521288311</c:v>
                </c:pt>
                <c:pt idx="139">
                  <c:v>7.324415290993799</c:v>
                </c:pt>
                <c:pt idx="140">
                  <c:v>7.3308565035680697</c:v>
                </c:pt>
                <c:pt idx="141">
                  <c:v>7.3377804415753758</c:v>
                </c:pt>
                <c:pt idx="142">
                  <c:v>7.3452090713411806</c:v>
                </c:pt>
                <c:pt idx="143">
                  <c:v>7.3531659314063855</c:v>
                </c:pt>
                <c:pt idx="144">
                  <c:v>7.361676193920526</c:v>
                </c:pt>
                <c:pt idx="145">
                  <c:v>7.3707667298097848</c:v>
                </c:pt>
                <c:pt idx="146">
                  <c:v>7.3804661777123259</c:v>
                </c:pt>
                <c:pt idx="147">
                  <c:v>7.3908050166674508</c:v>
                </c:pt>
                <c:pt idx="148">
                  <c:v>7.3957026269049901</c:v>
                </c:pt>
                <c:pt idx="149">
                  <c:v>7.4275286073313245</c:v>
                </c:pt>
                <c:pt idx="150">
                  <c:v>7.4649525027945804</c:v>
                </c:pt>
                <c:pt idx="151">
                  <c:v>7.5087937939556317</c:v>
                </c:pt>
                <c:pt idx="152">
                  <c:v>7.5600000611399816</c:v>
                </c:pt>
                <c:pt idx="153">
                  <c:v>7.6196611853942962</c:v>
                </c:pt>
                <c:pt idx="154">
                  <c:v>7.6890243760812229</c:v>
                </c:pt>
                <c:pt idx="155">
                  <c:v>7.7695096238489176</c:v>
                </c:pt>
                <c:pt idx="156">
                  <c:v>7.8627249487732644</c:v>
                </c:pt>
                <c:pt idx="157">
                  <c:v>7.9704804978115389</c:v>
                </c:pt>
                <c:pt idx="158">
                  <c:v>8.0948001710307302</c:v>
                </c:pt>
                <c:pt idx="159">
                  <c:v>8.2379291389382363</c:v>
                </c:pt>
                <c:pt idx="160">
                  <c:v>8.4023356020670317</c:v>
                </c:pt>
                <c:pt idx="161">
                  <c:v>8.5907057825669177</c:v>
                </c:pt>
                <c:pt idx="162">
                  <c:v>8.8059326559386513</c:v>
                </c:pt>
                <c:pt idx="163">
                  <c:v>9.0511010887598253</c:v>
                </c:pt>
                <c:pt idx="164">
                  <c:v>9.2970684513731818</c:v>
                </c:pt>
                <c:pt idx="165">
                  <c:v>9.7779759521879299</c:v>
                </c:pt>
                <c:pt idx="166">
                  <c:v>10.352748879637964</c:v>
                </c:pt>
                <c:pt idx="167">
                  <c:v>11.034641427049429</c:v>
                </c:pt>
                <c:pt idx="168">
                  <c:v>11.83808685612928</c:v>
                </c:pt>
                <c:pt idx="169">
                  <c:v>12.778804331963709</c:v>
                </c:pt>
                <c:pt idx="170">
                  <c:v>13.873738297571562</c:v>
                </c:pt>
                <c:pt idx="171">
                  <c:v>15.141085336319343</c:v>
                </c:pt>
                <c:pt idx="172">
                  <c:v>16.600696853006546</c:v>
                </c:pt>
                <c:pt idx="173">
                  <c:v>18.274532171106404</c:v>
                </c:pt>
                <c:pt idx="174">
                  <c:v>20.186847251864211</c:v>
                </c:pt>
                <c:pt idx="175">
                  <c:v>22.364640158277915</c:v>
                </c:pt>
                <c:pt idx="176">
                  <c:v>24.83814104098273</c:v>
                </c:pt>
                <c:pt idx="177">
                  <c:v>27.641225191571575</c:v>
                </c:pt>
                <c:pt idx="178">
                  <c:v>30.811970600211431</c:v>
                </c:pt>
                <c:pt idx="179">
                  <c:v>35.706219522617019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34E-46BD-8160-131E40E2965B}"/>
            </c:ext>
          </c:extLst>
        </c:ser>
        <c:ser>
          <c:idx val="4"/>
          <c:order val="4"/>
          <c:tx>
            <c:strRef>
              <c:f>FRES!$AZ$4</c:f>
              <c:strCache>
                <c:ptCount val="1"/>
                <c:pt idx="0">
                  <c:v>Imp2</c:v>
                </c:pt>
              </c:strCache>
            </c:strRef>
          </c:tx>
          <c:spPr>
            <a:ln w="15875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FRES!$AZ$5:$AZ$184</c:f>
              <c:numCache>
                <c:formatCode>General</c:formatCode>
                <c:ptCount val="180"/>
                <c:pt idx="0">
                  <c:v>7.2266623178939353</c:v>
                </c:pt>
                <c:pt idx="1">
                  <c:v>7.2300349480247492</c:v>
                </c:pt>
                <c:pt idx="2">
                  <c:v>7.2338492641673922</c:v>
                </c:pt>
                <c:pt idx="3">
                  <c:v>7.2381671138988279</c:v>
                </c:pt>
                <c:pt idx="4">
                  <c:v>7.2430600665139409</c:v>
                </c:pt>
                <c:pt idx="5">
                  <c:v>7.2486112187959515</c:v>
                </c:pt>
                <c:pt idx="6">
                  <c:v>7.2549174070242577</c:v>
                </c:pt>
                <c:pt idx="7">
                  <c:v>7.2620919344919708</c:v>
                </c:pt>
                <c:pt idx="8">
                  <c:v>7.2702679580012921</c:v>
                </c:pt>
                <c:pt idx="9">
                  <c:v>7.279602723205576</c:v>
                </c:pt>
                <c:pt idx="10">
                  <c:v>7.2902829021910591</c:v>
                </c:pt>
                <c:pt idx="11">
                  <c:v>7.3025313744794333</c:v>
                </c:pt>
                <c:pt idx="12">
                  <c:v>7.3166159151676311</c:v>
                </c:pt>
                <c:pt idx="13">
                  <c:v>7.3244453656623936</c:v>
                </c:pt>
                <c:pt idx="14">
                  <c:v>7.3328604267748556</c:v>
                </c:pt>
                <c:pt idx="15">
                  <c:v>7.341912757118763</c:v>
                </c:pt>
                <c:pt idx="16">
                  <c:v>7.3516595979470356</c:v>
                </c:pt>
                <c:pt idx="17">
                  <c:v>7.3621645103506523</c:v>
                </c:pt>
                <c:pt idx="18">
                  <c:v>7.3734982281294306</c:v>
                </c:pt>
                <c:pt idx="19">
                  <c:v>7.3857396473201149</c:v>
                </c:pt>
                <c:pt idx="20">
                  <c:v>7.3989769776875125</c:v>
                </c:pt>
                <c:pt idx="21">
                  <c:v>7.4133090868011449</c:v>
                </c:pt>
                <c:pt idx="22">
                  <c:v>7.4288470738875603</c:v>
                </c:pt>
                <c:pt idx="23">
                  <c:v>7.4457161187908181</c:v>
                </c:pt>
                <c:pt idx="24">
                  <c:v>7.4640576615109051</c:v>
                </c:pt>
                <c:pt idx="25">
                  <c:v>7.4840319804584974</c:v>
                </c:pt>
                <c:pt idx="26">
                  <c:v>7.5058212534644593</c:v>
                </c:pt>
                <c:pt idx="27">
                  <c:v>7.5296332056189375</c:v>
                </c:pt>
                <c:pt idx="28">
                  <c:v>7.5557054733729618</c:v>
                </c:pt>
                <c:pt idx="29">
                  <c:v>7.5843108465634339</c:v>
                </c:pt>
                <c:pt idx="30">
                  <c:v>7.6157635911576618</c:v>
                </c:pt>
                <c:pt idx="31">
                  <c:v>7.6504271082400299</c:v>
                </c:pt>
                <c:pt idx="32">
                  <c:v>7.6887232526277964</c:v>
                </c:pt>
                <c:pt idx="33">
                  <c:v>7.7311437222002279</c:v>
                </c:pt>
                <c:pt idx="34">
                  <c:v>7.7782640427754606</c:v>
                </c:pt>
                <c:pt idx="35">
                  <c:v>7.8307608214025732</c:v>
                </c:pt>
                <c:pt idx="36">
                  <c:v>7.8894331341126307</c:v>
                </c:pt>
                <c:pt idx="37">
                  <c:v>7.9552291667169115</c:v>
                </c:pt>
                <c:pt idx="38">
                  <c:v>8.029279557560093</c:v>
                </c:pt>
                <c:pt idx="39">
                  <c:v>8.1129393225161834</c:v>
                </c:pt>
                <c:pt idx="40">
                  <c:v>8.207840803254502</c:v>
                </c:pt>
                <c:pt idx="41">
                  <c:v>8.315960801693052</c:v>
                </c:pt>
                <c:pt idx="42">
                  <c:v>8.4397059763077493</c:v>
                </c:pt>
                <c:pt idx="43">
                  <c:v>8.5820216923140471</c:v>
                </c:pt>
                <c:pt idx="44">
                  <c:v>8.7465307978425226</c:v>
                </c:pt>
                <c:pt idx="45">
                  <c:v>8.9377100688343507</c:v>
                </c:pt>
                <c:pt idx="46">
                  <c:v>9.1611128407978075</c:v>
                </c:pt>
                <c:pt idx="47">
                  <c:v>9.4236454365102134</c:v>
                </c:pt>
                <c:pt idx="48">
                  <c:v>9.7338996644333982</c:v>
                </c:pt>
                <c:pt idx="49">
                  <c:v>10.102527789128208</c:v>
                </c:pt>
                <c:pt idx="50">
                  <c:v>10.542606628008471</c:v>
                </c:pt>
                <c:pt idx="51">
                  <c:v>11.069845432143028</c:v>
                </c:pt>
                <c:pt idx="52">
                  <c:v>11.702290011971643</c:v>
                </c:pt>
                <c:pt idx="53">
                  <c:v>12.458754676754582</c:v>
                </c:pt>
                <c:pt idx="54">
                  <c:v>13.354411762960069</c:v>
                </c:pt>
                <c:pt idx="55">
                  <c:v>14.390714046081321</c:v>
                </c:pt>
                <c:pt idx="56">
                  <c:v>15.535876305135863</c:v>
                </c:pt>
                <c:pt idx="57">
                  <c:v>16.695254449239453</c:v>
                </c:pt>
                <c:pt idx="58">
                  <c:v>17.686974479334069</c:v>
                </c:pt>
                <c:pt idx="59">
                  <c:v>18.268398117742731</c:v>
                </c:pt>
                <c:pt idx="60">
                  <c:v>18.253176488575622</c:v>
                </c:pt>
                <c:pt idx="61">
                  <c:v>17.645676726655193</c:v>
                </c:pt>
                <c:pt idx="62">
                  <c:v>16.63764348481244</c:v>
                </c:pt>
                <c:pt idx="63">
                  <c:v>15.471350191856361</c:v>
                </c:pt>
                <c:pt idx="64">
                  <c:v>14.325496321384367</c:v>
                </c:pt>
                <c:pt idx="65">
                  <c:v>13.291715948017705</c:v>
                </c:pt>
                <c:pt idx="66">
                  <c:v>12.399878389471965</c:v>
                </c:pt>
                <c:pt idx="67">
                  <c:v>11.64753225391425</c:v>
                </c:pt>
                <c:pt idx="68">
                  <c:v>11.019053989652447</c:v>
                </c:pt>
                <c:pt idx="69">
                  <c:v>10.495458356338112</c:v>
                </c:pt>
                <c:pt idx="70">
                  <c:v>10.058659144140385</c:v>
                </c:pt>
                <c:pt idx="71">
                  <c:v>9.6929621750588346</c:v>
                </c:pt>
                <c:pt idx="72">
                  <c:v>9.3853259200959904</c:v>
                </c:pt>
                <c:pt idx="73">
                  <c:v>9.1251379507790933</c:v>
                </c:pt>
                <c:pt idx="74">
                  <c:v>8.9038443979630415</c:v>
                </c:pt>
                <c:pt idx="75">
                  <c:v>8.7145727297022635</c:v>
                </c:pt>
                <c:pt idx="76">
                  <c:v>8.5517988244607412</c:v>
                </c:pt>
                <c:pt idx="77">
                  <c:v>8.4110708470241402</c:v>
                </c:pt>
                <c:pt idx="78">
                  <c:v>8.2887871629365204</c:v>
                </c:pt>
                <c:pt idx="79">
                  <c:v>8.182020472603142</c:v>
                </c:pt>
                <c:pt idx="80">
                  <c:v>8.0883795649740993</c:v>
                </c:pt>
                <c:pt idx="81">
                  <c:v>8.0059009230164229</c:v>
                </c:pt>
                <c:pt idx="82">
                  <c:v>7.9329637078094741</c:v>
                </c:pt>
                <c:pt idx="83">
                  <c:v>7.8682229372568644</c:v>
                </c:pt>
                <c:pt idx="84">
                  <c:v>7.8105567941971534</c:v>
                </c:pt>
                <c:pt idx="85">
                  <c:v>7.7590249111507505</c:v>
                </c:pt>
                <c:pt idx="86">
                  <c:v>7.712835199552055</c:v>
                </c:pt>
                <c:pt idx="87">
                  <c:v>7.6713173505654062</c:v>
                </c:pt>
                <c:pt idx="88">
                  <c:v>7.6339015645712545</c:v>
                </c:pt>
                <c:pt idx="89">
                  <c:v>7.6001013955375036</c:v>
                </c:pt>
                <c:pt idx="90">
                  <c:v>7.569499848059146</c:v>
                </c:pt>
                <c:pt idx="91">
                  <c:v>7.5417380572432471</c:v>
                </c:pt>
                <c:pt idx="92">
                  <c:v>7.5165060290303991</c:v>
                </c:pt>
                <c:pt idx="93">
                  <c:v>7.4935350318055587</c:v>
                </c:pt>
                <c:pt idx="94">
                  <c:v>7.4725913174655672</c:v>
                </c:pt>
                <c:pt idx="95">
                  <c:v>7.4534709176730489</c:v>
                </c:pt>
                <c:pt idx="96">
                  <c:v>7.4359953135153942</c:v>
                </c:pt>
                <c:pt idx="97">
                  <c:v>7.4200078177347493</c:v>
                </c:pt>
                <c:pt idx="98">
                  <c:v>7.4053705407742738</c:v>
                </c:pt>
                <c:pt idx="99">
                  <c:v>7.3919618371248186</c:v>
                </c:pt>
                <c:pt idx="100">
                  <c:v>7.3796741483983448</c:v>
                </c:pt>
                <c:pt idx="101">
                  <c:v>7.3684121753778191</c:v>
                </c:pt>
                <c:pt idx="102">
                  <c:v>7.3580913239014452</c:v>
                </c:pt>
                <c:pt idx="103">
                  <c:v>7.3486363795258738</c:v>
                </c:pt>
                <c:pt idx="104">
                  <c:v>7.3399803740165295</c:v>
                </c:pt>
                <c:pt idx="105">
                  <c:v>7.3320636132473878</c:v>
                </c:pt>
                <c:pt idx="106">
                  <c:v>7.3248328413832864</c:v>
                </c:pt>
                <c:pt idx="107">
                  <c:v>7.3182405205168992</c:v>
                </c:pt>
                <c:pt idx="108">
                  <c:v>7.3122442084387727</c:v>
                </c:pt>
                <c:pt idx="109">
                  <c:v>7.306806020089506</c:v>
                </c:pt>
                <c:pt idx="110">
                  <c:v>7.3018921606001097</c:v>
                </c:pt>
                <c:pt idx="111">
                  <c:v>7.2974725197705297</c:v>
                </c:pt>
                <c:pt idx="112">
                  <c:v>7.2935203194425808</c:v>
                </c:pt>
                <c:pt idx="113">
                  <c:v>7.2900118065571782</c:v>
                </c:pt>
                <c:pt idx="114">
                  <c:v>7.2869259857949524</c:v>
                </c:pt>
                <c:pt idx="115">
                  <c:v>7.2842443866258231</c:v>
                </c:pt>
                <c:pt idx="116">
                  <c:v>7.2819508603685987</c:v>
                </c:pt>
                <c:pt idx="117">
                  <c:v>7.2800314035128899</c:v>
                </c:pt>
                <c:pt idx="118">
                  <c:v>7.2784740041045408</c:v>
                </c:pt>
                <c:pt idx="119">
                  <c:v>7.2772685084586852</c:v>
                </c:pt>
                <c:pt idx="120">
                  <c:v>7.276406505857115</c:v>
                </c:pt>
                <c:pt idx="121">
                  <c:v>7.2758812292199151</c:v>
                </c:pt>
                <c:pt idx="122">
                  <c:v>7.2756874700247192</c:v>
                </c:pt>
                <c:pt idx="123">
                  <c:v>7.2758215059893852</c:v>
                </c:pt>
                <c:pt idx="124">
                  <c:v>7.2762810402408888</c:v>
                </c:pt>
                <c:pt idx="125">
                  <c:v>7.277065150870901</c:v>
                </c:pt>
                <c:pt idx="126">
                  <c:v>7.2781742499314683</c:v>
                </c:pt>
                <c:pt idx="127">
                  <c:v>7.2796100510556991</c:v>
                </c:pt>
                <c:pt idx="128">
                  <c:v>7.2813755450019348</c:v>
                </c:pt>
                <c:pt idx="129">
                  <c:v>7.2834749825183209</c:v>
                </c:pt>
                <c:pt idx="130">
                  <c:v>7.285913864009693</c:v>
                </c:pt>
                <c:pt idx="131">
                  <c:v>7.2886989355624028</c:v>
                </c:pt>
                <c:pt idx="132">
                  <c:v>7.2918381909472254</c:v>
                </c:pt>
                <c:pt idx="133">
                  <c:v>7.2953408792753791</c:v>
                </c:pt>
                <c:pt idx="134">
                  <c:v>7.2992175180319148</c:v>
                </c:pt>
                <c:pt idx="135">
                  <c:v>7.3034799112517828</c:v>
                </c:pt>
                <c:pt idx="136">
                  <c:v>7.3081411726406484</c:v>
                </c:pt>
                <c:pt idx="137">
                  <c:v>7.3132157534736155</c:v>
                </c:pt>
                <c:pt idx="138">
                  <c:v>7.3187194751315063</c:v>
                </c:pt>
                <c:pt idx="139">
                  <c:v>7.3246695661577368</c:v>
                </c:pt>
                <c:pt idx="140">
                  <c:v>7.3310847037371554</c:v>
                </c:pt>
                <c:pt idx="141">
                  <c:v>7.3379850595145886</c:v>
                </c:pt>
                <c:pt idx="142">
                  <c:v>7.3453923496832729</c:v>
                </c:pt>
                <c:pt idx="143">
                  <c:v>7.3533298892830627</c:v>
                </c:pt>
                <c:pt idx="144">
                  <c:v>7.3618226506555704</c:v>
                </c:pt>
                <c:pt idx="145">
                  <c:v>7.3708973260076158</c:v>
                </c:pt>
                <c:pt idx="146">
                  <c:v>7.3805823940363631</c:v>
                </c:pt>
                <c:pt idx="147">
                  <c:v>7.3909081905686582</c:v>
                </c:pt>
                <c:pt idx="148">
                  <c:v>7.3958003030817157</c:v>
                </c:pt>
                <c:pt idx="149">
                  <c:v>7.4275983601828726</c:v>
                </c:pt>
                <c:pt idx="150">
                  <c:v>7.465000680991082</c:v>
                </c:pt>
                <c:pt idx="151">
                  <c:v>7.5088253096512307</c:v>
                </c:pt>
                <c:pt idx="152">
                  <c:v>7.5600187439655642</c:v>
                </c:pt>
                <c:pt idx="153">
                  <c:v>7.6196700457626951</c:v>
                </c:pt>
                <c:pt idx="154">
                  <c:v>7.6890258018540276</c:v>
                </c:pt>
                <c:pt idx="155">
                  <c:v>7.7695055277353617</c:v>
                </c:pt>
                <c:pt idx="156">
                  <c:v>7.8627168788111232</c:v>
                </c:pt>
                <c:pt idx="157">
                  <c:v>7.97046971944983</c:v>
                </c:pt>
                <c:pt idx="158">
                  <c:v>8.0947877264690522</c:v>
                </c:pt>
                <c:pt idx="159">
                  <c:v>8.2379158874826039</c:v>
                </c:pt>
                <c:pt idx="160">
                  <c:v>8.4023222445062693</c:v>
                </c:pt>
                <c:pt idx="161">
                  <c:v>8.5906928730662599</c:v>
                </c:pt>
                <c:pt idx="162">
                  <c:v>8.8059206063714033</c:v>
                </c:pt>
                <c:pt idx="163">
                  <c:v>9.0510901717447982</c:v>
                </c:pt>
                <c:pt idx="164">
                  <c:v>9.2970586646236075</c:v>
                </c:pt>
                <c:pt idx="165">
                  <c:v>9.7779681031581998</c:v>
                </c:pt>
                <c:pt idx="166">
                  <c:v>10.352742775250297</c:v>
                </c:pt>
                <c:pt idx="167">
                  <c:v>11.034636747098402</c:v>
                </c:pt>
                <c:pt idx="168">
                  <c:v>11.838083289876936</c:v>
                </c:pt>
                <c:pt idx="169">
                  <c:v>12.778801640424751</c:v>
                </c:pt>
                <c:pt idx="170">
                  <c:v>13.873736296707321</c:v>
                </c:pt>
                <c:pt idx="171">
                  <c:v>15.141083864833604</c:v>
                </c:pt>
                <c:pt idx="172">
                  <c:v>16.600695775506924</c:v>
                </c:pt>
                <c:pt idx="173">
                  <c:v>18.274531387661682</c:v>
                </c:pt>
                <c:pt idx="174">
                  <c:v>20.18684668560136</c:v>
                </c:pt>
                <c:pt idx="175">
                  <c:v>22.364639750332895</c:v>
                </c:pt>
                <c:pt idx="176">
                  <c:v>24.838140748346657</c:v>
                </c:pt>
                <c:pt idx="177">
                  <c:v>27.641224982165504</c:v>
                </c:pt>
                <c:pt idx="178">
                  <c:v>30.811970450726701</c:v>
                </c:pt>
                <c:pt idx="179">
                  <c:v>35.706219427689454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4E-46BD-8160-131E40E2965B}"/>
            </c:ext>
          </c:extLst>
        </c:ser>
        <c:ser>
          <c:idx val="5"/>
          <c:order val="5"/>
          <c:tx>
            <c:strRef>
              <c:f>FRES!$BA$4</c:f>
              <c:strCache>
                <c:ptCount val="1"/>
                <c:pt idx="0">
                  <c:v>Imp3</c:v>
                </c:pt>
              </c:strCache>
            </c:strRef>
          </c:tx>
          <c:spPr>
            <a:ln w="15875">
              <a:solidFill>
                <a:srgbClr val="FF0000">
                  <a:alpha val="81000"/>
                </a:srgbClr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FRES!$BA$5:$BA$184</c:f>
              <c:numCache>
                <c:formatCode>General</c:formatCode>
                <c:ptCount val="180"/>
                <c:pt idx="0">
                  <c:v>7.2068345244033445</c:v>
                </c:pt>
                <c:pt idx="1">
                  <c:v>7.2076857753760315</c:v>
                </c:pt>
                <c:pt idx="2">
                  <c:v>7.2086450361825403</c:v>
                </c:pt>
                <c:pt idx="3">
                  <c:v>7.2097265340453767</c:v>
                </c:pt>
                <c:pt idx="4">
                  <c:v>7.2109465076361596</c:v>
                </c:pt>
                <c:pt idx="5">
                  <c:v>7.2123235272756308</c:v>
                </c:pt>
                <c:pt idx="6">
                  <c:v>7.2138788752311314</c:v>
                </c:pt>
                <c:pt idx="7">
                  <c:v>7.2156369996347252</c:v>
                </c:pt>
                <c:pt idx="8">
                  <c:v>7.217626059130458</c:v>
                </c:pt>
                <c:pt idx="9">
                  <c:v>7.2198785800357612</c:v>
                </c:pt>
                <c:pt idx="10">
                  <c:v>7.2224322539423733</c:v>
                </c:pt>
                <c:pt idx="11">
                  <c:v>7.2253309118051385</c:v>
                </c:pt>
                <c:pt idx="12">
                  <c:v>7.2286257213941782</c:v>
                </c:pt>
                <c:pt idx="13">
                  <c:v>7.2304400368711201</c:v>
                </c:pt>
                <c:pt idx="14">
                  <c:v>7.2323766695368823</c:v>
                </c:pt>
                <c:pt idx="15">
                  <c:v>7.2344447985909994</c:v>
                </c:pt>
                <c:pt idx="16">
                  <c:v>7.2366544102983781</c:v>
                </c:pt>
                <c:pt idx="17">
                  <c:v>7.2390163836965797</c:v>
                </c:pt>
                <c:pt idx="18">
                  <c:v>7.2415425872283921</c:v>
                </c:pt>
                <c:pt idx="19">
                  <c:v>7.2442459879282648</c:v>
                </c:pt>
                <c:pt idx="20">
                  <c:v>7.2471407750682815</c:v>
                </c:pt>
                <c:pt idx="21">
                  <c:v>7.2502425005000433</c:v>
                </c:pt>
                <c:pt idx="22">
                  <c:v>7.2535682383239095</c:v>
                </c:pt>
                <c:pt idx="23">
                  <c:v>7.2571367669906666</c:v>
                </c:pt>
                <c:pt idx="24">
                  <c:v>7.2609687775107234</c:v>
                </c:pt>
                <c:pt idx="25">
                  <c:v>7.2650871121338376</c:v>
                </c:pt>
                <c:pt idx="26">
                  <c:v>7.2695170386951888</c:v>
                </c:pt>
                <c:pt idx="27">
                  <c:v>7.2742865668365404</c:v>
                </c:pt>
                <c:pt idx="28">
                  <c:v>7.2794268135461335</c:v>
                </c:pt>
                <c:pt idx="29">
                  <c:v>7.2849724269736518</c:v>
                </c:pt>
                <c:pt idx="30">
                  <c:v>7.2909620793366008</c:v>
                </c:pt>
                <c:pt idx="31">
                  <c:v>7.2974390420298914</c:v>
                </c:pt>
                <c:pt idx="32">
                  <c:v>7.3044518588970409</c:v>
                </c:pt>
                <c:pt idx="33">
                  <c:v>7.3120551371661193</c:v>
                </c:pt>
                <c:pt idx="34">
                  <c:v>7.3203104799873682</c:v>
                </c:pt>
                <c:pt idx="35">
                  <c:v>7.3292875900840313</c:v>
                </c:pt>
                <c:pt idx="36">
                  <c:v>7.339065581068378</c:v>
                </c:pt>
                <c:pt idx="37">
                  <c:v>7.3497345419162112</c:v>
                </c:pt>
                <c:pt idx="38">
                  <c:v>7.3613974115058793</c:v>
                </c:pt>
                <c:pt idx="39">
                  <c:v>7.3741722347792074</c:v>
                </c:pt>
                <c:pt idx="40">
                  <c:v>7.3881948909979558</c:v>
                </c:pt>
                <c:pt idx="41">
                  <c:v>7.4036224091397207</c:v>
                </c:pt>
                <c:pt idx="42">
                  <c:v>7.4206370175910221</c:v>
                </c:pt>
                <c:pt idx="43">
                  <c:v>7.4394511175414779</c:v>
                </c:pt>
                <c:pt idx="44">
                  <c:v>7.4603134254324512</c:v>
                </c:pt>
                <c:pt idx="45">
                  <c:v>7.4835166044284378</c:v>
                </c:pt>
                <c:pt idx="46">
                  <c:v>7.5094068051053666</c:v>
                </c:pt>
                <c:pt idx="47">
                  <c:v>7.5383956711783906</c:v>
                </c:pt>
                <c:pt idx="48">
                  <c:v>7.570975551031828</c:v>
                </c:pt>
                <c:pt idx="49">
                  <c:v>7.6077389099619861</c:v>
                </c:pt>
                <c:pt idx="50">
                  <c:v>7.6494032900624633</c:v>
                </c:pt>
                <c:pt idx="51">
                  <c:v>7.6968436561239892</c:v>
                </c:pt>
                <c:pt idx="52">
                  <c:v>7.7511346573511579</c:v>
                </c:pt>
                <c:pt idx="53">
                  <c:v>7.8136063147363322</c:v>
                </c:pt>
                <c:pt idx="54">
                  <c:v>7.8859180423963</c:v>
                </c:pt>
                <c:pt idx="55">
                  <c:v>7.9701579176612398</c:v>
                </c:pt>
                <c:pt idx="56">
                  <c:v>8.0689770031230896</c:v>
                </c:pt>
                <c:pt idx="57">
                  <c:v>8.1857726802180704</c:v>
                </c:pt>
                <c:pt idx="58">
                  <c:v>8.3249408933643245</c:v>
                </c:pt>
                <c:pt idx="59">
                  <c:v>8.4922255294216615</c:v>
                </c:pt>
                <c:pt idx="60">
                  <c:v>8.6952043191668693</c:v>
                </c:pt>
                <c:pt idx="61">
                  <c:v>8.9439640903943172</c:v>
                </c:pt>
                <c:pt idx="62">
                  <c:v>9.2520297424831917</c:v>
                </c:pt>
                <c:pt idx="63">
                  <c:v>9.637605468612076</c:v>
                </c:pt>
                <c:pt idx="64">
                  <c:v>10.125114865847353</c:v>
                </c:pt>
                <c:pt idx="65">
                  <c:v>10.746745767750122</c:v>
                </c:pt>
                <c:pt idx="66">
                  <c:v>11.542816781645499</c:v>
                </c:pt>
                <c:pt idx="67">
                  <c:v>12.557259747933202</c:v>
                </c:pt>
                <c:pt idx="68">
                  <c:v>13.818266469207126</c:v>
                </c:pt>
                <c:pt idx="69">
                  <c:v>15.283261118392877</c:v>
                </c:pt>
                <c:pt idx="70">
                  <c:v>16.730914728795746</c:v>
                </c:pt>
                <c:pt idx="71">
                  <c:v>17.685226726460044</c:v>
                </c:pt>
                <c:pt idx="72">
                  <c:v>17.657987793989108</c:v>
                </c:pt>
                <c:pt idx="73">
                  <c:v>16.66230089007324</c:v>
                </c:pt>
                <c:pt idx="74">
                  <c:v>15.197248278695433</c:v>
                </c:pt>
                <c:pt idx="75">
                  <c:v>13.731147747733848</c:v>
                </c:pt>
                <c:pt idx="76">
                  <c:v>12.475865053636261</c:v>
                </c:pt>
                <c:pt idx="77">
                  <c:v>11.468888862743848</c:v>
                </c:pt>
                <c:pt idx="78">
                  <c:v>10.680063407172534</c:v>
                </c:pt>
                <c:pt idx="79">
                  <c:v>10.06488479156282</c:v>
                </c:pt>
                <c:pt idx="80">
                  <c:v>9.582970369749555</c:v>
                </c:pt>
                <c:pt idx="81">
                  <c:v>9.202224033466667</c:v>
                </c:pt>
                <c:pt idx="82">
                  <c:v>8.8983447615667668</c:v>
                </c:pt>
                <c:pt idx="83">
                  <c:v>8.6532423018633757</c:v>
                </c:pt>
                <c:pt idx="84">
                  <c:v>8.4534875444236146</c:v>
                </c:pt>
                <c:pt idx="85">
                  <c:v>8.2890714887434775</c:v>
                </c:pt>
                <c:pt idx="86">
                  <c:v>8.1524790609729969</c:v>
                </c:pt>
                <c:pt idx="87">
                  <c:v>8.0380169057261561</c:v>
                </c:pt>
                <c:pt idx="88">
                  <c:v>7.941330107982167</c:v>
                </c:pt>
                <c:pt idx="89">
                  <c:v>7.8590549050997058</c:v>
                </c:pt>
                <c:pt idx="90">
                  <c:v>7.7885680621288813</c:v>
                </c:pt>
                <c:pt idx="91">
                  <c:v>7.7278047807432033</c:v>
                </c:pt>
                <c:pt idx="92">
                  <c:v>7.6751253307552965</c:v>
                </c:pt>
                <c:pt idx="93">
                  <c:v>7.6292165154742619</c:v>
                </c:pt>
                <c:pt idx="94">
                  <c:v>7.5890182217536406</c:v>
                </c:pt>
                <c:pt idx="95">
                  <c:v>7.5536681803131138</c:v>
                </c:pt>
                <c:pt idx="96">
                  <c:v>7.5224600579704912</c:v>
                </c:pt>
                <c:pt idx="97">
                  <c:v>7.4948113941594006</c:v>
                </c:pt>
                <c:pt idx="98">
                  <c:v>7.4702388684832748</c:v>
                </c:pt>
                <c:pt idx="99">
                  <c:v>7.4483390733472401</c:v>
                </c:pt>
                <c:pt idx="100">
                  <c:v>7.4287734541159196</c:v>
                </c:pt>
                <c:pt idx="101">
                  <c:v>7.4112564290274214</c:v>
                </c:pt>
                <c:pt idx="102">
                  <c:v>7.3955459535823334</c:v>
                </c:pt>
                <c:pt idx="103">
                  <c:v>7.3814359778267145</c:v>
                </c:pt>
                <c:pt idx="104">
                  <c:v>7.3687503796430658</c:v>
                </c:pt>
                <c:pt idx="105">
                  <c:v>7.3573380566813871</c:v>
                </c:pt>
                <c:pt idx="106">
                  <c:v>7.3470689336364243</c:v>
                </c:pt>
                <c:pt idx="107">
                  <c:v>7.3378306971107667</c:v>
                </c:pt>
                <c:pt idx="108">
                  <c:v>7.3295261122278719</c:v>
                </c:pt>
                <c:pt idx="109">
                  <c:v>7.3220708070213503</c:v>
                </c:pt>
                <c:pt idx="110">
                  <c:v>7.3153914350008717</c:v>
                </c:pt>
                <c:pt idx="111">
                  <c:v>7.3094241450564263</c:v>
                </c:pt>
                <c:pt idx="112">
                  <c:v>7.3041133023905331</c:v>
                </c:pt>
                <c:pt idx="113">
                  <c:v>7.2994104154842265</c:v>
                </c:pt>
                <c:pt idx="114">
                  <c:v>7.2952732329647336</c:v>
                </c:pt>
                <c:pt idx="115">
                  <c:v>7.2916649812216674</c:v>
                </c:pt>
                <c:pt idx="116">
                  <c:v>7.2885537191422642</c:v>
                </c:pt>
                <c:pt idx="117">
                  <c:v>7.2859117907297968</c:v>
                </c:pt>
                <c:pt idx="118">
                  <c:v>7.283715359881195</c:v>
                </c:pt>
                <c:pt idx="119">
                  <c:v>7.281944014420076</c:v>
                </c:pt>
                <c:pt idx="120">
                  <c:v>7.2805804287554068</c:v>
                </c:pt>
                <c:pt idx="121">
                  <c:v>7.2796100763789671</c:v>
                </c:pt>
                <c:pt idx="122">
                  <c:v>7.2790209849131218</c:v>
                </c:pt>
                <c:pt idx="123">
                  <c:v>7.2788035276445626</c:v>
                </c:pt>
                <c:pt idx="124">
                  <c:v>7.2789502464830518</c:v>
                </c:pt>
                <c:pt idx="125">
                  <c:v>7.2794557021102655</c:v>
                </c:pt>
                <c:pt idx="126">
                  <c:v>7.2803163477655684</c:v>
                </c:pt>
                <c:pt idx="127">
                  <c:v>7.281530423681132</c:v>
                </c:pt>
                <c:pt idx="128">
                  <c:v>7.2830978696488868</c:v>
                </c:pt>
                <c:pt idx="129">
                  <c:v>7.2850202535936894</c:v>
                </c:pt>
                <c:pt idx="130">
                  <c:v>7.2873007143556663</c:v>
                </c:pt>
                <c:pt idx="131">
                  <c:v>7.2899439171596958</c:v>
                </c:pt>
                <c:pt idx="132">
                  <c:v>7.2929560204818227</c:v>
                </c:pt>
                <c:pt idx="133">
                  <c:v>7.2963446532178979</c:v>
                </c:pt>
                <c:pt idx="134">
                  <c:v>7.3001189012246606</c:v>
                </c:pt>
                <c:pt idx="135">
                  <c:v>7.3042893024434754</c:v>
                </c:pt>
                <c:pt idx="136">
                  <c:v>7.308867849935301</c:v>
                </c:pt>
                <c:pt idx="137">
                  <c:v>7.3138680022560827</c:v>
                </c:pt>
                <c:pt idx="138">
                  <c:v>7.319304700686823</c:v>
                </c:pt>
                <c:pt idx="139">
                  <c:v>7.3251943929051437</c:v>
                </c:pt>
                <c:pt idx="140">
                  <c:v>7.3315550627457107</c:v>
                </c:pt>
                <c:pt idx="141">
                  <c:v>7.3384062657486915</c:v>
                </c:pt>
                <c:pt idx="142">
                  <c:v>7.3457691702382526</c:v>
                </c:pt>
                <c:pt idx="143">
                  <c:v>7.3536666037087111</c:v>
                </c:pt>
                <c:pt idx="144">
                  <c:v>7.3621231043251463</c:v>
                </c:pt>
                <c:pt idx="145">
                  <c:v>7.3711649773685499</c:v>
                </c:pt>
                <c:pt idx="146">
                  <c:v>7.3808203564738726</c:v>
                </c:pt>
                <c:pt idx="147">
                  <c:v>7.3911192695221368</c:v>
                </c:pt>
                <c:pt idx="148">
                  <c:v>7.396000063019331</c:v>
                </c:pt>
                <c:pt idx="149">
                  <c:v>7.4277407576018701</c:v>
                </c:pt>
                <c:pt idx="150">
                  <c:v>7.4650989170277224</c:v>
                </c:pt>
                <c:pt idx="151">
                  <c:v>7.5088895464771621</c:v>
                </c:pt>
                <c:pt idx="152">
                  <c:v>7.5600568678634641</c:v>
                </c:pt>
                <c:pt idx="153">
                  <c:v>7.6196882302198388</c:v>
                </c:pt>
                <c:pt idx="154">
                  <c:v>7.6890289251976913</c:v>
                </c:pt>
                <c:pt idx="155">
                  <c:v>7.769497484203816</c:v>
                </c:pt>
                <c:pt idx="156">
                  <c:v>7.8627008104592875</c:v>
                </c:pt>
                <c:pt idx="157">
                  <c:v>7.9704481876965865</c:v>
                </c:pt>
                <c:pt idx="158">
                  <c:v>8.094762835761669</c:v>
                </c:pt>
                <c:pt idx="159">
                  <c:v>8.2378893693759139</c:v>
                </c:pt>
                <c:pt idx="160">
                  <c:v>8.4022955086907825</c:v>
                </c:pt>
                <c:pt idx="161">
                  <c:v>8.5906670327010044</c:v>
                </c:pt>
                <c:pt idx="162">
                  <c:v>8.8058964878133779</c:v>
                </c:pt>
                <c:pt idx="163">
                  <c:v>9.0510683213789349</c:v>
                </c:pt>
                <c:pt idx="164">
                  <c:v>9.297039077751359</c:v>
                </c:pt>
                <c:pt idx="165">
                  <c:v>9.7779523961820622</c:v>
                </c:pt>
                <c:pt idx="166">
                  <c:v>10.352730560828951</c:v>
                </c:pt>
                <c:pt idx="167">
                  <c:v>11.034627383694593</c:v>
                </c:pt>
                <c:pt idx="168">
                  <c:v>11.838076155213903</c:v>
                </c:pt>
                <c:pt idx="169">
                  <c:v>12.778796256033125</c:v>
                </c:pt>
                <c:pt idx="170">
                  <c:v>13.873732294196138</c:v>
                </c:pt>
                <c:pt idx="171">
                  <c:v>15.141080921402258</c:v>
                </c:pt>
                <c:pt idx="172">
                  <c:v>16.600693620238527</c:v>
                </c:pt>
                <c:pt idx="173">
                  <c:v>18.27452982061634</c:v>
                </c:pt>
                <c:pt idx="174">
                  <c:v>20.186845552986046</c:v>
                </c:pt>
                <c:pt idx="175">
                  <c:v>22.364638934391532</c:v>
                </c:pt>
                <c:pt idx="176">
                  <c:v>24.838140163045054</c:v>
                </c:pt>
                <c:pt idx="177">
                  <c:v>27.641224563336738</c:v>
                </c:pt>
                <c:pt idx="178">
                  <c:v>30.811970151747829</c:v>
                </c:pt>
                <c:pt idx="179">
                  <c:v>35.706219237829941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34E-46BD-8160-131E40E29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63344"/>
        <c:axId val="590861776"/>
      </c:scatterChart>
      <c:valAx>
        <c:axId val="630018040"/>
        <c:scaling>
          <c:logBase val="10"/>
          <c:orientation val="minMax"/>
          <c:max val="10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f[Hz]</a:t>
                </a:r>
              </a:p>
            </c:rich>
          </c:tx>
          <c:layout>
            <c:manualLayout>
              <c:xMode val="edge"/>
              <c:yMode val="edge"/>
              <c:x val="0.93179118953831963"/>
              <c:y val="0.911079006504880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ysDash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590860600"/>
        <c:crosses val="autoZero"/>
        <c:crossBetween val="midCat"/>
      </c:valAx>
      <c:valAx>
        <c:axId val="590860600"/>
        <c:scaling>
          <c:orientation val="minMax"/>
          <c:max val="120"/>
          <c:min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SPL[dB]</a:t>
                </a:r>
              </a:p>
            </c:rich>
          </c:tx>
          <c:layout>
            <c:manualLayout>
              <c:xMode val="edge"/>
              <c:yMode val="edge"/>
              <c:x val="4.6516694263807048E-3"/>
              <c:y val="0.382708424262887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630018040"/>
        <c:crosses val="autoZero"/>
        <c:crossBetween val="midCat"/>
        <c:majorUnit val="10"/>
        <c:minorUnit val="2"/>
      </c:valAx>
      <c:valAx>
        <c:axId val="590861776"/>
        <c:scaling>
          <c:logBase val="10"/>
          <c:orientation val="minMax"/>
          <c:max val="2529.8220000000001"/>
          <c:min val="2.5298219999999998"/>
        </c:scaling>
        <c:delete val="0"/>
        <c:axPos val="r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>
                <a:noFill/>
              </a:defRPr>
            </a:pPr>
            <a:endParaRPr lang="ja-JP"/>
          </a:p>
        </c:txPr>
        <c:crossAx val="590863344"/>
        <c:crosses val="max"/>
        <c:crossBetween val="midCat"/>
      </c:valAx>
      <c:valAx>
        <c:axId val="59086334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0861776"/>
        <c:crosses val="autoZero"/>
        <c:crossBetween val="midCat"/>
      </c:valAx>
      <c:spPr>
        <a:noFill/>
        <a:ln w="254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6036587388227446"/>
          <c:y val="2.2499949782172788E-3"/>
          <c:w val="0.41124009677460105"/>
          <c:h val="0.144151698071207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0"/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25400" cmpd="sng">
      <a:solidFill>
        <a:srgbClr val="00FF00"/>
      </a:solidFill>
      <a:prstDash val="solid"/>
      <a:miter lim="800000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Times New Roman" panose="02020603050405020304" pitchFamily="18" charset="0"/>
          <a:ea typeface="Arial"/>
          <a:cs typeface="Times New Roman" panose="02020603050405020304" pitchFamily="18" charset="0"/>
        </a:defRPr>
      </a:pPr>
      <a:endParaRPr lang="ja-JP"/>
    </a:p>
  </c:txPr>
  <c:printSettings>
    <c:headerFooter alignWithMargins="0">
      <c:oddHeader>&amp;A</c:oddHeader>
      <c:oddFooter>- &amp;P -</c:oddFooter>
    </c:headerFooter>
    <c:pageMargins b="1" l="0.75" r="0.75" t="1" header="0.5" footer="0.5"/>
    <c:pageSetup paperSize="9" orientation="landscape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ja-JP" sz="1400"/>
              <a:t>SPL &amp; IMP.</a:t>
            </a:r>
          </a:p>
        </c:rich>
      </c:tx>
      <c:layout>
        <c:manualLayout>
          <c:xMode val="edge"/>
          <c:yMode val="edge"/>
          <c:x val="0.290645360815947"/>
          <c:y val="6.1185667009015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06363174890265"/>
          <c:y val="0.1642257217847769"/>
          <c:w val="0.74772155084525249"/>
          <c:h val="0.69716307200730354"/>
        </c:manualLayout>
      </c:layout>
      <c:scatterChart>
        <c:scatterStyle val="lineMarker"/>
        <c:varyColors val="0"/>
        <c:ser>
          <c:idx val="0"/>
          <c:order val="0"/>
          <c:tx>
            <c:strRef>
              <c:f>FRES!$AG$4</c:f>
              <c:strCache>
                <c:ptCount val="1"/>
                <c:pt idx="0">
                  <c:v>SPL1</c:v>
                </c:pt>
              </c:strCache>
            </c:strRef>
          </c:tx>
          <c:spPr>
            <a:ln w="285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FRES!$AG$5:$AG$184</c:f>
              <c:numCache>
                <c:formatCode>General</c:formatCode>
                <c:ptCount val="180"/>
                <c:pt idx="0">
                  <c:v>57.869234030299083</c:v>
                </c:pt>
                <c:pt idx="1">
                  <c:v>58.888626676431542</c:v>
                </c:pt>
                <c:pt idx="2">
                  <c:v>59.909877410983448</c:v>
                </c:pt>
                <c:pt idx="3">
                  <c:v>60.933186871760668</c:v>
                </c:pt>
                <c:pt idx="4">
                  <c:v>61.958772486293334</c:v>
                </c:pt>
                <c:pt idx="5">
                  <c:v>62.986868173454269</c:v>
                </c:pt>
                <c:pt idx="6">
                  <c:v>64.017723256171976</c:v>
                </c:pt>
                <c:pt idx="7">
                  <c:v>65.051600233922215</c:v>
                </c:pt>
                <c:pt idx="8">
                  <c:v>66.088770929941518</c:v>
                </c:pt>
                <c:pt idx="9">
                  <c:v>67.129510344760718</c:v>
                </c:pt>
                <c:pt idx="10">
                  <c:v>68.174087296733958</c:v>
                </c:pt>
                <c:pt idx="11">
                  <c:v>69.222750588005837</c:v>
                </c:pt>
                <c:pt idx="12">
                  <c:v>70.275708970293493</c:v>
                </c:pt>
                <c:pt idx="13">
                  <c:v>70.803846293481456</c:v>
                </c:pt>
                <c:pt idx="14">
                  <c:v>71.333102561616428</c:v>
                </c:pt>
                <c:pt idx="15">
                  <c:v>71.863477966497811</c:v>
                </c:pt>
                <c:pt idx="16">
                  <c:v>72.39496254091344</c:v>
                </c:pt>
                <c:pt idx="17">
                  <c:v>72.927533947538777</c:v>
                </c:pt>
                <c:pt idx="18">
                  <c:v>73.461154884287609</c:v>
                </c:pt>
                <c:pt idx="19">
                  <c:v>73.995770047784248</c:v>
                </c:pt>
                <c:pt idx="20">
                  <c:v>74.531302590284866</c:v>
                </c:pt>
                <c:pt idx="21">
                  <c:v>75.067649999483564</c:v>
                </c:pt>
                <c:pt idx="22">
                  <c:v>75.604679325844927</c:v>
                </c:pt>
                <c:pt idx="23">
                  <c:v>76.142221679387404</c:v>
                </c:pt>
                <c:pt idx="24">
                  <c:v>76.6800659185607</c:v>
                </c:pt>
                <c:pt idx="25">
                  <c:v>77.217951459932351</c:v>
                </c:pt>
                <c:pt idx="26">
                  <c:v>77.755560151381985</c:v>
                </c:pt>
                <c:pt idx="27">
                  <c:v>78.292507176760921</c:v>
                </c:pt>
                <c:pt idx="28">
                  <c:v>78.828331000784374</c:v>
                </c:pt>
                <c:pt idx="29">
                  <c:v>79.362482424470045</c:v>
                </c:pt>
                <c:pt idx="30">
                  <c:v>79.894312909703032</c:v>
                </c:pt>
                <c:pt idx="31">
                  <c:v>80.423062452835396</c:v>
                </c:pt>
                <c:pt idx="32">
                  <c:v>80.947847447430092</c:v>
                </c:pt>
                <c:pt idx="33">
                  <c:v>81.467649179070264</c:v>
                </c:pt>
                <c:pt idx="34">
                  <c:v>81.981303839790513</c:v>
                </c:pt>
                <c:pt idx="35">
                  <c:v>82.48749522741592</c:v>
                </c:pt>
                <c:pt idx="36">
                  <c:v>82.984751584866672</c:v>
                </c:pt>
                <c:pt idx="37">
                  <c:v>83.471448298304296</c:v>
                </c:pt>
                <c:pt idx="38">
                  <c:v>83.945818352222972</c:v>
                </c:pt>
                <c:pt idx="39">
                  <c:v>84.405972454711844</c:v>
                </c:pt>
                <c:pt idx="40">
                  <c:v>84.849930502982801</c:v>
                </c:pt>
                <c:pt idx="41">
                  <c:v>85.275665465433661</c:v>
                </c:pt>
                <c:pt idx="42">
                  <c:v>85.681159749430435</c:v>
                </c:pt>
                <c:pt idx="43">
                  <c:v>86.064472708700833</c:v>
                </c:pt>
                <c:pt idx="44">
                  <c:v>86.423816231523901</c:v>
                </c:pt>
                <c:pt idx="45">
                  <c:v>86.757633579011198</c:v>
                </c:pt>
                <c:pt idx="46">
                  <c:v>87.064675162309882</c:v>
                </c:pt>
                <c:pt idx="47">
                  <c:v>87.344064155660533</c:v>
                </c:pt>
                <c:pt idx="48">
                  <c:v>87.595345070745509</c:v>
                </c:pt>
                <c:pt idx="49">
                  <c:v>87.818509807396211</c:v>
                </c:pt>
                <c:pt idx="50">
                  <c:v>88.013998108296519</c:v>
                </c:pt>
                <c:pt idx="51">
                  <c:v>88.182672363179151</c:v>
                </c:pt>
                <c:pt idx="52">
                  <c:v>88.325769736799472</c:v>
                </c:pt>
                <c:pt idx="53">
                  <c:v>88.444837037081953</c:v>
                </c:pt>
                <c:pt idx="54">
                  <c:v>88.541655169161487</c:v>
                </c:pt>
                <c:pt idx="55">
                  <c:v>88.618160289075547</c:v>
                </c:pt>
                <c:pt idx="56">
                  <c:v>88.676368009691345</c:v>
                </c:pt>
                <c:pt idx="57">
                  <c:v>88.71830554831989</c:v>
                </c:pt>
                <c:pt idx="58">
                  <c:v>88.745954937314465</c:v>
                </c:pt>
                <c:pt idx="59">
                  <c:v>88.761208699428451</c:v>
                </c:pt>
                <c:pt idx="60">
                  <c:v>88.76583796148681</c:v>
                </c:pt>
                <c:pt idx="61">
                  <c:v>88.761471958019598</c:v>
                </c:pt>
                <c:pt idx="62">
                  <c:v>88.749587269060655</c:v>
                </c:pt>
                <c:pt idx="63">
                  <c:v>88.731504882442522</c:v>
                </c:pt>
                <c:pt idx="64">
                  <c:v>88.708393178674285</c:v>
                </c:pt>
                <c:pt idx="65">
                  <c:v>88.681275111452322</c:v>
                </c:pt>
                <c:pt idx="66">
                  <c:v>88.651038118834663</c:v>
                </c:pt>
                <c:pt idx="67">
                  <c:v>88.618445589727656</c:v>
                </c:pt>
                <c:pt idx="68">
                  <c:v>88.584148988922635</c:v>
                </c:pt>
                <c:pt idx="69">
                  <c:v>88.548699989912492</c:v>
                </c:pt>
                <c:pt idx="70">
                  <c:v>88.512562169034425</c:v>
                </c:pt>
                <c:pt idx="71">
                  <c:v>88.476121976125512</c:v>
                </c:pt>
                <c:pt idx="72">
                  <c:v>88.43969881947163</c:v>
                </c:pt>
                <c:pt idx="73">
                  <c:v>88.403554192136511</c:v>
                </c:pt>
                <c:pt idx="74">
                  <c:v>88.367899829136434</c:v>
                </c:pt>
                <c:pt idx="75">
                  <c:v>88.332904926359262</c:v>
                </c:pt>
                <c:pt idx="76">
                  <c:v>88.298702477854647</c:v>
                </c:pt>
                <c:pt idx="77">
                  <c:v>88.265394802434528</c:v>
                </c:pt>
                <c:pt idx="78">
                  <c:v>88.233058336822992</c:v>
                </c:pt>
                <c:pt idx="79">
                  <c:v>88.201747773464504</c:v>
                </c:pt>
                <c:pt idx="80">
                  <c:v>88.171499618475849</c:v>
                </c:pt>
                <c:pt idx="81">
                  <c:v>88.142335240487569</c:v>
                </c:pt>
                <c:pt idx="82">
                  <c:v>88.114263475252713</c:v>
                </c:pt>
                <c:pt idx="83">
                  <c:v>88.087282844566886</c:v>
                </c:pt>
                <c:pt idx="84">
                  <c:v>88.061383441687283</c:v>
                </c:pt>
                <c:pt idx="85">
                  <c:v>88.036548529332137</c:v>
                </c:pt>
                <c:pt idx="86">
                  <c:v>88.012755890651221</c:v>
                </c:pt>
                <c:pt idx="87">
                  <c:v>87.989978968365094</c:v>
                </c:pt>
                <c:pt idx="88">
                  <c:v>87.968187822596761</c:v>
                </c:pt>
                <c:pt idx="89">
                  <c:v>87.947349933775669</c:v>
                </c:pt>
                <c:pt idx="90">
                  <c:v>87.927430873337769</c:v>
                </c:pt>
                <c:pt idx="91">
                  <c:v>87.908394861754743</c:v>
                </c:pt>
                <c:pt idx="92">
                  <c:v>87.890205230645918</c:v>
                </c:pt>
                <c:pt idx="93">
                  <c:v>87.872824803324846</c:v>
                </c:pt>
                <c:pt idx="94">
                  <c:v>87.856216206057169</c:v>
                </c:pt>
                <c:pt idx="95">
                  <c:v>87.840342120522081</c:v>
                </c:pt>
                <c:pt idx="96">
                  <c:v>87.825165486437754</c:v>
                </c:pt>
                <c:pt idx="97">
                  <c:v>87.810649661997857</c:v>
                </c:pt>
                <c:pt idx="98">
                  <c:v>87.796758548643155</c:v>
                </c:pt>
                <c:pt idx="99">
                  <c:v>87.783456685730727</c:v>
                </c:pt>
                <c:pt idx="100">
                  <c:v>87.770709319840918</c:v>
                </c:pt>
                <c:pt idx="101">
                  <c:v>87.758482452766003</c:v>
                </c:pt>
                <c:pt idx="102">
                  <c:v>87.746742871621308</c:v>
                </c:pt>
                <c:pt idx="103">
                  <c:v>87.735458164013437</c:v>
                </c:pt>
                <c:pt idx="104">
                  <c:v>87.724596720765859</c:v>
                </c:pt>
                <c:pt idx="105">
                  <c:v>87.714127728328734</c:v>
                </c:pt>
                <c:pt idx="106">
                  <c:v>87.704021152690501</c:v>
                </c:pt>
                <c:pt idx="107">
                  <c:v>87.694247716335411</c:v>
                </c:pt>
                <c:pt idx="108">
                  <c:v>87.684778869567253</c:v>
                </c:pt>
                <c:pt idx="109">
                  <c:v>87.675586757326442</c:v>
                </c:pt>
                <c:pt idx="110">
                  <c:v>87.666644182460601</c:v>
                </c:pt>
                <c:pt idx="111">
                  <c:v>87.657924566276421</c:v>
                </c:pt>
                <c:pt idx="112">
                  <c:v>87.649401907077703</c:v>
                </c:pt>
                <c:pt idx="113">
                  <c:v>87.641050737302322</c:v>
                </c:pt>
                <c:pt idx="114">
                  <c:v>87.632846079784116</c:v>
                </c:pt>
                <c:pt idx="115">
                  <c:v>87.624763403601406</c:v>
                </c:pt>
                <c:pt idx="116">
                  <c:v>87.61677857991458</c:v>
                </c:pt>
                <c:pt idx="117">
                  <c:v>87.60886783814891</c:v>
                </c:pt>
                <c:pt idx="118">
                  <c:v>87.60100772284396</c:v>
                </c:pt>
                <c:pt idx="119">
                  <c:v>87.593175051454736</c:v>
                </c:pt>
                <c:pt idx="120">
                  <c:v>87.585346873369488</c:v>
                </c:pt>
                <c:pt idx="121">
                  <c:v>87.577500430387829</c:v>
                </c:pt>
                <c:pt idx="122">
                  <c:v>87.56961311888503</c:v>
                </c:pt>
                <c:pt idx="123">
                  <c:v>87.561662453878384</c:v>
                </c:pt>
                <c:pt idx="124">
                  <c:v>87.553626035197837</c:v>
                </c:pt>
                <c:pt idx="125">
                  <c:v>87.545481515953554</c:v>
                </c:pt>
                <c:pt idx="126">
                  <c:v>87.537206573483743</c:v>
                </c:pt>
                <c:pt idx="127">
                  <c:v>87.528778882954043</c:v>
                </c:pt>
                <c:pt idx="128">
                  <c:v>87.520176093765954</c:v>
                </c:pt>
                <c:pt idx="129">
                  <c:v>87.511375808916156</c:v>
                </c:pt>
                <c:pt idx="130">
                  <c:v>87.50235556742652</c:v>
                </c:pt>
                <c:pt idx="131">
                  <c:v>87.493092829937581</c:v>
                </c:pt>
                <c:pt idx="132">
                  <c:v>87.483564967522938</c:v>
                </c:pt>
                <c:pt idx="133">
                  <c:v>87.473749253739456</c:v>
                </c:pt>
                <c:pt idx="134">
                  <c:v>87.463622859871762</c:v>
                </c:pt>
                <c:pt idx="135">
                  <c:v>87.45316285326426</c:v>
                </c:pt>
                <c:pt idx="136">
                  <c:v>87.442346198549856</c:v>
                </c:pt>
                <c:pt idx="137">
                  <c:v>87.431149761487973</c:v>
                </c:pt>
                <c:pt idx="138">
                  <c:v>87.419550315007712</c:v>
                </c:pt>
                <c:pt idx="139">
                  <c:v>87.407524546913208</c:v>
                </c:pt>
                <c:pt idx="140">
                  <c:v>87.395049068551231</c:v>
                </c:pt>
                <c:pt idx="141">
                  <c:v>87.382100423557347</c:v>
                </c:pt>
                <c:pt idx="142">
                  <c:v>87.368655095589816</c:v>
                </c:pt>
                <c:pt idx="143">
                  <c:v>87.35468951372934</c:v>
                </c:pt>
                <c:pt idx="144">
                  <c:v>87.340180053965057</c:v>
                </c:pt>
                <c:pt idx="145">
                  <c:v>87.325103034908551</c:v>
                </c:pt>
                <c:pt idx="146">
                  <c:v>87.30943470557817</c:v>
                </c:pt>
                <c:pt idx="147">
                  <c:v>87.293151222780892</c:v>
                </c:pt>
                <c:pt idx="148">
                  <c:v>87.285573535921529</c:v>
                </c:pt>
                <c:pt idx="149">
                  <c:v>87.238143642082363</c:v>
                </c:pt>
                <c:pt idx="150">
                  <c:v>87.185624616909394</c:v>
                </c:pt>
                <c:pt idx="151">
                  <c:v>87.127524264468065</c:v>
                </c:pt>
                <c:pt idx="152">
                  <c:v>87.063298113637288</c:v>
                </c:pt>
                <c:pt idx="153">
                  <c:v>86.992308362860626</c:v>
                </c:pt>
                <c:pt idx="154">
                  <c:v>86.913765672961532</c:v>
                </c:pt>
                <c:pt idx="155">
                  <c:v>86.826655260551121</c:v>
                </c:pt>
                <c:pt idx="156">
                  <c:v>86.72965517960391</c:v>
                </c:pt>
                <c:pt idx="157">
                  <c:v>86.621063980531147</c:v>
                </c:pt>
                <c:pt idx="158">
                  <c:v>86.498765281341917</c:v>
                </c:pt>
                <c:pt idx="159">
                  <c:v>86.360263283865081</c:v>
                </c:pt>
                <c:pt idx="160">
                  <c:v>86.202817797688283</c:v>
                </c:pt>
                <c:pt idx="161">
                  <c:v>86.023681817845059</c:v>
                </c:pt>
                <c:pt idx="162">
                  <c:v>85.820399722790512</c:v>
                </c:pt>
                <c:pt idx="163">
                  <c:v>85.591079569470082</c:v>
                </c:pt>
                <c:pt idx="164">
                  <c:v>85.364167386315458</c:v>
                </c:pt>
                <c:pt idx="165">
                  <c:v>84.932084546343731</c:v>
                </c:pt>
                <c:pt idx="166">
                  <c:v>84.438703555105917</c:v>
                </c:pt>
                <c:pt idx="167">
                  <c:v>83.886959257788831</c:v>
                </c:pt>
                <c:pt idx="168">
                  <c:v>83.279975136199496</c:v>
                </c:pt>
                <c:pt idx="169">
                  <c:v>82.61933302036303</c:v>
                </c:pt>
                <c:pt idx="170">
                  <c:v>81.907195038923561</c:v>
                </c:pt>
                <c:pt idx="171">
                  <c:v>81.148977755958299</c:v>
                </c:pt>
                <c:pt idx="172">
                  <c:v>80.3510929066546</c:v>
                </c:pt>
                <c:pt idx="173">
                  <c:v>79.51773591801026</c:v>
                </c:pt>
                <c:pt idx="174">
                  <c:v>78.653941504392463</c:v>
                </c:pt>
                <c:pt idx="175">
                  <c:v>77.764813842977247</c:v>
                </c:pt>
                <c:pt idx="176">
                  <c:v>76.85409160901122</c:v>
                </c:pt>
                <c:pt idx="177">
                  <c:v>75.925752946587394</c:v>
                </c:pt>
                <c:pt idx="178">
                  <c:v>74.982829719700632</c:v>
                </c:pt>
                <c:pt idx="179">
                  <c:v>73.702657506566126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7A-45B6-9CF2-578BA8A71DA0}"/>
            </c:ext>
          </c:extLst>
        </c:ser>
        <c:ser>
          <c:idx val="6"/>
          <c:order val="6"/>
          <c:tx>
            <c:strRef>
              <c:f>FRES!$AV$4</c:f>
              <c:strCache>
                <c:ptCount val="1"/>
                <c:pt idx="0">
                  <c:v>Phase1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FRES!$AV$5:$AV$184</c:f>
              <c:numCache>
                <c:formatCode>General</c:formatCode>
                <c:ptCount val="180"/>
                <c:pt idx="0">
                  <c:v>119.40724135691123</c:v>
                </c:pt>
                <c:pt idx="1">
                  <c:v>119.3703797973487</c:v>
                </c:pt>
                <c:pt idx="2">
                  <c:v>119.33101694498421</c:v>
                </c:pt>
                <c:pt idx="3">
                  <c:v>119.28894428278338</c:v>
                </c:pt>
                <c:pt idx="4">
                  <c:v>119.24392920984778</c:v>
                </c:pt>
                <c:pt idx="5">
                  <c:v>119.19571129667303</c:v>
                </c:pt>
                <c:pt idx="6">
                  <c:v>119.14399785900983</c:v>
                </c:pt>
                <c:pt idx="7">
                  <c:v>119.08845872329285</c:v>
                </c:pt>
                <c:pt idx="8">
                  <c:v>119.0287200370652</c:v>
                </c:pt>
                <c:pt idx="9">
                  <c:v>118.96435695889488</c:v>
                </c:pt>
                <c:pt idx="10">
                  <c:v>118.8948850472226</c:v>
                </c:pt>
                <c:pt idx="11">
                  <c:v>118.81975016238935</c:v>
                </c:pt>
                <c:pt idx="12">
                  <c:v>118.73831671128944</c:v>
                </c:pt>
                <c:pt idx="13">
                  <c:v>118.69501383543623</c:v>
                </c:pt>
                <c:pt idx="14">
                  <c:v>118.64985411765537</c:v>
                </c:pt>
                <c:pt idx="15">
                  <c:v>118.6027288837597</c:v>
                </c:pt>
                <c:pt idx="16">
                  <c:v>118.55352152286983</c:v>
                </c:pt>
                <c:pt idx="17">
                  <c:v>118.50210693321571</c:v>
                </c:pt>
                <c:pt idx="18">
                  <c:v>118.44835096124478</c:v>
                </c:pt>
                <c:pt idx="19">
                  <c:v>118.39210984625673</c:v>
                </c:pt>
                <c:pt idx="20">
                  <c:v>118.3332296873732</c:v>
                </c:pt>
                <c:pt idx="21">
                  <c:v>118.27154595548565</c:v>
                </c:pt>
                <c:pt idx="22">
                  <c:v>118.20688308016963</c:v>
                </c:pt>
                <c:pt idx="23">
                  <c:v>118.13905415068969</c:v>
                </c:pt>
                <c:pt idx="24">
                  <c:v>118.0678607814321</c:v>
                </c:pt>
                <c:pt idx="25">
                  <c:v>117.99309320564679</c:v>
                </c:pt>
                <c:pt idx="26">
                  <c:v>117.91453067742066</c:v>
                </c:pt>
                <c:pt idx="27">
                  <c:v>117.83194228033182</c:v>
                </c:pt>
                <c:pt idx="28">
                  <c:v>117.74508826192471</c:v>
                </c:pt>
                <c:pt idx="29">
                  <c:v>117.65372203517954</c:v>
                </c:pt>
                <c:pt idx="30">
                  <c:v>117.55759300995496</c:v>
                </c:pt>
                <c:pt idx="31">
                  <c:v>117.45645043631846</c:v>
                </c:pt>
                <c:pt idx="32">
                  <c:v>117.35004845367735</c:v>
                </c:pt>
                <c:pt idx="33">
                  <c:v>117.23815253883933</c:v>
                </c:pt>
                <c:pt idx="34">
                  <c:v>117.12054752472058</c:v>
                </c:pt>
                <c:pt idx="35">
                  <c:v>116.99704730963872</c:v>
                </c:pt>
                <c:pt idx="36">
                  <c:v>116.86750628403436</c:v>
                </c:pt>
                <c:pt idx="37">
                  <c:v>116.7318323565966</c:v>
                </c:pt>
                <c:pt idx="38">
                  <c:v>116.59000125811332</c:v>
                </c:pt>
                <c:pt idx="39">
                  <c:v>116.44207153984489</c:v>
                </c:pt>
                <c:pt idx="40">
                  <c:v>116.28819937821834</c:v>
                </c:pt>
                <c:pt idx="41">
                  <c:v>116.12865198250627</c:v>
                </c:pt>
                <c:pt idx="42">
                  <c:v>115.96381813215946</c:v>
                </c:pt>
                <c:pt idx="43">
                  <c:v>115.79421422003047</c:v>
                </c:pt>
                <c:pt idx="44">
                  <c:v>115.62048422866967</c:v>
                </c:pt>
                <c:pt idx="45">
                  <c:v>115.44339238660221</c:v>
                </c:pt>
                <c:pt idx="46">
                  <c:v>115.26380786454455</c:v>
                </c:pt>
                <c:pt idx="47">
                  <c:v>115.08268173371486</c:v>
                </c:pt>
                <c:pt idx="48">
                  <c:v>114.90101739666702</c:v>
                </c:pt>
                <c:pt idx="49">
                  <c:v>114.7198366302146</c:v>
                </c:pt>
                <c:pt idx="50">
                  <c:v>114.54014404787503</c:v>
                </c:pt>
                <c:pt idx="51">
                  <c:v>114.36289303773896</c:v>
                </c:pt>
                <c:pt idx="52">
                  <c:v>114.18895599957914</c:v>
                </c:pt>
                <c:pt idx="53">
                  <c:v>114.01910104953834</c:v>
                </c:pt>
                <c:pt idx="54">
                  <c:v>113.8539764373763</c:v>
                </c:pt>
                <c:pt idx="55">
                  <c:v>113.69410293167256</c:v>
                </c:pt>
                <c:pt idx="56">
                  <c:v>113.5398735592801</c:v>
                </c:pt>
                <c:pt idx="57">
                  <c:v>113.39155946239835</c:v>
                </c:pt>
                <c:pt idx="58">
                  <c:v>113.24932030676713</c:v>
                </c:pt>
                <c:pt idx="59">
                  <c:v>113.11321761514358</c:v>
                </c:pt>
                <c:pt idx="60">
                  <c:v>112.98322954500681</c:v>
                </c:pt>
                <c:pt idx="61">
                  <c:v>112.85926589660346</c:v>
                </c:pt>
                <c:pt idx="62">
                  <c:v>112.74118245206576</c:v>
                </c:pt>
                <c:pt idx="63">
                  <c:v>112.62879405236976</c:v>
                </c:pt>
                <c:pt idx="64">
                  <c:v>112.52188608227821</c:v>
                </c:pt>
                <c:pt idx="65">
                  <c:v>112.42022423915706</c:v>
                </c:pt>
                <c:pt idx="66">
                  <c:v>112.32356260838608</c:v>
                </c:pt>
                <c:pt idx="67">
                  <c:v>112.23165016281385</c:v>
                </c:pt>
                <c:pt idx="68">
                  <c:v>112.14423585674032</c:v>
                </c:pt>
                <c:pt idx="69">
                  <c:v>112.0610725072046</c:v>
                </c:pt>
                <c:pt idx="70">
                  <c:v>111.98191965671454</c:v>
                </c:pt>
                <c:pt idx="71">
                  <c:v>111.90654559989144</c:v>
                </c:pt>
                <c:pt idx="72">
                  <c:v>111.83472873773148</c:v>
                </c:pt>
                <c:pt idx="73">
                  <c:v>111.76625840142729</c:v>
                </c:pt>
                <c:pt idx="74">
                  <c:v>111.70093526563673</c:v>
                </c:pt>
                <c:pt idx="75">
                  <c:v>111.63857145032917</c:v>
                </c:pt>
                <c:pt idx="76">
                  <c:v>111.57899039173047</c:v>
                </c:pt>
                <c:pt idx="77">
                  <c:v>111.5220265467569</c:v>
                </c:pt>
                <c:pt idx="78">
                  <c:v>111.4675249816995</c:v>
                </c:pt>
                <c:pt idx="79">
                  <c:v>111.41534088462878</c:v>
                </c:pt>
                <c:pt idx="80">
                  <c:v>111.36533903178626</c:v>
                </c:pt>
                <c:pt idx="81">
                  <c:v>111.31739323082522</c:v>
                </c:pt>
                <c:pt idx="82">
                  <c:v>111.27138575787966</c:v>
                </c:pt>
                <c:pt idx="83">
                  <c:v>111.22720680081207</c:v>
                </c:pt>
                <c:pt idx="84">
                  <c:v>111.18475391738735</c:v>
                </c:pt>
                <c:pt idx="85">
                  <c:v>111.14393151434271</c:v>
                </c:pt>
                <c:pt idx="86">
                  <c:v>111.10465035120453</c:v>
                </c:pt>
                <c:pt idx="87">
                  <c:v>111.06682707110451</c:v>
                </c:pt>
                <c:pt idx="88">
                  <c:v>111.03038375965812</c:v>
                </c:pt>
                <c:pt idx="89">
                  <c:v>110.9952475320959</c:v>
                </c:pt>
                <c:pt idx="90">
                  <c:v>110.96135014821259</c:v>
                </c:pt>
                <c:pt idx="91">
                  <c:v>110.92862765426072</c:v>
                </c:pt>
                <c:pt idx="92">
                  <c:v>110.89702005062165</c:v>
                </c:pt>
                <c:pt idx="93">
                  <c:v>110.86647098389994</c:v>
                </c:pt>
                <c:pt idx="94">
                  <c:v>110.83692746198197</c:v>
                </c:pt>
                <c:pt idx="95">
                  <c:v>110.80833959055225</c:v>
                </c:pt>
                <c:pt idx="96">
                  <c:v>110.78066032955888</c:v>
                </c:pt>
                <c:pt idx="97">
                  <c:v>110.75384526814481</c:v>
                </c:pt>
                <c:pt idx="98">
                  <c:v>110.7278524166105</c:v>
                </c:pt>
                <c:pt idx="99">
                  <c:v>110.70264201403478</c:v>
                </c:pt>
                <c:pt idx="100">
                  <c:v>110.67817635025025</c:v>
                </c:pt>
                <c:pt idx="101">
                  <c:v>110.65441960094394</c:v>
                </c:pt>
                <c:pt idx="102">
                  <c:v>110.63133767472944</c:v>
                </c:pt>
                <c:pt idx="103">
                  <c:v>110.60889807111155</c:v>
                </c:pt>
                <c:pt idx="104">
                  <c:v>110.58706974833758</c:v>
                </c:pt>
                <c:pt idx="105">
                  <c:v>110.56582300019872</c:v>
                </c:pt>
                <c:pt idx="106">
                  <c:v>110.54512934091153</c:v>
                </c:pt>
                <c:pt idx="107">
                  <c:v>110.52496139727097</c:v>
                </c:pt>
                <c:pt idx="108">
                  <c:v>110.50529280732484</c:v>
                </c:pt>
                <c:pt idx="109">
                  <c:v>110.48609812487261</c:v>
                </c:pt>
                <c:pt idx="110">
                  <c:v>110.46735272914121</c:v>
                </c:pt>
                <c:pt idx="111">
                  <c:v>110.44903273903618</c:v>
                </c:pt>
                <c:pt idx="112">
                  <c:v>110.43111493140805</c:v>
                </c:pt>
                <c:pt idx="113">
                  <c:v>110.41357666281247</c:v>
                </c:pt>
                <c:pt idx="114">
                  <c:v>110.39639579427795</c:v>
                </c:pt>
                <c:pt idx="115">
                  <c:v>110.37955061862712</c:v>
                </c:pt>
                <c:pt idx="116">
                  <c:v>110.36301978992826</c:v>
                </c:pt>
                <c:pt idx="117">
                  <c:v>110.34678225468041</c:v>
                </c:pt>
                <c:pt idx="118">
                  <c:v>110.33081718436293</c:v>
                </c:pt>
                <c:pt idx="119">
                  <c:v>110.31510390900357</c:v>
                </c:pt>
                <c:pt idx="120">
                  <c:v>110.29962185144373</c:v>
                </c:pt>
                <c:pt idx="121">
                  <c:v>110.28435046200217</c:v>
                </c:pt>
                <c:pt idx="122">
                  <c:v>110.26926915326077</c:v>
                </c:pt>
                <c:pt idx="123">
                  <c:v>110.25435723471966</c:v>
                </c:pt>
                <c:pt idx="124">
                  <c:v>110.2395938470918</c:v>
                </c:pt>
                <c:pt idx="125">
                  <c:v>110.22495789603204</c:v>
                </c:pt>
                <c:pt idx="126">
                  <c:v>110.21042798512231</c:v>
                </c:pt>
                <c:pt idx="127">
                  <c:v>110.19598234796256</c:v>
                </c:pt>
                <c:pt idx="128">
                  <c:v>110.18159877924889</c:v>
                </c:pt>
                <c:pt idx="129">
                  <c:v>110.16725456475456</c:v>
                </c:pt>
                <c:pt idx="130">
                  <c:v>110.1529264101688</c:v>
                </c:pt>
                <c:pt idx="131">
                  <c:v>110.13859036879164</c:v>
                </c:pt>
                <c:pt idx="132">
                  <c:v>110.12422176813251</c:v>
                </c:pt>
                <c:pt idx="133">
                  <c:v>110.10979513551575</c:v>
                </c:pt>
                <c:pt idx="134">
                  <c:v>110.09528412285935</c:v>
                </c:pt>
                <c:pt idx="135">
                  <c:v>110.08066143086474</c:v>
                </c:pt>
                <c:pt idx="136">
                  <c:v>110.06589873293564</c:v>
                </c:pt>
                <c:pt idx="137">
                  <c:v>110.05096659923524</c:v>
                </c:pt>
                <c:pt idx="138">
                  <c:v>110.0358344213937</c:v>
                </c:pt>
                <c:pt idx="139">
                  <c:v>110.0204703384925</c:v>
                </c:pt>
                <c:pt idx="140">
                  <c:v>110.00484116508174</c:v>
                </c:pt>
                <c:pt idx="141">
                  <c:v>109.98891232213057</c:v>
                </c:pt>
                <c:pt idx="142">
                  <c:v>109.97264777197103</c:v>
                </c:pt>
                <c:pt idx="143">
                  <c:v>109.95600995847389</c:v>
                </c:pt>
                <c:pt idx="144">
                  <c:v>109.93895975389225</c:v>
                </c:pt>
                <c:pt idx="145">
                  <c:v>109.92145641402414</c:v>
                </c:pt>
                <c:pt idx="146">
                  <c:v>109.903457543584</c:v>
                </c:pt>
                <c:pt idx="147">
                  <c:v>109.88491907393079</c:v>
                </c:pt>
                <c:pt idx="148">
                  <c:v>109.87633993280403</c:v>
                </c:pt>
                <c:pt idx="149">
                  <c:v>109.82311582278025</c:v>
                </c:pt>
                <c:pt idx="150">
                  <c:v>109.76463394516611</c:v>
                </c:pt>
                <c:pt idx="151">
                  <c:v>109.69988240547306</c:v>
                </c:pt>
                <c:pt idx="152">
                  <c:v>109.62779642817728</c:v>
                </c:pt>
                <c:pt idx="153">
                  <c:v>109.54729567014795</c:v>
                </c:pt>
                <c:pt idx="154">
                  <c:v>109.45734329133961</c:v>
                </c:pt>
                <c:pt idx="155">
                  <c:v>109.35703215419551</c:v>
                </c:pt>
                <c:pt idx="156">
                  <c:v>109.24570210736795</c:v>
                </c:pt>
                <c:pt idx="157">
                  <c:v>109.1230881007029</c:v>
                </c:pt>
                <c:pt idx="158">
                  <c:v>108.98949013716184</c:v>
                </c:pt>
                <c:pt idx="159">
                  <c:v>108.8459412210409</c:v>
                </c:pt>
                <c:pt idx="160">
                  <c:v>108.69432862474353</c:v>
                </c:pt>
                <c:pt idx="161">
                  <c:v>108.5374013288853</c:v>
                </c:pt>
                <c:pt idx="162">
                  <c:v>108.37858366227559</c:v>
                </c:pt>
                <c:pt idx="163">
                  <c:v>108.22153046062597</c:v>
                </c:pt>
                <c:pt idx="164">
                  <c:v>108.08586793368625</c:v>
                </c:pt>
                <c:pt idx="165">
                  <c:v>107.86938249076208</c:v>
                </c:pt>
                <c:pt idx="166">
                  <c:v>107.66601054091493</c:v>
                </c:pt>
                <c:pt idx="167">
                  <c:v>107.46574946791641</c:v>
                </c:pt>
                <c:pt idx="168">
                  <c:v>107.26093530982936</c:v>
                </c:pt>
                <c:pt idx="169">
                  <c:v>107.05857719257651</c:v>
                </c:pt>
                <c:pt idx="170">
                  <c:v>106.8732430006451</c:v>
                </c:pt>
                <c:pt idx="171">
                  <c:v>106.70326348664213</c:v>
                </c:pt>
                <c:pt idx="172">
                  <c:v>106.53788787434853</c:v>
                </c:pt>
                <c:pt idx="173">
                  <c:v>106.38629053939042</c:v>
                </c:pt>
                <c:pt idx="174">
                  <c:v>106.24911407902655</c:v>
                </c:pt>
                <c:pt idx="175">
                  <c:v>106.12040734459657</c:v>
                </c:pt>
                <c:pt idx="176">
                  <c:v>106.00588710621582</c:v>
                </c:pt>
                <c:pt idx="177">
                  <c:v>105.90044340332327</c:v>
                </c:pt>
                <c:pt idx="178">
                  <c:v>105.80546539624112</c:v>
                </c:pt>
                <c:pt idx="179">
                  <c:v>105.69317599536738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7A-45B6-9CF2-578BA8A71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8040"/>
        <c:axId val="59086060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FRES!$AH$4</c15:sqref>
                        </c15:formulaRef>
                      </c:ext>
                    </c:extLst>
                    <c:strCache>
                      <c:ptCount val="1"/>
                      <c:pt idx="0">
                        <c:v>SPL2</c:v>
                      </c:pt>
                    </c:strCache>
                  </c:strRef>
                </c:tx>
                <c:spPr>
                  <a:ln w="25400">
                    <a:solidFill>
                      <a:srgbClr val="0000FF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FRES!$AH$5:$AH$184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51.815537179952216</c:v>
                      </c:pt>
                      <c:pt idx="1">
                        <c:v>52.831600264545678</c:v>
                      </c:pt>
                      <c:pt idx="2">
                        <c:v>53.849212687573456</c:v>
                      </c:pt>
                      <c:pt idx="3">
                        <c:v>54.868564729884646</c:v>
                      </c:pt>
                      <c:pt idx="4">
                        <c:v>55.889870052403452</c:v>
                      </c:pt>
                      <c:pt idx="5">
                        <c:v>56.913368551641071</c:v>
                      </c:pt>
                      <c:pt idx="6">
                        <c:v>57.939329550494875</c:v>
                      </c:pt>
                      <c:pt idx="7">
                        <c:v>58.968055355981249</c:v>
                      </c:pt>
                      <c:pt idx="8">
                        <c:v>59.999885214313416</c:v>
                      </c:pt>
                      <c:pt idx="9">
                        <c:v>61.035199689707085</c:v>
                      </c:pt>
                      <c:pt idx="10">
                        <c:v>62.074425484783745</c:v>
                      </c:pt>
                      <c:pt idx="11">
                        <c:v>63.118040704832048</c:v>
                      </c:pt>
                      <c:pt idx="12">
                        <c:v>64.166580541443267</c:v>
                      </c:pt>
                      <c:pt idx="13">
                        <c:v>64.692881527661314</c:v>
                      </c:pt>
                      <c:pt idx="14">
                        <c:v>65.220643306922199</c:v>
                      </c:pt>
                      <c:pt idx="15">
                        <c:v>65.749951556395999</c:v>
                      </c:pt>
                      <c:pt idx="16">
                        <c:v>66.280896679723497</c:v>
                      </c:pt>
                      <c:pt idx="17">
                        <c:v>66.813573994411684</c:v>
                      </c:pt>
                      <c:pt idx="18">
                        <c:v>67.348083907928441</c:v>
                      </c:pt>
                      <c:pt idx="19">
                        <c:v>67.884532076499809</c:v>
                      </c:pt>
                      <c:pt idx="20">
                        <c:v>68.4230295389698</c:v>
                      </c:pt>
                      <c:pt idx="21">
                        <c:v>68.963692816028413</c:v>
                      </c:pt>
                      <c:pt idx="22">
                        <c:v>69.50664396253822</c:v>
                      </c:pt>
                      <c:pt idx="23">
                        <c:v>70.052010557460264</c:v>
                      </c:pt>
                      <c:pt idx="24">
                        <c:v>70.599925611830429</c:v>
                      </c:pt>
                      <c:pt idx="25">
                        <c:v>71.150527370160418</c:v>
                      </c:pt>
                      <c:pt idx="26">
                        <c:v>71.70395897426117</c:v>
                      </c:pt>
                      <c:pt idx="27">
                        <c:v>72.260367950490632</c:v>
                      </c:pt>
                      <c:pt idx="28">
                        <c:v>72.819905471387841</c:v>
                      </c:pt>
                      <c:pt idx="29">
                        <c:v>73.382725330065355</c:v>
                      </c:pt>
                      <c:pt idx="30">
                        <c:v>73.948982549944276</c:v>
                      </c:pt>
                      <c:pt idx="31">
                        <c:v>74.518831532650694</c:v>
                      </c:pt>
                      <c:pt idx="32">
                        <c:v>75.092423622196065</c:v>
                      </c:pt>
                      <c:pt idx="33">
                        <c:v>75.669903932788216</c:v>
                      </c:pt>
                      <c:pt idx="34">
                        <c:v>76.251407249446444</c:v>
                      </c:pt>
                      <c:pt idx="35">
                        <c:v>76.837052763509391</c:v>
                      </c:pt>
                      <c:pt idx="36">
                        <c:v>77.426937347549355</c:v>
                      </c:pt>
                      <c:pt idx="37">
                        <c:v>78.021127004621874</c:v>
                      </c:pt>
                      <c:pt idx="38">
                        <c:v>78.619646044079289</c:v>
                      </c:pt>
                      <c:pt idx="39">
                        <c:v>79.222463440258167</c:v>
                      </c:pt>
                      <c:pt idx="40">
                        <c:v>79.829475723116943</c:v>
                      </c:pt>
                      <c:pt idx="41">
                        <c:v>80.440485636940963</c:v>
                      </c:pt>
                      <c:pt idx="42">
                        <c:v>81.055175696455009</c:v>
                      </c:pt>
                      <c:pt idx="43">
                        <c:v>81.673075691306451</c:v>
                      </c:pt>
                      <c:pt idx="44">
                        <c:v>82.293523178244797</c:v>
                      </c:pt>
                      <c:pt idx="45">
                        <c:v>82.915616117685559</c:v>
                      </c:pt>
                      <c:pt idx="46">
                        <c:v>83.538157153347242</c:v>
                      </c:pt>
                      <c:pt idx="47">
                        <c:v>84.159589738473116</c:v>
                      </c:pt>
                      <c:pt idx="48">
                        <c:v>84.77792756428488</c:v>
                      </c:pt>
                      <c:pt idx="49">
                        <c:v>85.390680764313288</c:v>
                      </c:pt>
                      <c:pt idx="50">
                        <c:v>85.99478535775259</c:v>
                      </c:pt>
                      <c:pt idx="51">
                        <c:v>86.58654644000093</c:v>
                      </c:pt>
                      <c:pt idx="52">
                        <c:v>87.161610493498927</c:v>
                      </c:pt>
                      <c:pt idx="53">
                        <c:v>87.714987032814406</c:v>
                      </c:pt>
                      <c:pt idx="54">
                        <c:v>88.241142859444807</c:v>
                      </c:pt>
                      <c:pt idx="55">
                        <c:v>88.734190727782561</c:v>
                      </c:pt>
                      <c:pt idx="56">
                        <c:v>89.188184976303972</c:v>
                      </c:pt>
                      <c:pt idx="57">
                        <c:v>89.597517462650259</c:v>
                      </c:pt>
                      <c:pt idx="58">
                        <c:v>89.957379241846311</c:v>
                      </c:pt>
                      <c:pt idx="59">
                        <c:v>90.264223738126489</c:v>
                      </c:pt>
                      <c:pt idx="60">
                        <c:v>90.516147706328155</c:v>
                      </c:pt>
                      <c:pt idx="61">
                        <c:v>90.713109331965455</c:v>
                      </c:pt>
                      <c:pt idx="62">
                        <c:v>90.856933076473723</c:v>
                      </c:pt>
                      <c:pt idx="63">
                        <c:v>90.951100114973812</c:v>
                      </c:pt>
                      <c:pt idx="64">
                        <c:v>91.000372904329808</c:v>
                      </c:pt>
                      <c:pt idx="65">
                        <c:v>91.010333771215898</c:v>
                      </c:pt>
                      <c:pt idx="66">
                        <c:v>90.986921632166087</c:v>
                      </c:pt>
                      <c:pt idx="67">
                        <c:v>90.936032252856961</c:v>
                      </c:pt>
                      <c:pt idx="68">
                        <c:v>90.863217934414735</c:v>
                      </c:pt>
                      <c:pt idx="69">
                        <c:v>90.773494349292662</c:v>
                      </c:pt>
                      <c:pt idx="70">
                        <c:v>90.67124259435964</c:v>
                      </c:pt>
                      <c:pt idx="71">
                        <c:v>90.560184877716807</c:v>
                      </c:pt>
                      <c:pt idx="72">
                        <c:v>90.443410510394244</c:v>
                      </c:pt>
                      <c:pt idx="73">
                        <c:v>90.323431802166766</c:v>
                      </c:pt>
                      <c:pt idx="74">
                        <c:v>90.202254268149147</c:v>
                      </c:pt>
                      <c:pt idx="75">
                        <c:v>90.081450439911137</c:v>
                      </c:pt>
                      <c:pt idx="76">
                        <c:v>89.962230663710315</c:v>
                      </c:pt>
                      <c:pt idx="77">
                        <c:v>89.845507303589045</c:v>
                      </c:pt>
                      <c:pt idx="78">
                        <c:v>89.731950823451839</c:v>
                      </c:pt>
                      <c:pt idx="79">
                        <c:v>89.622037503007604</c:v>
                      </c:pt>
                      <c:pt idx="80">
                        <c:v>89.516089266935452</c:v>
                      </c:pt>
                      <c:pt idx="81">
                        <c:v>89.414306461206593</c:v>
                      </c:pt>
                      <c:pt idx="82">
                        <c:v>89.316794535365148</c:v>
                      </c:pt>
                      <c:pt idx="83">
                        <c:v>89.223585582039661</c:v>
                      </c:pt>
                      <c:pt idx="84">
                        <c:v>89.134655608549096</c:v>
                      </c:pt>
                      <c:pt idx="85">
                        <c:v>89.049938309364833</c:v>
                      </c:pt>
                      <c:pt idx="86">
                        <c:v>88.969335995195536</c:v>
                      </c:pt>
                      <c:pt idx="87">
                        <c:v>88.892728226831906</c:v>
                      </c:pt>
                      <c:pt idx="88">
                        <c:v>88.81997860541162</c:v>
                      </c:pt>
                      <c:pt idx="89">
                        <c:v>88.750940087486399</c:v>
                      </c:pt>
                      <c:pt idx="90">
                        <c:v>88.685459123135104</c:v>
                      </c:pt>
                      <c:pt idx="91">
                        <c:v>88.623378857298846</c:v>
                      </c:pt>
                      <c:pt idx="92">
                        <c:v>88.564541587006886</c:v>
                      </c:pt>
                      <c:pt idx="93">
                        <c:v>88.508790628634998</c:v>
                      </c:pt>
                      <c:pt idx="94">
                        <c:v>88.455971718267406</c:v>
                      </c:pt>
                      <c:pt idx="95">
                        <c:v>88.405934043302892</c:v>
                      </c:pt>
                      <c:pt idx="96">
                        <c:v>88.358530983482012</c:v>
                      </c:pt>
                      <c:pt idx="97">
                        <c:v>88.313620623576014</c:v>
                      </c:pt>
                      <c:pt idx="98">
                        <c:v>88.271066087260891</c:v>
                      </c:pt>
                      <c:pt idx="99">
                        <c:v>88.230735731563186</c:v>
                      </c:pt>
                      <c:pt idx="100">
                        <c:v>88.192503233190095</c:v>
                      </c:pt>
                      <c:pt idx="101">
                        <c:v>88.156247591621479</c:v>
                      </c:pt>
                      <c:pt idx="102">
                        <c:v>88.121853068712923</c:v>
                      </c:pt>
                      <c:pt idx="103">
                        <c:v>88.089209080472898</c:v>
                      </c:pt>
                      <c:pt idx="104">
                        <c:v>88.058210053422073</c:v>
                      </c:pt>
                      <c:pt idx="105">
                        <c:v>88.028755255340059</c:v>
                      </c:pt>
                      <c:pt idx="106">
                        <c:v>88.00074860813838</c:v>
                      </c:pt>
                      <c:pt idx="107">
                        <c:v>87.974098488943127</c:v>
                      </c:pt>
                      <c:pt idx="108">
                        <c:v>87.948717524155796</c:v>
                      </c:pt>
                      <c:pt idx="109">
                        <c:v>87.92452238020951</c:v>
                      </c:pt>
                      <c:pt idx="110">
                        <c:v>87.901433553903487</c:v>
                      </c:pt>
                      <c:pt idx="111">
                        <c:v>87.87937516453475</c:v>
                      </c:pt>
                      <c:pt idx="112">
                        <c:v>87.858274749516454</c:v>
                      </c:pt>
                      <c:pt idx="113">
                        <c:v>87.83806306475924</c:v>
                      </c:pt>
                      <c:pt idx="114">
                        <c:v>87.818673890757168</c:v>
                      </c:pt>
                      <c:pt idx="115">
                        <c:v>87.800043845068984</c:v>
                      </c:pt>
                      <c:pt idx="116">
                        <c:v>87.782112201676782</c:v>
                      </c:pt>
                      <c:pt idx="117">
                        <c:v>87.764820717553562</c:v>
                      </c:pt>
                      <c:pt idx="118">
                        <c:v>87.748113466649187</c:v>
                      </c:pt>
                      <c:pt idx="119">
                        <c:v>87.731936681415021</c:v>
                      </c:pt>
                      <c:pt idx="120">
                        <c:v>87.716238601919798</c:v>
                      </c:pt>
                      <c:pt idx="121">
                        <c:v>87.700969332562408</c:v>
                      </c:pt>
                      <c:pt idx="122">
                        <c:v>87.686080706349031</c:v>
                      </c:pt>
                      <c:pt idx="123">
                        <c:v>87.671526156683825</c:v>
                      </c:pt>
                      <c:pt idx="124">
                        <c:v>87.65726059660183</c:v>
                      </c:pt>
                      <c:pt idx="125">
                        <c:v>87.643240305366277</c:v>
                      </c:pt>
                      <c:pt idx="126">
                        <c:v>87.629422822344466</c:v>
                      </c:pt>
                      <c:pt idx="127">
                        <c:v>87.615766848073164</c:v>
                      </c:pt>
                      <c:pt idx="128">
                        <c:v>87.602232152415539</c:v>
                      </c:pt>
                      <c:pt idx="129">
                        <c:v>87.588779489710447</c:v>
                      </c:pt>
                      <c:pt idx="130">
                        <c:v>87.575370520796923</c:v>
                      </c:pt>
                      <c:pt idx="131">
                        <c:v>87.561967741786177</c:v>
                      </c:pt>
                      <c:pt idx="132">
                        <c:v>87.548534419424612</c:v>
                      </c:pt>
                      <c:pt idx="133">
                        <c:v>87.535034532862539</c:v>
                      </c:pt>
                      <c:pt idx="134">
                        <c:v>87.521432721596625</c:v>
                      </c:pt>
                      <c:pt idx="135">
                        <c:v>87.507694239298317</c:v>
                      </c:pt>
                      <c:pt idx="136">
                        <c:v>87.493784913169762</c:v>
                      </c:pt>
                      <c:pt idx="137">
                        <c:v>87.479671108377886</c:v>
                      </c:pt>
                      <c:pt idx="138">
                        <c:v>87.465319697013911</c:v>
                      </c:pt>
                      <c:pt idx="139">
                        <c:v>87.450698030893022</c:v>
                      </c:pt>
                      <c:pt idx="140">
                        <c:v>87.435773917362098</c:v>
                      </c:pt>
                      <c:pt idx="141">
                        <c:v>87.42051559710734</c:v>
                      </c:pt>
                      <c:pt idx="142">
                        <c:v>87.404891722754087</c:v>
                      </c:pt>
                      <c:pt idx="143">
                        <c:v>87.388871336827734</c:v>
                      </c:pt>
                      <c:pt idx="144">
                        <c:v>87.372423847394188</c:v>
                      </c:pt>
                      <c:pt idx="145">
                        <c:v>87.355518999425328</c:v>
                      </c:pt>
                      <c:pt idx="146">
                        <c:v>87.338126839642882</c:v>
                      </c:pt>
                      <c:pt idx="147">
                        <c:v>87.320217672283917</c:v>
                      </c:pt>
                      <c:pt idx="148">
                        <c:v>87.31193504657945</c:v>
                      </c:pt>
                      <c:pt idx="149">
                        <c:v>87.2607109854182</c:v>
                      </c:pt>
                      <c:pt idx="150">
                        <c:v>87.2049484588902</c:v>
                      </c:pt>
                      <c:pt idx="151">
                        <c:v>87.144076284564576</c:v>
                      </c:pt>
                      <c:pt idx="152">
                        <c:v>87.077482120105941</c:v>
                      </c:pt>
                      <c:pt idx="153">
                        <c:v>87.004469764381298</c:v>
                      </c:pt>
                      <c:pt idx="154">
                        <c:v>86.92419956185293</c:v>
                      </c:pt>
                      <c:pt idx="155">
                        <c:v>86.835613334668139</c:v>
                      </c:pt>
                      <c:pt idx="156">
                        <c:v>86.737351707133868</c:v>
                      </c:pt>
                      <c:pt idx="157">
                        <c:v>86.627680991102679</c:v>
                      </c:pt>
                      <c:pt idx="158">
                        <c:v>86.504457143490413</c:v>
                      </c:pt>
                      <c:pt idx="159">
                        <c:v>86.365160797101609</c:v>
                      </c:pt>
                      <c:pt idx="160">
                        <c:v>86.207031882273981</c:v>
                      </c:pt>
                      <c:pt idx="161">
                        <c:v>86.027306827885127</c:v>
                      </c:pt>
                      <c:pt idx="162">
                        <c:v>85.823516351482397</c:v>
                      </c:pt>
                      <c:pt idx="163">
                        <c:v>85.593757285122379</c:v>
                      </c:pt>
                      <c:pt idx="164">
                        <c:v>85.366505394907534</c:v>
                      </c:pt>
                      <c:pt idx="165">
                        <c:v>84.933942538177902</c:v>
                      </c:pt>
                      <c:pt idx="166">
                        <c:v>84.440178796412454</c:v>
                      </c:pt>
                      <c:pt idx="167">
                        <c:v>83.888130417045403</c:v>
                      </c:pt>
                      <c:pt idx="168">
                        <c:v>83.280905134986</c:v>
                      </c:pt>
                      <c:pt idx="169">
                        <c:v>82.620071520593271</c:v>
                      </c:pt>
                      <c:pt idx="170">
                        <c:v>81.907781252303295</c:v>
                      </c:pt>
                      <c:pt idx="171">
                        <c:v>81.149442999534855</c:v>
                      </c:pt>
                      <c:pt idx="172">
                        <c:v>80.351462194000788</c:v>
                      </c:pt>
                      <c:pt idx="173">
                        <c:v>79.518029017986279</c:v>
                      </c:pt>
                      <c:pt idx="174">
                        <c:v>78.654174121689749</c:v>
                      </c:pt>
                      <c:pt idx="175">
                        <c:v>77.764998468469258</c:v>
                      </c:pt>
                      <c:pt idx="176">
                        <c:v>76.854238137468386</c:v>
                      </c:pt>
                      <c:pt idx="177">
                        <c:v>75.925869242466007</c:v>
                      </c:pt>
                      <c:pt idx="178">
                        <c:v>74.982922020647749</c:v>
                      </c:pt>
                      <c:pt idx="179">
                        <c:v>73.702725253955833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B7A-45B6-9CF2-578BA8A71DA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FRES!$AI$4</c15:sqref>
                        </c15:formulaRef>
                      </c:ext>
                    </c:extLst>
                    <c:strCache>
                      <c:ptCount val="1"/>
                      <c:pt idx="0">
                        <c:v>SPL3</c:v>
                      </c:pt>
                    </c:strCache>
                  </c:strRef>
                </c:tx>
                <c:spPr>
                  <a:ln w="25400">
                    <a:solidFill>
                      <a:srgbClr val="FF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FRES!$AI$5:$AI$184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45.750805856448835</c:v>
                      </c:pt>
                      <c:pt idx="1">
                        <c:v>46.761651080495604</c:v>
                      </c:pt>
                      <c:pt idx="2">
                        <c:v>47.773408910804534</c:v>
                      </c:pt>
                      <c:pt idx="3">
                        <c:v>48.786192387428294</c:v>
                      </c:pt>
                      <c:pt idx="4">
                        <c:v>49.800128725946102</c:v>
                      </c:pt>
                      <c:pt idx="5">
                        <c:v>50.815361139616343</c:v>
                      </c:pt>
                      <c:pt idx="6">
                        <c:v>51.832050906961172</c:v>
                      </c:pt>
                      <c:pt idx="7">
                        <c:v>52.850379720566011</c:v>
                      </c:pt>
                      <c:pt idx="8">
                        <c:v>53.87055235871108</c:v>
                      </c:pt>
                      <c:pt idx="9">
                        <c:v>54.892799728355762</c:v>
                      </c:pt>
                      <c:pt idx="10">
                        <c:v>55.917382336176551</c:v>
                      </c:pt>
                      <c:pt idx="11">
                        <c:v>56.944594254070381</c:v>
                      </c:pt>
                      <c:pt idx="12">
                        <c:v>57.974767657055253</c:v>
                      </c:pt>
                      <c:pt idx="13">
                        <c:v>58.491080403828093</c:v>
                      </c:pt>
                      <c:pt idx="14">
                        <c:v>59.00827802516821</c:v>
                      </c:pt>
                      <c:pt idx="15">
                        <c:v>59.526415202148755</c:v>
                      </c:pt>
                      <c:pt idx="16">
                        <c:v>60.045550117119426</c:v>
                      </c:pt>
                      <c:pt idx="17">
                        <c:v>60.565744691718564</c:v>
                      </c:pt>
                      <c:pt idx="18">
                        <c:v>61.087064842483471</c:v>
                      </c:pt>
                      <c:pt idx="19">
                        <c:v>61.609580755470496</c:v>
                      </c:pt>
                      <c:pt idx="20">
                        <c:v>62.133367181409305</c:v>
                      </c:pt>
                      <c:pt idx="21">
                        <c:v>62.658503753035966</c:v>
                      </c:pt>
                      <c:pt idx="22">
                        <c:v>63.185075326370409</c:v>
                      </c:pt>
                      <c:pt idx="23">
                        <c:v>63.713172347831261</c:v>
                      </c:pt>
                      <c:pt idx="24">
                        <c:v>64.242891249207105</c:v>
                      </c:pt>
                      <c:pt idx="25">
                        <c:v>64.774334872624578</c:v>
                      </c:pt>
                      <c:pt idx="26">
                        <c:v>65.307612927767522</c:v>
                      </c:pt>
                      <c:pt idx="27">
                        <c:v>65.842842483696302</c:v>
                      </c:pt>
                      <c:pt idx="28">
                        <c:v>66.380148497683493</c:v>
                      </c:pt>
                      <c:pt idx="29">
                        <c:v>66.919664383508277</c:v>
                      </c:pt>
                      <c:pt idx="30">
                        <c:v>67.461532621607546</c:v>
                      </c:pt>
                      <c:pt idx="31">
                        <c:v>68.005905413356246</c:v>
                      </c:pt>
                      <c:pt idx="32">
                        <c:v>68.552945381482672</c:v>
                      </c:pt>
                      <c:pt idx="33">
                        <c:v>69.10282631818599</c:v>
                      </c:pt>
                      <c:pt idx="34">
                        <c:v>69.655733981823218</c:v>
                      </c:pt>
                      <c:pt idx="35">
                        <c:v>70.211866941996021</c:v>
                      </c:pt>
                      <c:pt idx="36">
                        <c:v>70.771437471346403</c:v>
                      </c:pt>
                      <c:pt idx="37">
                        <c:v>71.334672480200396</c:v>
                      </c:pt>
                      <c:pt idx="38">
                        <c:v>71.901814487143582</c:v>
                      </c:pt>
                      <c:pt idx="39">
                        <c:v>72.473122614331345</c:v>
                      </c:pt>
                      <c:pt idx="40">
                        <c:v>73.048873590413322</c:v>
                      </c:pt>
                      <c:pt idx="41">
                        <c:v>73.629362735752522</c:v>
                      </c:pt>
                      <c:pt idx="42">
                        <c:v>74.21490489333722</c:v>
                      </c:pt>
                      <c:pt idx="43">
                        <c:v>74.805835253269152</c:v>
                      </c:pt>
                      <c:pt idx="44">
                        <c:v>75.402509997404621</c:v>
                      </c:pt>
                      <c:pt idx="45">
                        <c:v>76.005306661467444</c:v>
                      </c:pt>
                      <c:pt idx="46">
                        <c:v>76.614624071775978</c:v>
                      </c:pt>
                      <c:pt idx="47">
                        <c:v>77.230881658523543</c:v>
                      </c:pt>
                      <c:pt idx="48">
                        <c:v>77.85451787166609</c:v>
                      </c:pt>
                      <c:pt idx="49">
                        <c:v>78.485987321105469</c:v>
                      </c:pt>
                      <c:pt idx="50">
                        <c:v>79.125756119315739</c:v>
                      </c:pt>
                      <c:pt idx="51">
                        <c:v>79.774294707273057</c:v>
                      </c:pt>
                      <c:pt idx="52">
                        <c:v>80.432067173867551</c:v>
                      </c:pt>
                      <c:pt idx="53">
                        <c:v>81.099515708930085</c:v>
                      </c:pt>
                      <c:pt idx="54">
                        <c:v>81.777038327229889</c:v>
                      </c:pt>
                      <c:pt idx="55">
                        <c:v>82.46495732464119</c:v>
                      </c:pt>
                      <c:pt idx="56">
                        <c:v>83.163475033150007</c:v>
                      </c:pt>
                      <c:pt idx="57">
                        <c:v>83.872612288962898</c:v>
                      </c:pt>
                      <c:pt idx="58">
                        <c:v>84.592123607517806</c:v>
                      </c:pt>
                      <c:pt idx="59">
                        <c:v>85.321381441690548</c:v>
                      </c:pt>
                      <c:pt idx="60">
                        <c:v>86.059220339981621</c:v>
                      </c:pt>
                      <c:pt idx="61">
                        <c:v>86.803730948268083</c:v>
                      </c:pt>
                      <c:pt idx="62">
                        <c:v>87.551994929327833</c:v>
                      </c:pt>
                      <c:pt idx="63">
                        <c:v>88.299757468498967</c:v>
                      </c:pt>
                      <c:pt idx="64">
                        <c:v>89.041048153852728</c:v>
                      </c:pt>
                      <c:pt idx="65">
                        <c:v>89.767789275989401</c:v>
                      </c:pt>
                      <c:pt idx="66">
                        <c:v>90.469478256241786</c:v>
                      </c:pt>
                      <c:pt idx="67">
                        <c:v>91.133096873859699</c:v>
                      </c:pt>
                      <c:pt idx="68">
                        <c:v>91.743464683569456</c:v>
                      </c:pt>
                      <c:pt idx="69">
                        <c:v>92.284265751310471</c:v>
                      </c:pt>
                      <c:pt idx="70">
                        <c:v>92.739857122818307</c:v>
                      </c:pt>
                      <c:pt idx="71">
                        <c:v>93.097663005728037</c:v>
                      </c:pt>
                      <c:pt idx="72">
                        <c:v>93.350553955956542</c:v>
                      </c:pt>
                      <c:pt idx="73">
                        <c:v>93.49837150257089</c:v>
                      </c:pt>
                      <c:pt idx="74">
                        <c:v>93.547963267245549</c:v>
                      </c:pt>
                      <c:pt idx="75">
                        <c:v>93.511713167466084</c:v>
                      </c:pt>
                      <c:pt idx="76">
                        <c:v>93.405181523419969</c:v>
                      </c:pt>
                      <c:pt idx="77">
                        <c:v>93.244696255949989</c:v>
                      </c:pt>
                      <c:pt idx="78">
                        <c:v>93.045512096522117</c:v>
                      </c:pt>
                      <c:pt idx="79">
                        <c:v>92.820750637406348</c:v>
                      </c:pt>
                      <c:pt idx="80">
                        <c:v>92.581022165439236</c:v>
                      </c:pt>
                      <c:pt idx="81">
                        <c:v>92.334502040259082</c:v>
                      </c:pt>
                      <c:pt idx="82">
                        <c:v>92.08724210717773</c:v>
                      </c:pt>
                      <c:pt idx="83">
                        <c:v>91.843561396111937</c:v>
                      </c:pt>
                      <c:pt idx="84">
                        <c:v>91.606426861122387</c:v>
                      </c:pt>
                      <c:pt idx="85">
                        <c:v>91.377783477424316</c:v>
                      </c:pt>
                      <c:pt idx="86">
                        <c:v>91.158822018927196</c:v>
                      </c:pt>
                      <c:pt idx="87">
                        <c:v>90.950187448065407</c:v>
                      </c:pt>
                      <c:pt idx="88">
                        <c:v>90.752136716716606</c:v>
                      </c:pt>
                      <c:pt idx="89">
                        <c:v>90.564656040125143</c:v>
                      </c:pt>
                      <c:pt idx="90">
                        <c:v>90.387546885678631</c:v>
                      </c:pt>
                      <c:pt idx="91">
                        <c:v>90.220488371971356</c:v>
                      </c:pt>
                      <c:pt idx="92">
                        <c:v>90.063082151427437</c:v>
                      </c:pt>
                      <c:pt idx="93">
                        <c:v>89.914884418411759</c:v>
                      </c:pt>
                      <c:pt idx="94">
                        <c:v>89.775428520569278</c:v>
                      </c:pt>
                      <c:pt idx="95">
                        <c:v>89.644240746145186</c:v>
                      </c:pt>
                      <c:pt idx="96">
                        <c:v>89.520851175343125</c:v>
                      </c:pt>
                      <c:pt idx="97">
                        <c:v>89.404800974376116</c:v>
                      </c:pt>
                      <c:pt idx="98">
                        <c:v>89.295647135805197</c:v>
                      </c:pt>
                      <c:pt idx="99">
                        <c:v>89.192965394360954</c:v>
                      </c:pt>
                      <c:pt idx="100">
                        <c:v>89.096351847420635</c:v>
                      </c:pt>
                      <c:pt idx="101">
                        <c:v>89.005423663778885</c:v>
                      </c:pt>
                      <c:pt idx="102">
                        <c:v>88.91981915853215</c:v>
                      </c:pt>
                      <c:pt idx="103">
                        <c:v>88.839197434957171</c:v>
                      </c:pt>
                      <c:pt idx="104">
                        <c:v>88.763237738301967</c:v>
                      </c:pt>
                      <c:pt idx="105">
                        <c:v>88.691638625670222</c:v>
                      </c:pt>
                      <c:pt idx="106">
                        <c:v>88.62411702652733</c:v>
                      </c:pt>
                      <c:pt idx="107">
                        <c:v>88.560407246755318</c:v>
                      </c:pt>
                      <c:pt idx="108">
                        <c:v>88.500259953460045</c:v>
                      </c:pt>
                      <c:pt idx="109">
                        <c:v>88.443441166298527</c:v>
                      </c:pt>
                      <c:pt idx="110">
                        <c:v>88.389731272788126</c:v>
                      </c:pt>
                      <c:pt idx="111">
                        <c:v>88.338924079056383</c:v>
                      </c:pt>
                      <c:pt idx="112">
                        <c:v>88.290825903154499</c:v>
                      </c:pt>
                      <c:pt idx="113">
                        <c:v>88.24525471496672</c:v>
                      </c:pt>
                      <c:pt idx="114">
                        <c:v>88.202039324548181</c:v>
                      </c:pt>
                      <c:pt idx="115">
                        <c:v>88.161018619193271</c:v>
                      </c:pt>
                      <c:pt idx="116">
                        <c:v>88.12204084848311</c:v>
                      </c:pt>
                      <c:pt idx="117">
                        <c:v>88.084962955864</c:v>
                      </c:pt>
                      <c:pt idx="118">
                        <c:v>88.049649954864748</c:v>
                      </c:pt>
                      <c:pt idx="119">
                        <c:v>88.015974347803279</c:v>
                      </c:pt>
                      <c:pt idx="120">
                        <c:v>87.983815584702981</c:v>
                      </c:pt>
                      <c:pt idx="121">
                        <c:v>87.953059560111427</c:v>
                      </c:pt>
                      <c:pt idx="122">
                        <c:v>87.923598145536886</c:v>
                      </c:pt>
                      <c:pt idx="123">
                        <c:v>87.895328755298848</c:v>
                      </c:pt>
                      <c:pt idx="124">
                        <c:v>87.868153943683822</c:v>
                      </c:pt>
                      <c:pt idx="125">
                        <c:v>87.841981031418953</c:v>
                      </c:pt>
                      <c:pt idx="126">
                        <c:v>87.816721759596163</c:v>
                      </c:pt>
                      <c:pt idx="127">
                        <c:v>87.792291969308906</c:v>
                      </c:pt>
                      <c:pt idx="128">
                        <c:v>87.768611305380205</c:v>
                      </c:pt>
                      <c:pt idx="129">
                        <c:v>87.745602942678872</c:v>
                      </c:pt>
                      <c:pt idx="130">
                        <c:v>87.723193333620657</c:v>
                      </c:pt>
                      <c:pt idx="131">
                        <c:v>87.70131197554349</c:v>
                      </c:pt>
                      <c:pt idx="132">
                        <c:v>87.679891196721769</c:v>
                      </c:pt>
                      <c:pt idx="133">
                        <c:v>87.658865959843283</c:v>
                      </c:pt>
                      <c:pt idx="134">
                        <c:v>87.638173681815076</c:v>
                      </c:pt>
                      <c:pt idx="135">
                        <c:v>87.617754068782773</c:v>
                      </c:pt>
                      <c:pt idx="136">
                        <c:v>87.597548965253225</c:v>
                      </c:pt>
                      <c:pt idx="137">
                        <c:v>87.577502216180818</c:v>
                      </c:pt>
                      <c:pt idx="138">
                        <c:v>87.557559540836479</c:v>
                      </c:pt>
                      <c:pt idx="139">
                        <c:v>87.537668417199683</c:v>
                      </c:pt>
                      <c:pt idx="140">
                        <c:v>87.517777975517362</c:v>
                      </c:pt>
                      <c:pt idx="141">
                        <c:v>87.497838899541222</c:v>
                      </c:pt>
                      <c:pt idx="142">
                        <c:v>87.477803333798363</c:v>
                      </c:pt>
                      <c:pt idx="143">
                        <c:v>87.457624795063666</c:v>
                      </c:pt>
                      <c:pt idx="144">
                        <c:v>87.437258085985633</c:v>
                      </c:pt>
                      <c:pt idx="145">
                        <c:v>87.416659208577272</c:v>
                      </c:pt>
                      <c:pt idx="146">
                        <c:v>87.395785275017971</c:v>
                      </c:pt>
                      <c:pt idx="147">
                        <c:v>87.374594412930492</c:v>
                      </c:pt>
                      <c:pt idx="148">
                        <c:v>87.364889316035942</c:v>
                      </c:pt>
                      <c:pt idx="149">
                        <c:v>87.30601491630766</c:v>
                      </c:pt>
                      <c:pt idx="150">
                        <c:v>87.24372009945094</c:v>
                      </c:pt>
                      <c:pt idx="151">
                        <c:v>87.177271206226777</c:v>
                      </c:pt>
                      <c:pt idx="152">
                        <c:v>87.105916855752469</c:v>
                      </c:pt>
                      <c:pt idx="153">
                        <c:v>87.028841636557971</c:v>
                      </c:pt>
                      <c:pt idx="154">
                        <c:v>86.945103497753934</c:v>
                      </c:pt>
                      <c:pt idx="155">
                        <c:v>86.853556185300732</c:v>
                      </c:pt>
                      <c:pt idx="156">
                        <c:v>86.75276452534726</c:v>
                      </c:pt>
                      <c:pt idx="157">
                        <c:v>86.640929669148107</c:v>
                      </c:pt>
                      <c:pt idx="158">
                        <c:v>86.51585175495066</c:v>
                      </c:pt>
                      <c:pt idx="159">
                        <c:v>86.374963917759757</c:v>
                      </c:pt>
                      <c:pt idx="160">
                        <c:v>86.215466069306927</c:v>
                      </c:pt>
                      <c:pt idx="161">
                        <c:v>86.034561318231709</c:v>
                      </c:pt>
                      <c:pt idx="162">
                        <c:v>85.829752924154974</c:v>
                      </c:pt>
                      <c:pt idx="163">
                        <c:v>85.599115170061907</c:v>
                      </c:pt>
                      <c:pt idx="164">
                        <c:v>85.371183285842392</c:v>
                      </c:pt>
                      <c:pt idx="165">
                        <c:v>84.937659707249281</c:v>
                      </c:pt>
                      <c:pt idx="166">
                        <c:v>84.443130026991682</c:v>
                      </c:pt>
                      <c:pt idx="167">
                        <c:v>83.890473207290739</c:v>
                      </c:pt>
                      <c:pt idx="168">
                        <c:v>83.282765430303002</c:v>
                      </c:pt>
                      <c:pt idx="169">
                        <c:v>82.621548708978139</c:v>
                      </c:pt>
                      <c:pt idx="170">
                        <c:v>81.908953797535133</c:v>
                      </c:pt>
                      <c:pt idx="171">
                        <c:v>81.150373561331236</c:v>
                      </c:pt>
                      <c:pt idx="172">
                        <c:v>80.35220081573938</c:v>
                      </c:pt>
                      <c:pt idx="173">
                        <c:v>79.518615247582687</c:v>
                      </c:pt>
                      <c:pt idx="174">
                        <c:v>78.654639374959686</c:v>
                      </c:pt>
                      <c:pt idx="175">
                        <c:v>77.765367731219669</c:v>
                      </c:pt>
                      <c:pt idx="176">
                        <c:v>76.854531201794998</c:v>
                      </c:pt>
                      <c:pt idx="177">
                        <c:v>75.926101838892862</c:v>
                      </c:pt>
                      <c:pt idx="178">
                        <c:v>74.983106625483742</c:v>
                      </c:pt>
                      <c:pt idx="179">
                        <c:v>73.702860750320113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B7A-45B6-9CF2-578BA8A71DA0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FRES!$AW$4</c15:sqref>
                        </c15:formulaRef>
                      </c:ext>
                    </c:extLst>
                    <c:strCache>
                      <c:ptCount val="1"/>
                      <c:pt idx="0">
                        <c:v>Phase2</c:v>
                      </c:pt>
                    </c:strCache>
                  </c:strRef>
                </c:tx>
                <c:spPr>
                  <a:ln>
                    <a:solidFill>
                      <a:srgbClr val="0000FF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FRES!$AW$5:$AW$184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119.70210252197307</c:v>
                      </c:pt>
                      <c:pt idx="1">
                        <c:v>119.68387525028002</c:v>
                      </c:pt>
                      <c:pt idx="2">
                        <c:v>119.66446535820627</c:v>
                      </c:pt>
                      <c:pt idx="3">
                        <c:v>119.64378328158263</c:v>
                      </c:pt>
                      <c:pt idx="4">
                        <c:v>119.62173030166811</c:v>
                      </c:pt>
                      <c:pt idx="5">
                        <c:v>119.59819721206651</c:v>
                      </c:pt>
                      <c:pt idx="6">
                        <c:v>119.5730627349844</c:v>
                      </c:pt>
                      <c:pt idx="7">
                        <c:v>119.54619163177716</c:v>
                      </c:pt>
                      <c:pt idx="8">
                        <c:v>119.51743243913444</c:v>
                      </c:pt>
                      <c:pt idx="9">
                        <c:v>119.48661474492741</c:v>
                      </c:pt>
                      <c:pt idx="10">
                        <c:v>119.45354589555036</c:v>
                      </c:pt>
                      <c:pt idx="11">
                        <c:v>119.4180069980552</c:v>
                      </c:pt>
                      <c:pt idx="12">
                        <c:v>119.37974804353851</c:v>
                      </c:pt>
                      <c:pt idx="13">
                        <c:v>119.35951046493304</c:v>
                      </c:pt>
                      <c:pt idx="14">
                        <c:v>119.33848193051409</c:v>
                      </c:pt>
                      <c:pt idx="15">
                        <c:v>119.31661955055678</c:v>
                      </c:pt>
                      <c:pt idx="16">
                        <c:v>119.2938771050115</c:v>
                      </c:pt>
                      <c:pt idx="17">
                        <c:v>119.27020471129828</c:v>
                      </c:pt>
                      <c:pt idx="18">
                        <c:v>119.24554845350171</c:v>
                      </c:pt>
                      <c:pt idx="19">
                        <c:v>119.21984996800249</c:v>
                      </c:pt>
                      <c:pt idx="20">
                        <c:v>119.19304597990713</c:v>
                      </c:pt>
                      <c:pt idx="21">
                        <c:v>119.16506778387502</c:v>
                      </c:pt>
                      <c:pt idx="22">
                        <c:v>119.13584066208354</c:v>
                      </c:pt>
                      <c:pt idx="23">
                        <c:v>119.10528323111014</c:v>
                      </c:pt>
                      <c:pt idx="24">
                        <c:v>119.07330670844335</c:v>
                      </c:pt>
                      <c:pt idx="25">
                        <c:v>119.03981408816163</c:v>
                      </c:pt>
                      <c:pt idx="26">
                        <c:v>119.00469921404778</c:v>
                      </c:pt>
                      <c:pt idx="27">
                        <c:v>118.96784573706184</c:v>
                      </c:pt>
                      <c:pt idx="28">
                        <c:v>118.92912594271002</c:v>
                      </c:pt>
                      <c:pt idx="29">
                        <c:v>118.88839943249533</c:v>
                      </c:pt>
                      <c:pt idx="30">
                        <c:v>118.8455116424213</c:v>
                      </c:pt>
                      <c:pt idx="31">
                        <c:v>118.80029218061716</c:v>
                      </c:pt>
                      <c:pt idx="32">
                        <c:v>118.75255296581956</c:v>
                      </c:pt>
                      <c:pt idx="33">
                        <c:v>118.70208614907102</c:v>
                      </c:pt>
                      <c:pt idx="34">
                        <c:v>118.64866180315295</c:v>
                      </c:pt>
                      <c:pt idx="35">
                        <c:v>118.59202536879155</c:v>
                      </c:pt>
                      <c:pt idx="36">
                        <c:v>118.53189485476055</c:v>
                      </c:pt>
                      <c:pt idx="37">
                        <c:v>118.46795780235588</c:v>
                      </c:pt>
                      <c:pt idx="38">
                        <c:v>118.39986804572744</c:v>
                      </c:pt>
                      <c:pt idx="39">
                        <c:v>118.32724233152942</c:v>
                      </c:pt>
                      <c:pt idx="40">
                        <c:v>118.24965690877714</c:v>
                      </c:pt>
                      <c:pt idx="41">
                        <c:v>118.16664426861641</c:v>
                      </c:pt>
                      <c:pt idx="42">
                        <c:v>118.07769031150484</c:v>
                      </c:pt>
                      <c:pt idx="43">
                        <c:v>117.98223235526777</c:v>
                      </c:pt>
                      <c:pt idx="44">
                        <c:v>117.87965858182866</c:v>
                      </c:pt>
                      <c:pt idx="45">
                        <c:v>117.76930976262003</c:v>
                      </c:pt>
                      <c:pt idx="46">
                        <c:v>117.6504844078155</c:v>
                      </c:pt>
                      <c:pt idx="47">
                        <c:v>117.52244884611757</c:v>
                      </c:pt>
                      <c:pt idx="48">
                        <c:v>117.38445412983856</c:v>
                      </c:pt>
                      <c:pt idx="49">
                        <c:v>117.23576200243248</c:v>
                      </c:pt>
                      <c:pt idx="50">
                        <c:v>117.07568232447218</c:v>
                      </c:pt>
                      <c:pt idx="51">
                        <c:v>116.90362410152629</c:v>
                      </c:pt>
                      <c:pt idx="52">
                        <c:v>116.71916126897747</c:v>
                      </c:pt>
                      <c:pt idx="53">
                        <c:v>116.52211228600103</c:v>
                      </c:pt>
                      <c:pt idx="54">
                        <c:v>116.31262908020865</c:v>
                      </c:pt>
                      <c:pt idx="55">
                        <c:v>116.09128603010089</c:v>
                      </c:pt>
                      <c:pt idx="56">
                        <c:v>115.85915426891454</c:v>
                      </c:pt>
                      <c:pt idx="57">
                        <c:v>115.61784244587597</c:v>
                      </c:pt>
                      <c:pt idx="58">
                        <c:v>115.36948481656758</c:v>
                      </c:pt>
                      <c:pt idx="59">
                        <c:v>115.11666357413056</c:v>
                      </c:pt>
                      <c:pt idx="60">
                        <c:v>114.86226513677651</c:v>
                      </c:pt>
                      <c:pt idx="61">
                        <c:v>114.60928670670407</c:v>
                      </c:pt>
                      <c:pt idx="62">
                        <c:v>114.3606237818108</c:v>
                      </c:pt>
                      <c:pt idx="63">
                        <c:v>114.1188751673223</c:v>
                      </c:pt>
                      <c:pt idx="64">
                        <c:v>113.88619663808342</c:v>
                      </c:pt>
                      <c:pt idx="65">
                        <c:v>113.66422028824978</c:v>
                      </c:pt>
                      <c:pt idx="66">
                        <c:v>113.45403996233416</c:v>
                      </c:pt>
                      <c:pt idx="67">
                        <c:v>113.25625010377431</c:v>
                      </c:pt>
                      <c:pt idx="68">
                        <c:v>113.07101901127808</c:v>
                      </c:pt>
                      <c:pt idx="69">
                        <c:v>112.89817752621609</c:v>
                      </c:pt>
                      <c:pt idx="70">
                        <c:v>112.73730821114216</c:v>
                      </c:pt>
                      <c:pt idx="71">
                        <c:v>112.58782547362232</c:v>
                      </c:pt>
                      <c:pt idx="72">
                        <c:v>112.44904199102429</c:v>
                      </c:pt>
                      <c:pt idx="73">
                        <c:v>112.32022036632985</c:v>
                      </c:pt>
                      <c:pt idx="74">
                        <c:v>112.20061110442263</c:v>
                      </c:pt>
                      <c:pt idx="75">
                        <c:v>112.08947902727407</c:v>
                      </c:pt>
                      <c:pt idx="76">
                        <c:v>111.98612052360805</c:v>
                      </c:pt>
                      <c:pt idx="77">
                        <c:v>111.88987388222745</c:v>
                      </c:pt>
                      <c:pt idx="78">
                        <c:v>111.80012462030814</c:v>
                      </c:pt>
                      <c:pt idx="79">
                        <c:v>111.71630733005995</c:v>
                      </c:pt>
                      <c:pt idx="80">
                        <c:v>111.63790520355707</c:v>
                      </c:pt>
                      <c:pt idx="81">
                        <c:v>111.56444808769446</c:v>
                      </c:pt>
                      <c:pt idx="82">
                        <c:v>111.49550967633397</c:v>
                      </c:pt>
                      <c:pt idx="83">
                        <c:v>111.43070426003158</c:v>
                      </c:pt>
                      <c:pt idx="84">
                        <c:v>111.3696833158829</c:v>
                      </c:pt>
                      <c:pt idx="85">
                        <c:v>111.31213212077094</c:v>
                      </c:pt>
                      <c:pt idx="86">
                        <c:v>111.25776650139126</c:v>
                      </c:pt>
                      <c:pt idx="87">
                        <c:v>111.20632978620465</c:v>
                      </c:pt>
                      <c:pt idx="88">
                        <c:v>111.15758999192246</c:v>
                      </c:pt>
                      <c:pt idx="89">
                        <c:v>111.11133725571632</c:v>
                      </c:pt>
                      <c:pt idx="90">
                        <c:v>111.06738151071394</c:v>
                      </c:pt>
                      <c:pt idx="91">
                        <c:v>111.02555039406697</c:v>
                      </c:pt>
                      <c:pt idx="92">
                        <c:v>110.98568737222618</c:v>
                      </c:pt>
                      <c:pt idx="93">
                        <c:v>110.94765006581842</c:v>
                      </c:pt>
                      <c:pt idx="94">
                        <c:v>110.91130875583821</c:v>
                      </c:pt>
                      <c:pt idx="95">
                        <c:v>110.8765450531663</c:v>
                      </c:pt>
                      <c:pt idx="96">
                        <c:v>110.84325071431036</c:v>
                      </c:pt>
                      <c:pt idx="97">
                        <c:v>110.81132658746404</c:v>
                      </c:pt>
                      <c:pt idx="98">
                        <c:v>110.78068167432899</c:v>
                      </c:pt>
                      <c:pt idx="99">
                        <c:v>110.75123229452554</c:v>
                      </c:pt>
                      <c:pt idx="100">
                        <c:v>110.72290134076397</c:v>
                      </c:pt>
                      <c:pt idx="101">
                        <c:v>110.69561761422038</c:v>
                      </c:pt>
                      <c:pt idx="102">
                        <c:v>110.6693152307349</c:v>
                      </c:pt>
                      <c:pt idx="103">
                        <c:v>110.6439330895204</c:v>
                      </c:pt>
                      <c:pt idx="104">
                        <c:v>110.61941439703156</c:v>
                      </c:pt>
                      <c:pt idx="105">
                        <c:v>110.59570623950452</c:v>
                      </c:pt>
                      <c:pt idx="106">
                        <c:v>110.57275919844054</c:v>
                      </c:pt>
                      <c:pt idx="107">
                        <c:v>110.55052700398171</c:v>
                      </c:pt>
                      <c:pt idx="108">
                        <c:v>110.52896622172156</c:v>
                      </c:pt>
                      <c:pt idx="109">
                        <c:v>110.50803596901525</c:v>
                      </c:pt>
                      <c:pt idx="110">
                        <c:v>110.48769765731336</c:v>
                      </c:pt>
                      <c:pt idx="111">
                        <c:v>110.46791475744442</c:v>
                      </c:pt>
                      <c:pt idx="112">
                        <c:v>110.44865258512392</c:v>
                      </c:pt>
                      <c:pt idx="113">
                        <c:v>110.4298781042758</c:v>
                      </c:pt>
                      <c:pt idx="114">
                        <c:v>110.41155974602228</c:v>
                      </c:pt>
                      <c:pt idx="115">
                        <c:v>110.39366724143571</c:v>
                      </c:pt>
                      <c:pt idx="116">
                        <c:v>110.37617146635323</c:v>
                      </c:pt>
                      <c:pt idx="117">
                        <c:v>110.35904429673842</c:v>
                      </c:pt>
                      <c:pt idx="118">
                        <c:v>110.34225847323539</c:v>
                      </c:pt>
                      <c:pt idx="119">
                        <c:v>110.32578747370295</c:v>
                      </c:pt>
                      <c:pt idx="120">
                        <c:v>110.30960539264339</c:v>
                      </c:pt>
                      <c:pt idx="121">
                        <c:v>110.2936868265532</c:v>
                      </c:pt>
                      <c:pt idx="122">
                        <c:v>110.27800676432413</c:v>
                      </c:pt>
                      <c:pt idx="123">
                        <c:v>110.26254048191529</c:v>
                      </c:pt>
                      <c:pt idx="124">
                        <c:v>110.24726344060038</c:v>
                      </c:pt>
                      <c:pt idx="125">
                        <c:v>110.23215118817207</c:v>
                      </c:pt>
                      <c:pt idx="126">
                        <c:v>110.21717926255855</c:v>
                      </c:pt>
                      <c:pt idx="127">
                        <c:v>110.20232309737612</c:v>
                      </c:pt>
                      <c:pt idx="128">
                        <c:v>110.18755792900974</c:v>
                      </c:pt>
                      <c:pt idx="129">
                        <c:v>110.1728587048792</c:v>
                      </c:pt>
                      <c:pt idx="130">
                        <c:v>110.15819999261619</c:v>
                      </c:pt>
                      <c:pt idx="131">
                        <c:v>110.14355588994493</c:v>
                      </c:pt>
                      <c:pt idx="132">
                        <c:v>110.12889993513127</c:v>
                      </c:pt>
                      <c:pt idx="133">
                        <c:v>110.11420501793916</c:v>
                      </c:pt>
                      <c:pt idx="134">
                        <c:v>110.09944329111437</c:v>
                      </c:pt>
                      <c:pt idx="135">
                        <c:v>110.08458608250163</c:v>
                      </c:pt>
                      <c:pt idx="136">
                        <c:v>110.06960380799522</c:v>
                      </c:pt>
                      <c:pt idx="137">
                        <c:v>110.05446588562664</c:v>
                      </c:pt>
                      <c:pt idx="138">
                        <c:v>110.03914065120584</c:v>
                      </c:pt>
                      <c:pt idx="139">
                        <c:v>110.02359527605726</c:v>
                      </c:pt>
                      <c:pt idx="140">
                        <c:v>110.00779568752942</c:v>
                      </c:pt>
                      <c:pt idx="141">
                        <c:v>109.99170649310899</c:v>
                      </c:pt>
                      <c:pt idx="142">
                        <c:v>109.97529090913679</c:v>
                      </c:pt>
                      <c:pt idx="143">
                        <c:v>109.95851069530814</c:v>
                      </c:pt>
                      <c:pt idx="144">
                        <c:v>109.94132609634164</c:v>
                      </c:pt>
                      <c:pt idx="145">
                        <c:v>109.92369579242236</c:v>
                      </c:pt>
                      <c:pt idx="146">
                        <c:v>109.90557686026692</c:v>
                      </c:pt>
                      <c:pt idx="147">
                        <c:v>109.88692474692057</c:v>
                      </c:pt>
                      <c:pt idx="148">
                        <c:v>109.87829616519484</c:v>
                      </c:pt>
                      <c:pt idx="149">
                        <c:v>109.82480358848061</c:v>
                      </c:pt>
                      <c:pt idx="150">
                        <c:v>109.76608756140088</c:v>
                      </c:pt>
                      <c:pt idx="151">
                        <c:v>109.70113068177577</c:v>
                      </c:pt>
                      <c:pt idx="152">
                        <c:v>109.62886382143783</c:v>
                      </c:pt>
                      <c:pt idx="153">
                        <c:v>109.54820321351914</c:v>
                      </c:pt>
                      <c:pt idx="154">
                        <c:v>109.45810934451472</c:v>
                      </c:pt>
                      <c:pt idx="155">
                        <c:v>109.35767301199817</c:v>
                      </c:pt>
                      <c:pt idx="156">
                        <c:v>109.24623249413321</c:v>
                      </c:pt>
                      <c:pt idx="157">
                        <c:v>109.123521568301</c:v>
                      </c:pt>
                      <c:pt idx="158">
                        <c:v>108.98983937381662</c:v>
                      </c:pt>
                      <c:pt idx="159">
                        <c:v>108.84621826653972</c:v>
                      </c:pt>
                      <c:pt idx="160">
                        <c:v>108.69454497757192</c:v>
                      </c:pt>
                      <c:pt idx="161">
                        <c:v>108.53756792727063</c:v>
                      </c:pt>
                      <c:pt idx="162">
                        <c:v>108.37871073050813</c:v>
                      </c:pt>
                      <c:pt idx="163">
                        <c:v>108.22162723816879</c:v>
                      </c:pt>
                      <c:pt idx="164">
                        <c:v>108.08594446762689</c:v>
                      </c:pt>
                      <c:pt idx="165">
                        <c:v>107.86943591099957</c:v>
                      </c:pt>
                      <c:pt idx="166">
                        <c:v>107.66604960052091</c:v>
                      </c:pt>
                      <c:pt idx="167">
                        <c:v>107.46577812206165</c:v>
                      </c:pt>
                      <c:pt idx="168">
                        <c:v>107.26095536035173</c:v>
                      </c:pt>
                      <c:pt idx="169">
                        <c:v>107.05859071968024</c:v>
                      </c:pt>
                      <c:pt idx="170">
                        <c:v>106.8732525006513</c:v>
                      </c:pt>
                      <c:pt idx="171">
                        <c:v>106.70327040202346</c:v>
                      </c:pt>
                      <c:pt idx="172">
                        <c:v>106.53789265046834</c:v>
                      </c:pt>
                      <c:pt idx="173">
                        <c:v>106.38629388089139</c:v>
                      </c:pt>
                      <c:pt idx="174">
                        <c:v>106.24911647738547</c:v>
                      </c:pt>
                      <c:pt idx="175">
                        <c:v>106.12040900302593</c:v>
                      </c:pt>
                      <c:pt idx="176">
                        <c:v>106.00588829441922</c:v>
                      </c:pt>
                      <c:pt idx="177">
                        <c:v>105.90044423519424</c:v>
                      </c:pt>
                      <c:pt idx="178">
                        <c:v>105.80546598143283</c:v>
                      </c:pt>
                      <c:pt idx="179">
                        <c:v>105.69317636284818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B7A-45B6-9CF2-578BA8A71DA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FRES!$AX$4</c15:sqref>
                        </c15:formulaRef>
                      </c:ext>
                    </c:extLst>
                    <c:strCache>
                      <c:ptCount val="1"/>
                      <c:pt idx="0">
                        <c:v>Phase3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FRES!$AX$5:$AX$184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119.84807033432885</c:v>
                      </c:pt>
                      <c:pt idx="1">
                        <c:v>119.83889314163783</c:v>
                      </c:pt>
                      <c:pt idx="2">
                        <c:v>119.8291428995112</c:v>
                      </c:pt>
                      <c:pt idx="3">
                        <c:v>119.81878026024847</c:v>
                      </c:pt>
                      <c:pt idx="4">
                        <c:v>119.80776250538911</c:v>
                      </c:pt>
                      <c:pt idx="5">
                        <c:v>119.79604313876747</c:v>
                      </c:pt>
                      <c:pt idx="6">
                        <c:v>119.78357141235084</c:v>
                      </c:pt>
                      <c:pt idx="7">
                        <c:v>119.77029177134322</c:v>
                      </c:pt>
                      <c:pt idx="8">
                        <c:v>119.75614320193947</c:v>
                      </c:pt>
                      <c:pt idx="9">
                        <c:v>119.74105846121675</c:v>
                      </c:pt>
                      <c:pt idx="10">
                        <c:v>119.72496316372147</c:v>
                      </c:pt>
                      <c:pt idx="11">
                        <c:v>119.70777469303914</c:v>
                      </c:pt>
                      <c:pt idx="12">
                        <c:v>119.68940089861073</c:v>
                      </c:pt>
                      <c:pt idx="13">
                        <c:v>119.67973772147714</c:v>
                      </c:pt>
                      <c:pt idx="14">
                        <c:v>119.66973852772355</c:v>
                      </c:pt>
                      <c:pt idx="15">
                        <c:v>119.6593883651943</c:v>
                      </c:pt>
                      <c:pt idx="16">
                        <c:v>119.6486713292046</c:v>
                      </c:pt>
                      <c:pt idx="17">
                        <c:v>119.63757047942141</c:v>
                      </c:pt>
                      <c:pt idx="18">
                        <c:v>119.62606774784373</c:v>
                      </c:pt>
                      <c:pt idx="19">
                        <c:v>119.61414383677852</c:v>
                      </c:pt>
                      <c:pt idx="20">
                        <c:v>119.60177810555379</c:v>
                      </c:pt>
                      <c:pt idx="21">
                        <c:v>119.58894844452874</c:v>
                      </c:pt>
                      <c:pt idx="22">
                        <c:v>119.57563113475254</c:v>
                      </c:pt>
                      <c:pt idx="23">
                        <c:v>119.56180069137895</c:v>
                      </c:pt>
                      <c:pt idx="24">
                        <c:v>119.54742968865955</c:v>
                      </c:pt>
                      <c:pt idx="25">
                        <c:v>119.53248856400623</c:v>
                      </c:pt>
                      <c:pt idx="26">
                        <c:v>119.51694539822398</c:v>
                      </c:pt>
                      <c:pt idx="27">
                        <c:v>119.50076566855763</c:v>
                      </c:pt>
                      <c:pt idx="28">
                        <c:v>119.48391197065777</c:v>
                      </c:pt>
                      <c:pt idx="29">
                        <c:v>119.46634370493661</c:v>
                      </c:pt>
                      <c:pt idx="30">
                        <c:v>119.44801672203303</c:v>
                      </c:pt>
                      <c:pt idx="31">
                        <c:v>119.42888292121731</c:v>
                      </c:pt>
                      <c:pt idx="32">
                        <c:v>119.4088897945085</c:v>
                      </c:pt>
                      <c:pt idx="33">
                        <c:v>119.38797990802053</c:v>
                      </c:pt>
                      <c:pt idx="34">
                        <c:v>119.36609031055283</c:v>
                      </c:pt>
                      <c:pt idx="35">
                        <c:v>119.34315185764807</c:v>
                      </c:pt>
                      <c:pt idx="36">
                        <c:v>119.31908843719272</c:v>
                      </c:pt>
                      <c:pt idx="37">
                        <c:v>119.29381608006173</c:v>
                      </c:pt>
                      <c:pt idx="38">
                        <c:v>119.26724193621368</c:v>
                      </c:pt>
                      <c:pt idx="39">
                        <c:v>119.23926309292445</c:v>
                      </c:pt>
                      <c:pt idx="40">
                        <c:v>119.20976520736993</c:v>
                      </c:pt>
                      <c:pt idx="41">
                        <c:v>119.17862092038202</c:v>
                      </c:pt>
                      <c:pt idx="42">
                        <c:v>119.14568801172351</c:v>
                      </c:pt>
                      <c:pt idx="43">
                        <c:v>119.11080724945097</c:v>
                      </c:pt>
                      <c:pt idx="44">
                        <c:v>119.07379987662917</c:v>
                      </c:pt>
                      <c:pt idx="45">
                        <c:v>119.03446466758423</c:v>
                      </c:pt>
                      <c:pt idx="46">
                        <c:v>118.99257447280606</c:v>
                      </c:pt>
                      <c:pt idx="47">
                        <c:v>118.94787215636151</c:v>
                      </c:pt>
                      <c:pt idx="48">
                        <c:v>118.90006581223763</c:v>
                      </c:pt>
                      <c:pt idx="49">
                        <c:v>118.84882312667187</c:v>
                      </c:pt>
                      <c:pt idx="50">
                        <c:v>118.79376473309276</c:v>
                      </c:pt>
                      <c:pt idx="51">
                        <c:v>118.73445638665336</c:v>
                      </c:pt>
                      <c:pt idx="52">
                        <c:v>118.67039977014579</c:v>
                      </c:pt>
                      <c:pt idx="53">
                        <c:v>118.60102173902644</c:v>
                      </c:pt>
                      <c:pt idx="54">
                        <c:v>118.525661832152</c:v>
                      </c:pt>
                      <c:pt idx="55">
                        <c:v>118.44355793679465</c:v>
                      </c:pt>
                      <c:pt idx="56">
                        <c:v>118.353830135268</c:v>
                      </c:pt>
                      <c:pt idx="57">
                        <c:v>118.25546303102026</c:v>
                      </c:pt>
                      <c:pt idx="58">
                        <c:v>118.14728734156395</c:v>
                      </c:pt>
                      <c:pt idx="59">
                        <c:v>118.02796238755872</c:v>
                      </c:pt>
                      <c:pt idx="60">
                        <c:v>117.89596249500609</c:v>
                      </c:pt>
                      <c:pt idx="61">
                        <c:v>117.74957251600543</c:v>
                      </c:pt>
                      <c:pt idx="62">
                        <c:v>117.58690094173031</c:v>
                      </c:pt>
                      <c:pt idx="63">
                        <c:v>117.40592359127362</c:v>
                      </c:pt>
                      <c:pt idx="64">
                        <c:v>117.20457630165809</c:v>
                      </c:pt>
                      <c:pt idx="65">
                        <c:v>116.98091991630233</c:v>
                      </c:pt>
                      <c:pt idx="66">
                        <c:v>116.73340134893002</c:v>
                      </c:pt>
                      <c:pt idx="67">
                        <c:v>116.46122339563792</c:v>
                      </c:pt>
                      <c:pt idx="68">
                        <c:v>116.16480360893142</c:v>
                      </c:pt>
                      <c:pt idx="69">
                        <c:v>115.84624323150042</c:v>
                      </c:pt>
                      <c:pt idx="70">
                        <c:v>115.50965363794839</c:v>
                      </c:pt>
                      <c:pt idx="71">
                        <c:v>115.1611454060302</c:v>
                      </c:pt>
                      <c:pt idx="72">
                        <c:v>114.80833981018705</c:v>
                      </c:pt>
                      <c:pt idx="73">
                        <c:v>114.45943946318597</c:v>
                      </c:pt>
                      <c:pt idx="74">
                        <c:v>114.12211262746918</c:v>
                      </c:pt>
                      <c:pt idx="75">
                        <c:v>113.80254911447508</c:v>
                      </c:pt>
                      <c:pt idx="76">
                        <c:v>113.50495025298889</c:v>
                      </c:pt>
                      <c:pt idx="77">
                        <c:v>113.23149927205695</c:v>
                      </c:pt>
                      <c:pt idx="78">
                        <c:v>112.98267718663647</c:v>
                      </c:pt>
                      <c:pt idx="79">
                        <c:v>112.75772922106239</c:v>
                      </c:pt>
                      <c:pt idx="80">
                        <c:v>112.55512627856262</c:v>
                      </c:pt>
                      <c:pt idx="81">
                        <c:v>112.37293935792876</c:v>
                      </c:pt>
                      <c:pt idx="82">
                        <c:v>112.20910521609605</c:v>
                      </c:pt>
                      <c:pt idx="83">
                        <c:v>112.06159505670601</c:v>
                      </c:pt>
                      <c:pt idx="84">
                        <c:v>111.92850984528167</c:v>
                      </c:pt>
                      <c:pt idx="85">
                        <c:v>111.80812569932206</c:v>
                      </c:pt>
                      <c:pt idx="86">
                        <c:v>111.69890801935796</c:v>
                      </c:pt>
                      <c:pt idx="87">
                        <c:v>111.59950756665833</c:v>
                      </c:pt>
                      <c:pt idx="88">
                        <c:v>111.50874713099729</c:v>
                      </c:pt>
                      <c:pt idx="89">
                        <c:v>111.42560411141982</c:v>
                      </c:pt>
                      <c:pt idx="90">
                        <c:v>111.34919210325762</c:v>
                      </c:pt>
                      <c:pt idx="91">
                        <c:v>111.27874316794183</c:v>
                      </c:pt>
                      <c:pt idx="92">
                        <c:v>111.21359160101343</c:v>
                      </c:pt>
                      <c:pt idx="93">
                        <c:v>111.15315951208272</c:v>
                      </c:pt>
                      <c:pt idx="94">
                        <c:v>111.09694425255179</c:v>
                      </c:pt>
                      <c:pt idx="95">
                        <c:v>111.044507583761</c:v>
                      </c:pt>
                      <c:pt idx="96">
                        <c:v>110.99546641373901</c:v>
                      </c:pt>
                      <c:pt idx="97">
                        <c:v>110.94948491048822</c:v>
                      </c:pt>
                      <c:pt idx="98">
                        <c:v>110.90626780308995</c:v>
                      </c:pt>
                      <c:pt idx="99">
                        <c:v>110.86555469678899</c:v>
                      </c:pt>
                      <c:pt idx="100">
                        <c:v>110.82711524775554</c:v>
                      </c:pt>
                      <c:pt idx="101">
                        <c:v>110.7907450636669</c:v>
                      </c:pt>
                      <c:pt idx="102">
                        <c:v>110.7562622156801</c:v>
                      </c:pt>
                      <c:pt idx="103">
                        <c:v>110.72350426489839</c:v>
                      </c:pt>
                      <c:pt idx="104">
                        <c:v>110.69232572177627</c:v>
                      </c:pt>
                      <c:pt idx="105">
                        <c:v>110.66259587007232</c:v>
                      </c:pt>
                      <c:pt idx="106">
                        <c:v>110.63419689811546</c:v>
                      </c:pt>
                      <c:pt idx="107">
                        <c:v>110.6070222895228</c:v>
                      </c:pt>
                      <c:pt idx="108">
                        <c:v>110.58097543334318</c:v>
                      </c:pt>
                      <c:pt idx="109">
                        <c:v>110.55596842012667</c:v>
                      </c:pt>
                      <c:pt idx="110">
                        <c:v>110.53192099584724</c:v>
                      </c:pt>
                      <c:pt idx="111">
                        <c:v>110.50875965011531</c:v>
                      </c:pt>
                      <c:pt idx="112">
                        <c:v>110.4864168188633</c:v>
                      </c:pt>
                      <c:pt idx="113">
                        <c:v>110.46483018480296</c:v>
                      </c:pt>
                      <c:pt idx="114">
                        <c:v>110.44394206154543</c:v>
                      </c:pt>
                      <c:pt idx="115">
                        <c:v>110.42369884943766</c:v>
                      </c:pt>
                      <c:pt idx="116">
                        <c:v>110.40405055297268</c:v>
                      </c:pt>
                      <c:pt idx="117">
                        <c:v>110.38495035114261</c:v>
                      </c:pt>
                      <c:pt idx="118">
                        <c:v>110.36635421336902</c:v>
                      </c:pt>
                      <c:pt idx="119">
                        <c:v>110.34822055471098</c:v>
                      </c:pt>
                      <c:pt idx="120">
                        <c:v>110.33050992494813</c:v>
                      </c:pt>
                      <c:pt idx="121">
                        <c:v>110.31318472689547</c:v>
                      </c:pt>
                      <c:pt idx="122">
                        <c:v>110.29620895995002</c:v>
                      </c:pt>
                      <c:pt idx="123">
                        <c:v>110.27954798541808</c:v>
                      </c:pt>
                      <c:pt idx="124">
                        <c:v>110.26316831064021</c:v>
                      </c:pt>
                      <c:pt idx="125">
                        <c:v>110.24703738933401</c:v>
                      </c:pt>
                      <c:pt idx="126">
                        <c:v>110.23112343592301</c:v>
                      </c:pt>
                      <c:pt idx="127">
                        <c:v>110.21539525192337</c:v>
                      </c:pt>
                      <c:pt idx="128">
                        <c:v>110.19982206272543</c:v>
                      </c:pt>
                      <c:pt idx="129">
                        <c:v>110.18437336334404</c:v>
                      </c:pt>
                      <c:pt idx="130">
                        <c:v>110.16901877192201</c:v>
                      </c:pt>
                      <c:pt idx="131">
                        <c:v>110.15372788996393</c:v>
                      </c:pt>
                      <c:pt idx="132">
                        <c:v>110.13847016845448</c:v>
                      </c:pt>
                      <c:pt idx="133">
                        <c:v>110.12321477918162</c:v>
                      </c:pt>
                      <c:pt idx="134">
                        <c:v>110.10793049074391</c:v>
                      </c:pt>
                      <c:pt idx="135">
                        <c:v>110.09258554887511</c:v>
                      </c:pt>
                      <c:pt idx="136">
                        <c:v>110.07714756087226</c:v>
                      </c:pt>
                      <c:pt idx="137">
                        <c:v>110.06158338406671</c:v>
                      </c:pt>
                      <c:pt idx="138">
                        <c:v>110.04585901843497</c:v>
                      </c:pt>
                      <c:pt idx="139">
                        <c:v>110.02993950360897</c:v>
                      </c:pt>
                      <c:pt idx="140">
                        <c:v>110.01378882071614</c:v>
                      </c:pt>
                      <c:pt idx="141">
                        <c:v>109.9973697996604</c:v>
                      </c:pt>
                      <c:pt idx="142">
                        <c:v>109.98064403264769</c:v>
                      </c:pt>
                      <c:pt idx="143">
                        <c:v>109.96357179496609</c:v>
                      </c:pt>
                      <c:pt idx="144">
                        <c:v>109.94611197425222</c:v>
                      </c:pt>
                      <c:pt idx="145">
                        <c:v>109.92822200971383</c:v>
                      </c:pt>
                      <c:pt idx="146">
                        <c:v>109.90985784303602</c:v>
                      </c:pt>
                      <c:pt idx="147">
                        <c:v>109.89097388297334</c:v>
                      </c:pt>
                      <c:pt idx="148">
                        <c:v>109.88224452129239</c:v>
                      </c:pt>
                      <c:pt idx="149">
                        <c:v>109.82820559998873</c:v>
                      </c:pt>
                      <c:pt idx="150">
                        <c:v>109.76901430434927</c:v>
                      </c:pt>
                      <c:pt idx="151">
                        <c:v>109.70364157417825</c:v>
                      </c:pt>
                      <c:pt idx="152">
                        <c:v>109.63100910850129</c:v>
                      </c:pt>
                      <c:pt idx="153">
                        <c:v>109.55002595075719</c:v>
                      </c:pt>
                      <c:pt idx="154">
                        <c:v>109.45964698858073</c:v>
                      </c:pt>
                      <c:pt idx="155">
                        <c:v>109.35895870336331</c:v>
                      </c:pt>
                      <c:pt idx="156">
                        <c:v>109.24729609368981</c:v>
                      </c:pt>
                      <c:pt idx="157">
                        <c:v>109.12439048856096</c:v>
                      </c:pt>
                      <c:pt idx="158">
                        <c:v>108.99053922248659</c:v>
                      </c:pt>
                      <c:pt idx="159">
                        <c:v>108.84677329611756</c:v>
                      </c:pt>
                      <c:pt idx="160">
                        <c:v>108.6949783137887</c:v>
                      </c:pt>
                      <c:pt idx="161">
                        <c:v>108.53790154164847</c:v>
                      </c:pt>
                      <c:pt idx="162">
                        <c:v>108.37896514078183</c:v>
                      </c:pt>
                      <c:pt idx="163">
                        <c:v>108.22182097240153</c:v>
                      </c:pt>
                      <c:pt idx="164">
                        <c:v>108.08609765919648</c:v>
                      </c:pt>
                      <c:pt idx="165">
                        <c:v>107.86954282007363</c:v>
                      </c:pt>
                      <c:pt idx="166">
                        <c:v>107.66612775955383</c:v>
                      </c:pt>
                      <c:pt idx="167">
                        <c:v>107.46583545354139</c:v>
                      </c:pt>
                      <c:pt idx="168">
                        <c:v>107.26099547428075</c:v>
                      </c:pt>
                      <c:pt idx="169">
                        <c:v>107.05861778078983</c:v>
                      </c:pt>
                      <c:pt idx="170">
                        <c:v>106.87327150451129</c:v>
                      </c:pt>
                      <c:pt idx="171">
                        <c:v>106.70328423500891</c:v>
                      </c:pt>
                      <c:pt idx="172">
                        <c:v>106.53790220392645</c:v>
                      </c:pt>
                      <c:pt idx="173">
                        <c:v>106.38630056456994</c:v>
                      </c:pt>
                      <c:pt idx="174">
                        <c:v>106.2491212744887</c:v>
                      </c:pt>
                      <c:pt idx="175">
                        <c:v>106.12041232009614</c:v>
                      </c:pt>
                      <c:pt idx="176">
                        <c:v>106.00589067094633</c:v>
                      </c:pt>
                      <c:pt idx="177">
                        <c:v>105.900445899003</c:v>
                      </c:pt>
                      <c:pt idx="178">
                        <c:v>105.80546715185359</c:v>
                      </c:pt>
                      <c:pt idx="179">
                        <c:v>105.69317709782699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B7A-45B6-9CF2-578BA8A71DA0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3"/>
          <c:order val="3"/>
          <c:tx>
            <c:strRef>
              <c:f>FRES!$AS$4</c:f>
              <c:strCache>
                <c:ptCount val="1"/>
                <c:pt idx="0">
                  <c:v>Phase1</c:v>
                </c:pt>
              </c:strCache>
            </c:strRef>
          </c:tx>
          <c:spPr>
            <a:ln w="190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FRES!$AY$5:$AY$184</c:f>
              <c:numCache>
                <c:formatCode>General</c:formatCode>
                <c:ptCount val="180"/>
                <c:pt idx="0">
                  <c:v>7.3071393509374207</c:v>
                </c:pt>
                <c:pt idx="1">
                  <c:v>7.3210439009183208</c:v>
                </c:pt>
                <c:pt idx="2">
                  <c:v>7.3368637231288476</c:v>
                </c:pt>
                <c:pt idx="3">
                  <c:v>7.3548923245418436</c:v>
                </c:pt>
                <c:pt idx="4">
                  <c:v>7.375476098003781</c:v>
                </c:pt>
                <c:pt idx="5">
                  <c:v>7.3990259171555728</c:v>
                </c:pt>
                <c:pt idx="6">
                  <c:v>7.4260318049046266</c:v>
                </c:pt>
                <c:pt idx="7">
                  <c:v>7.4570816322403797</c:v>
                </c:pt>
                <c:pt idx="8">
                  <c:v>7.4928851449355562</c:v>
                </c:pt>
                <c:pt idx="9">
                  <c:v>7.5343050928300022</c:v>
                </c:pt>
                <c:pt idx="10">
                  <c:v>7.5823979103954979</c:v>
                </c:pt>
                <c:pt idx="11">
                  <c:v>7.6384673576596027</c:v>
                </c:pt>
                <c:pt idx="12">
                  <c:v>7.7041359106799785</c:v>
                </c:pt>
                <c:pt idx="13">
                  <c:v>7.7411869837838108</c:v>
                </c:pt>
                <c:pt idx="14">
                  <c:v>7.7814406899263853</c:v>
                </c:pt>
                <c:pt idx="15">
                  <c:v>7.8252377674075575</c:v>
                </c:pt>
                <c:pt idx="16">
                  <c:v>7.8729636309445388</c:v>
                </c:pt>
                <c:pt idx="17">
                  <c:v>7.9250553504062031</c:v>
                </c:pt>
                <c:pt idx="18">
                  <c:v>7.9820098763554475</c:v>
                </c:pt>
                <c:pt idx="19">
                  <c:v>8.0443937573625508</c:v>
                </c:pt>
                <c:pt idx="20">
                  <c:v>8.1128546443529199</c:v>
                </c:pt>
                <c:pt idx="21">
                  <c:v>8.1881349372421628</c:v>
                </c:pt>
                <c:pt idx="22">
                  <c:v>8.2710879998446689</c:v>
                </c:pt>
                <c:pt idx="23">
                  <c:v>8.3626974509793364</c:v>
                </c:pt>
                <c:pt idx="24">
                  <c:v>8.4641001319642601</c:v>
                </c:pt>
                <c:pt idx="25">
                  <c:v>8.5766134497475122</c:v>
                </c:pt>
                <c:pt idx="26">
                  <c:v>8.7017678921682915</c:v>
                </c:pt>
                <c:pt idx="27">
                  <c:v>8.8413455894097392</c:v>
                </c:pt>
                <c:pt idx="28">
                  <c:v>8.9974258190347509</c:v>
                </c:pt>
                <c:pt idx="29">
                  <c:v>9.1724382568347718</c:v>
                </c:pt>
                <c:pt idx="30">
                  <c:v>9.3692244454156182</c:v>
                </c:pt>
                <c:pt idx="31">
                  <c:v>9.5911071784071886</c:v>
                </c:pt>
                <c:pt idx="32">
                  <c:v>9.8419659115684937</c:v>
                </c:pt>
                <c:pt idx="33">
                  <c:v>10.126313267054032</c:v>
                </c:pt>
                <c:pt idx="34">
                  <c:v>10.449362076007157</c:v>
                </c:pt>
                <c:pt idx="35">
                  <c:v>10.817062305495291</c:v>
                </c:pt>
                <c:pt idx="36">
                  <c:v>11.236069491467708</c:v>
                </c:pt>
                <c:pt idx="37">
                  <c:v>11.713575997031624</c:v>
                </c:pt>
                <c:pt idx="38">
                  <c:v>12.256886474745363</c:v>
                </c:pt>
                <c:pt idx="39">
                  <c:v>12.872541421129906</c:v>
                </c:pt>
                <c:pt idx="40">
                  <c:v>13.564685445497942</c:v>
                </c:pt>
                <c:pt idx="41">
                  <c:v>14.332263964439878</c:v>
                </c:pt>
                <c:pt idx="42">
                  <c:v>15.164614549441772</c:v>
                </c:pt>
                <c:pt idx="43">
                  <c:v>16.035365517289861</c:v>
                </c:pt>
                <c:pt idx="44">
                  <c:v>16.895763389863834</c:v>
                </c:pt>
                <c:pt idx="45">
                  <c:v>17.67106245428872</c:v>
                </c:pt>
                <c:pt idx="46">
                  <c:v>18.26653541801921</c:v>
                </c:pt>
                <c:pt idx="47">
                  <c:v>18.588913768467286</c:v>
                </c:pt>
                <c:pt idx="48">
                  <c:v>18.579348353556231</c:v>
                </c:pt>
                <c:pt idx="49">
                  <c:v>18.239394337453852</c:v>
                </c:pt>
                <c:pt idx="50">
                  <c:v>17.630307156365983</c:v>
                </c:pt>
                <c:pt idx="51">
                  <c:v>16.846217523011301</c:v>
                </c:pt>
                <c:pt idx="52">
                  <c:v>15.981366371249049</c:v>
                </c:pt>
                <c:pt idx="53">
                  <c:v>15.109380338330112</c:v>
                </c:pt>
                <c:pt idx="54">
                  <c:v>14.277862813654739</c:v>
                </c:pt>
                <c:pt idx="55">
                  <c:v>13.512283134016743</c:v>
                </c:pt>
                <c:pt idx="56">
                  <c:v>12.822693434054067</c:v>
                </c:pt>
                <c:pt idx="57">
                  <c:v>12.209774672235493</c:v>
                </c:pt>
                <c:pt idx="58">
                  <c:v>11.669171672069114</c:v>
                </c:pt>
                <c:pt idx="59">
                  <c:v>11.194235831682635</c:v>
                </c:pt>
                <c:pt idx="60">
                  <c:v>10.777614901233781</c:v>
                </c:pt>
                <c:pt idx="61">
                  <c:v>10.412102846468159</c:v>
                </c:pt>
                <c:pt idx="62">
                  <c:v>10.091048420958334</c:v>
                </c:pt>
                <c:pt idx="63">
                  <c:v>9.8085146747639289</c:v>
                </c:pt>
                <c:pt idx="64">
                  <c:v>9.5593053570592215</c:v>
                </c:pt>
                <c:pt idx="65">
                  <c:v>9.3389252092105703</c:v>
                </c:pt>
                <c:pt idx="66">
                  <c:v>9.1435115076479878</c:v>
                </c:pt>
                <c:pt idx="67">
                  <c:v>8.9697569100487549</c:v>
                </c:pt>
                <c:pt idx="68">
                  <c:v>8.8148338120256753</c:v>
                </c:pt>
                <c:pt idx="69">
                  <c:v>8.6763249496471797</c:v>
                </c:pt>
                <c:pt idx="70">
                  <c:v>8.552162024947668</c:v>
                </c:pt>
                <c:pt idx="71">
                  <c:v>8.4405725949943218</c:v>
                </c:pt>
                <c:pt idx="72">
                  <c:v>8.3400347196001068</c:v>
                </c:pt>
                <c:pt idx="73">
                  <c:v>8.2492385486067388</c:v>
                </c:pt>
                <c:pt idx="74">
                  <c:v>8.1670539434944018</c:v>
                </c:pt>
                <c:pt idx="75">
                  <c:v>8.0925032563065962</c:v>
                </c:pt>
                <c:pt idx="76">
                  <c:v>8.0247384690243102</c:v>
                </c:pt>
                <c:pt idx="77">
                  <c:v>7.9630219950415784</c:v>
                </c:pt>
                <c:pt idx="78">
                  <c:v>7.9067105439991021</c:v>
                </c:pt>
                <c:pt idx="79">
                  <c:v>7.8552415436610419</c:v>
                </c:pt>
                <c:pt idx="80">
                  <c:v>7.8081216944197704</c:v>
                </c:pt>
                <c:pt idx="81">
                  <c:v>7.7649173026151548</c:v>
                </c:pt>
                <c:pt idx="82">
                  <c:v>7.7252460986783005</c:v>
                </c:pt>
                <c:pt idx="83">
                  <c:v>7.6887702962389968</c:v>
                </c:pt>
                <c:pt idx="84">
                  <c:v>7.6551906900447451</c:v>
                </c:pt>
                <c:pt idx="85">
                  <c:v>7.6242416250833154</c:v>
                </c:pt>
                <c:pt idx="86">
                  <c:v>7.5956866978366238</c:v>
                </c:pt>
                <c:pt idx="87">
                  <c:v>7.5693150741323141</c:v>
                </c:pt>
                <c:pt idx="88">
                  <c:v>7.5449383274686594</c:v>
                </c:pt>
                <c:pt idx="89">
                  <c:v>7.5223877176965024</c:v>
                </c:pt>
                <c:pt idx="90">
                  <c:v>7.5015118431559946</c:v>
                </c:pt>
                <c:pt idx="91">
                  <c:v>7.4821746102855462</c:v>
                </c:pt>
                <c:pt idx="92">
                  <c:v>7.4642534737581894</c:v>
                </c:pt>
                <c:pt idx="93">
                  <c:v>7.4476379076930668</c:v>
                </c:pt>
                <c:pt idx="94">
                  <c:v>7.4322280747127225</c:v>
                </c:pt>
                <c:pt idx="95">
                  <c:v>7.4179336647954877</c:v>
                </c:pt>
                <c:pt idx="96">
                  <c:v>7.4046728801914554</c:v>
                </c:pt>
                <c:pt idx="97">
                  <c:v>7.3923715462792456</c:v>
                </c:pt>
                <c:pt idx="98">
                  <c:v>7.3809623312637802</c:v>
                </c:pt>
                <c:pt idx="99">
                  <c:v>7.3703840601522739</c:v>
                </c:pt>
                <c:pt idx="100">
                  <c:v>7.3605811105800578</c:v>
                </c:pt>
                <c:pt idx="101">
                  <c:v>7.3515028798566</c:v>
                </c:pt>
                <c:pt idx="102">
                  <c:v>7.3431033141230744</c:v>
                </c:pt>
                <c:pt idx="103">
                  <c:v>7.3353404917992187</c:v>
                </c:pt>
                <c:pt idx="104">
                  <c:v>7.3281762545903728</c:v>
                </c:pt>
                <c:pt idx="105">
                  <c:v>7.3215758802539144</c:v>
                </c:pt>
                <c:pt idx="106">
                  <c:v>7.3155077921166418</c:v>
                </c:pt>
                <c:pt idx="107">
                  <c:v>7.309943301010394</c:v>
                </c:pt>
                <c:pt idx="108">
                  <c:v>7.3048563758721556</c:v>
                </c:pt>
                <c:pt idx="109">
                  <c:v>7.3002234397512868</c:v>
                </c:pt>
                <c:pt idx="110">
                  <c:v>7.2960231883928559</c:v>
                </c:pt>
                <c:pt idx="111">
                  <c:v>7.2922364289336867</c:v>
                </c:pt>
                <c:pt idx="112">
                  <c:v>7.2888459365643889</c:v>
                </c:pt>
                <c:pt idx="113">
                  <c:v>7.2858363272850335</c:v>
                </c:pt>
                <c:pt idx="114">
                  <c:v>7.2831939451192165</c:v>
                </c:pt>
                <c:pt idx="115">
                  <c:v>7.2809067623578674</c:v>
                </c:pt>
                <c:pt idx="116">
                  <c:v>7.2789642915828718</c:v>
                </c:pt>
                <c:pt idx="117">
                  <c:v>7.2773575083773645</c:v>
                </c:pt>
                <c:pt idx="118">
                  <c:v>7.2760787837655725</c:v>
                </c:pt>
                <c:pt idx="119">
                  <c:v>7.2751218255448666</c:v>
                </c:pt>
                <c:pt idx="120">
                  <c:v>7.2744816277769546</c:v>
                </c:pt>
                <c:pt idx="121">
                  <c:v>7.274154427797348</c:v>
                </c:pt>
                <c:pt idx="122">
                  <c:v>7.2741376701829967</c:v>
                </c:pt>
                <c:pt idx="123">
                  <c:v>7.274429977189337</c:v>
                </c:pt>
                <c:pt idx="124">
                  <c:v>7.2750311252309157</c:v>
                </c:pt>
                <c:pt idx="125">
                  <c:v>7.2759420270354411</c:v>
                </c:pt>
                <c:pt idx="126">
                  <c:v>7.2771647191506315</c:v>
                </c:pt>
                <c:pt idx="127">
                  <c:v>7.2787023545265574</c:v>
                </c:pt>
                <c:pt idx="128">
                  <c:v>7.2805591999355501</c:v>
                </c:pt>
                <c:pt idx="129">
                  <c:v>7.2827406380258406</c:v>
                </c:pt>
                <c:pt idx="130">
                  <c:v>7.2852531738358728</c:v>
                </c:pt>
                <c:pt idx="131">
                  <c:v>7.2881044456235502</c:v>
                </c:pt>
                <c:pt idx="132">
                  <c:v>7.2913032398885385</c:v>
                </c:pt>
                <c:pt idx="133">
                  <c:v>7.2948595104874814</c:v>
                </c:pt>
                <c:pt idx="134">
                  <c:v>7.298784401760253</c:v>
                </c:pt>
                <c:pt idx="135">
                  <c:v>7.3030902756024405</c:v>
                </c:pt>
                <c:pt idx="136">
                  <c:v>7.3077907424330872</c:v>
                </c:pt>
                <c:pt idx="137">
                  <c:v>7.3129006960191605</c:v>
                </c:pt>
                <c:pt idx="138">
                  <c:v>7.3184363521288311</c:v>
                </c:pt>
                <c:pt idx="139">
                  <c:v>7.324415290993799</c:v>
                </c:pt>
                <c:pt idx="140">
                  <c:v>7.3308565035680697</c:v>
                </c:pt>
                <c:pt idx="141">
                  <c:v>7.3377804415753758</c:v>
                </c:pt>
                <c:pt idx="142">
                  <c:v>7.3452090713411806</c:v>
                </c:pt>
                <c:pt idx="143">
                  <c:v>7.3531659314063855</c:v>
                </c:pt>
                <c:pt idx="144">
                  <c:v>7.361676193920526</c:v>
                </c:pt>
                <c:pt idx="145">
                  <c:v>7.3707667298097848</c:v>
                </c:pt>
                <c:pt idx="146">
                  <c:v>7.3804661777123259</c:v>
                </c:pt>
                <c:pt idx="147">
                  <c:v>7.3908050166674508</c:v>
                </c:pt>
                <c:pt idx="148">
                  <c:v>7.3957026269049901</c:v>
                </c:pt>
                <c:pt idx="149">
                  <c:v>7.4275286073313245</c:v>
                </c:pt>
                <c:pt idx="150">
                  <c:v>7.4649525027945804</c:v>
                </c:pt>
                <c:pt idx="151">
                  <c:v>7.5087937939556317</c:v>
                </c:pt>
                <c:pt idx="152">
                  <c:v>7.5600000611399816</c:v>
                </c:pt>
                <c:pt idx="153">
                  <c:v>7.6196611853942962</c:v>
                </c:pt>
                <c:pt idx="154">
                  <c:v>7.6890243760812229</c:v>
                </c:pt>
                <c:pt idx="155">
                  <c:v>7.7695096238489176</c:v>
                </c:pt>
                <c:pt idx="156">
                  <c:v>7.8627249487732644</c:v>
                </c:pt>
                <c:pt idx="157">
                  <c:v>7.9704804978115389</c:v>
                </c:pt>
                <c:pt idx="158">
                  <c:v>8.0948001710307302</c:v>
                </c:pt>
                <c:pt idx="159">
                  <c:v>8.2379291389382363</c:v>
                </c:pt>
                <c:pt idx="160">
                  <c:v>8.4023356020670317</c:v>
                </c:pt>
                <c:pt idx="161">
                  <c:v>8.5907057825669177</c:v>
                </c:pt>
                <c:pt idx="162">
                  <c:v>8.8059326559386513</c:v>
                </c:pt>
                <c:pt idx="163">
                  <c:v>9.0511010887598253</c:v>
                </c:pt>
                <c:pt idx="164">
                  <c:v>9.2970684513731818</c:v>
                </c:pt>
                <c:pt idx="165">
                  <c:v>9.7779759521879299</c:v>
                </c:pt>
                <c:pt idx="166">
                  <c:v>10.352748879637964</c:v>
                </c:pt>
                <c:pt idx="167">
                  <c:v>11.034641427049429</c:v>
                </c:pt>
                <c:pt idx="168">
                  <c:v>11.83808685612928</c:v>
                </c:pt>
                <c:pt idx="169">
                  <c:v>12.778804331963709</c:v>
                </c:pt>
                <c:pt idx="170">
                  <c:v>13.873738297571562</c:v>
                </c:pt>
                <c:pt idx="171">
                  <c:v>15.141085336319343</c:v>
                </c:pt>
                <c:pt idx="172">
                  <c:v>16.600696853006546</c:v>
                </c:pt>
                <c:pt idx="173">
                  <c:v>18.274532171106404</c:v>
                </c:pt>
                <c:pt idx="174">
                  <c:v>20.186847251864211</c:v>
                </c:pt>
                <c:pt idx="175">
                  <c:v>22.364640158277915</c:v>
                </c:pt>
                <c:pt idx="176">
                  <c:v>24.83814104098273</c:v>
                </c:pt>
                <c:pt idx="177">
                  <c:v>27.641225191571575</c:v>
                </c:pt>
                <c:pt idx="178">
                  <c:v>30.811970600211431</c:v>
                </c:pt>
                <c:pt idx="179">
                  <c:v>35.706219522617019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B7A-45B6-9CF2-578BA8A71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63344"/>
        <c:axId val="59086177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FRES!$AT$4</c15:sqref>
                        </c15:formulaRef>
                      </c:ext>
                    </c:extLst>
                    <c:strCache>
                      <c:ptCount val="1"/>
                      <c:pt idx="0">
                        <c:v>Phase2</c:v>
                      </c:pt>
                    </c:strCache>
                  </c:strRef>
                </c:tx>
                <c:spPr>
                  <a:ln w="15875">
                    <a:solidFill>
                      <a:srgbClr val="0000FF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FRES!$AZ$5:$AZ$184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7.2266623178939353</c:v>
                      </c:pt>
                      <c:pt idx="1">
                        <c:v>7.2300349480247492</c:v>
                      </c:pt>
                      <c:pt idx="2">
                        <c:v>7.2338492641673922</c:v>
                      </c:pt>
                      <c:pt idx="3">
                        <c:v>7.2381671138988279</c:v>
                      </c:pt>
                      <c:pt idx="4">
                        <c:v>7.2430600665139409</c:v>
                      </c:pt>
                      <c:pt idx="5">
                        <c:v>7.2486112187959515</c:v>
                      </c:pt>
                      <c:pt idx="6">
                        <c:v>7.2549174070242577</c:v>
                      </c:pt>
                      <c:pt idx="7">
                        <c:v>7.2620919344919708</c:v>
                      </c:pt>
                      <c:pt idx="8">
                        <c:v>7.2702679580012921</c:v>
                      </c:pt>
                      <c:pt idx="9">
                        <c:v>7.279602723205576</c:v>
                      </c:pt>
                      <c:pt idx="10">
                        <c:v>7.2902829021910591</c:v>
                      </c:pt>
                      <c:pt idx="11">
                        <c:v>7.3025313744794333</c:v>
                      </c:pt>
                      <c:pt idx="12">
                        <c:v>7.3166159151676311</c:v>
                      </c:pt>
                      <c:pt idx="13">
                        <c:v>7.3244453656623936</c:v>
                      </c:pt>
                      <c:pt idx="14">
                        <c:v>7.3328604267748556</c:v>
                      </c:pt>
                      <c:pt idx="15">
                        <c:v>7.341912757118763</c:v>
                      </c:pt>
                      <c:pt idx="16">
                        <c:v>7.3516595979470356</c:v>
                      </c:pt>
                      <c:pt idx="17">
                        <c:v>7.3621645103506523</c:v>
                      </c:pt>
                      <c:pt idx="18">
                        <c:v>7.3734982281294306</c:v>
                      </c:pt>
                      <c:pt idx="19">
                        <c:v>7.3857396473201149</c:v>
                      </c:pt>
                      <c:pt idx="20">
                        <c:v>7.3989769776875125</c:v>
                      </c:pt>
                      <c:pt idx="21">
                        <c:v>7.4133090868011449</c:v>
                      </c:pt>
                      <c:pt idx="22">
                        <c:v>7.4288470738875603</c:v>
                      </c:pt>
                      <c:pt idx="23">
                        <c:v>7.4457161187908181</c:v>
                      </c:pt>
                      <c:pt idx="24">
                        <c:v>7.4640576615109051</c:v>
                      </c:pt>
                      <c:pt idx="25">
                        <c:v>7.4840319804584974</c:v>
                      </c:pt>
                      <c:pt idx="26">
                        <c:v>7.5058212534644593</c:v>
                      </c:pt>
                      <c:pt idx="27">
                        <c:v>7.5296332056189375</c:v>
                      </c:pt>
                      <c:pt idx="28">
                        <c:v>7.5557054733729618</c:v>
                      </c:pt>
                      <c:pt idx="29">
                        <c:v>7.5843108465634339</c:v>
                      </c:pt>
                      <c:pt idx="30">
                        <c:v>7.6157635911576618</c:v>
                      </c:pt>
                      <c:pt idx="31">
                        <c:v>7.6504271082400299</c:v>
                      </c:pt>
                      <c:pt idx="32">
                        <c:v>7.6887232526277964</c:v>
                      </c:pt>
                      <c:pt idx="33">
                        <c:v>7.7311437222002279</c:v>
                      </c:pt>
                      <c:pt idx="34">
                        <c:v>7.7782640427754606</c:v>
                      </c:pt>
                      <c:pt idx="35">
                        <c:v>7.8307608214025732</c:v>
                      </c:pt>
                      <c:pt idx="36">
                        <c:v>7.8894331341126307</c:v>
                      </c:pt>
                      <c:pt idx="37">
                        <c:v>7.9552291667169115</c:v>
                      </c:pt>
                      <c:pt idx="38">
                        <c:v>8.029279557560093</c:v>
                      </c:pt>
                      <c:pt idx="39">
                        <c:v>8.1129393225161834</c:v>
                      </c:pt>
                      <c:pt idx="40">
                        <c:v>8.207840803254502</c:v>
                      </c:pt>
                      <c:pt idx="41">
                        <c:v>8.315960801693052</c:v>
                      </c:pt>
                      <c:pt idx="42">
                        <c:v>8.4397059763077493</c:v>
                      </c:pt>
                      <c:pt idx="43">
                        <c:v>8.5820216923140471</c:v>
                      </c:pt>
                      <c:pt idx="44">
                        <c:v>8.7465307978425226</c:v>
                      </c:pt>
                      <c:pt idx="45">
                        <c:v>8.9377100688343507</c:v>
                      </c:pt>
                      <c:pt idx="46">
                        <c:v>9.1611128407978075</c:v>
                      </c:pt>
                      <c:pt idx="47">
                        <c:v>9.4236454365102134</c:v>
                      </c:pt>
                      <c:pt idx="48">
                        <c:v>9.7338996644333982</c:v>
                      </c:pt>
                      <c:pt idx="49">
                        <c:v>10.102527789128208</c:v>
                      </c:pt>
                      <c:pt idx="50">
                        <c:v>10.542606628008471</c:v>
                      </c:pt>
                      <c:pt idx="51">
                        <c:v>11.069845432143028</c:v>
                      </c:pt>
                      <c:pt idx="52">
                        <c:v>11.702290011971643</c:v>
                      </c:pt>
                      <c:pt idx="53">
                        <c:v>12.458754676754582</c:v>
                      </c:pt>
                      <c:pt idx="54">
                        <c:v>13.354411762960069</c:v>
                      </c:pt>
                      <c:pt idx="55">
                        <c:v>14.390714046081321</c:v>
                      </c:pt>
                      <c:pt idx="56">
                        <c:v>15.535876305135863</c:v>
                      </c:pt>
                      <c:pt idx="57">
                        <c:v>16.695254449239453</c:v>
                      </c:pt>
                      <c:pt idx="58">
                        <c:v>17.686974479334069</c:v>
                      </c:pt>
                      <c:pt idx="59">
                        <c:v>18.268398117742731</c:v>
                      </c:pt>
                      <c:pt idx="60">
                        <c:v>18.253176488575622</c:v>
                      </c:pt>
                      <c:pt idx="61">
                        <c:v>17.645676726655193</c:v>
                      </c:pt>
                      <c:pt idx="62">
                        <c:v>16.63764348481244</c:v>
                      </c:pt>
                      <c:pt idx="63">
                        <c:v>15.471350191856361</c:v>
                      </c:pt>
                      <c:pt idx="64">
                        <c:v>14.325496321384367</c:v>
                      </c:pt>
                      <c:pt idx="65">
                        <c:v>13.291715948017705</c:v>
                      </c:pt>
                      <c:pt idx="66">
                        <c:v>12.399878389471965</c:v>
                      </c:pt>
                      <c:pt idx="67">
                        <c:v>11.64753225391425</c:v>
                      </c:pt>
                      <c:pt idx="68">
                        <c:v>11.019053989652447</c:v>
                      </c:pt>
                      <c:pt idx="69">
                        <c:v>10.495458356338112</c:v>
                      </c:pt>
                      <c:pt idx="70">
                        <c:v>10.058659144140385</c:v>
                      </c:pt>
                      <c:pt idx="71">
                        <c:v>9.6929621750588346</c:v>
                      </c:pt>
                      <c:pt idx="72">
                        <c:v>9.3853259200959904</c:v>
                      </c:pt>
                      <c:pt idx="73">
                        <c:v>9.1251379507790933</c:v>
                      </c:pt>
                      <c:pt idx="74">
                        <c:v>8.9038443979630415</c:v>
                      </c:pt>
                      <c:pt idx="75">
                        <c:v>8.7145727297022635</c:v>
                      </c:pt>
                      <c:pt idx="76">
                        <c:v>8.5517988244607412</c:v>
                      </c:pt>
                      <c:pt idx="77">
                        <c:v>8.4110708470241402</c:v>
                      </c:pt>
                      <c:pt idx="78">
                        <c:v>8.2887871629365204</c:v>
                      </c:pt>
                      <c:pt idx="79">
                        <c:v>8.182020472603142</c:v>
                      </c:pt>
                      <c:pt idx="80">
                        <c:v>8.0883795649740993</c:v>
                      </c:pt>
                      <c:pt idx="81">
                        <c:v>8.0059009230164229</c:v>
                      </c:pt>
                      <c:pt idx="82">
                        <c:v>7.9329637078094741</c:v>
                      </c:pt>
                      <c:pt idx="83">
                        <c:v>7.8682229372568644</c:v>
                      </c:pt>
                      <c:pt idx="84">
                        <c:v>7.8105567941971534</c:v>
                      </c:pt>
                      <c:pt idx="85">
                        <c:v>7.7590249111507505</c:v>
                      </c:pt>
                      <c:pt idx="86">
                        <c:v>7.712835199552055</c:v>
                      </c:pt>
                      <c:pt idx="87">
                        <c:v>7.6713173505654062</c:v>
                      </c:pt>
                      <c:pt idx="88">
                        <c:v>7.6339015645712545</c:v>
                      </c:pt>
                      <c:pt idx="89">
                        <c:v>7.6001013955375036</c:v>
                      </c:pt>
                      <c:pt idx="90">
                        <c:v>7.569499848059146</c:v>
                      </c:pt>
                      <c:pt idx="91">
                        <c:v>7.5417380572432471</c:v>
                      </c:pt>
                      <c:pt idx="92">
                        <c:v>7.5165060290303991</c:v>
                      </c:pt>
                      <c:pt idx="93">
                        <c:v>7.4935350318055587</c:v>
                      </c:pt>
                      <c:pt idx="94">
                        <c:v>7.4725913174655672</c:v>
                      </c:pt>
                      <c:pt idx="95">
                        <c:v>7.4534709176730489</c:v>
                      </c:pt>
                      <c:pt idx="96">
                        <c:v>7.4359953135153942</c:v>
                      </c:pt>
                      <c:pt idx="97">
                        <c:v>7.4200078177347493</c:v>
                      </c:pt>
                      <c:pt idx="98">
                        <c:v>7.4053705407742738</c:v>
                      </c:pt>
                      <c:pt idx="99">
                        <c:v>7.3919618371248186</c:v>
                      </c:pt>
                      <c:pt idx="100">
                        <c:v>7.3796741483983448</c:v>
                      </c:pt>
                      <c:pt idx="101">
                        <c:v>7.3684121753778191</c:v>
                      </c:pt>
                      <c:pt idx="102">
                        <c:v>7.3580913239014452</c:v>
                      </c:pt>
                      <c:pt idx="103">
                        <c:v>7.3486363795258738</c:v>
                      </c:pt>
                      <c:pt idx="104">
                        <c:v>7.3399803740165295</c:v>
                      </c:pt>
                      <c:pt idx="105">
                        <c:v>7.3320636132473878</c:v>
                      </c:pt>
                      <c:pt idx="106">
                        <c:v>7.3248328413832864</c:v>
                      </c:pt>
                      <c:pt idx="107">
                        <c:v>7.3182405205168992</c:v>
                      </c:pt>
                      <c:pt idx="108">
                        <c:v>7.3122442084387727</c:v>
                      </c:pt>
                      <c:pt idx="109">
                        <c:v>7.306806020089506</c:v>
                      </c:pt>
                      <c:pt idx="110">
                        <c:v>7.3018921606001097</c:v>
                      </c:pt>
                      <c:pt idx="111">
                        <c:v>7.2974725197705297</c:v>
                      </c:pt>
                      <c:pt idx="112">
                        <c:v>7.2935203194425808</c:v>
                      </c:pt>
                      <c:pt idx="113">
                        <c:v>7.2900118065571782</c:v>
                      </c:pt>
                      <c:pt idx="114">
                        <c:v>7.2869259857949524</c:v>
                      </c:pt>
                      <c:pt idx="115">
                        <c:v>7.2842443866258231</c:v>
                      </c:pt>
                      <c:pt idx="116">
                        <c:v>7.2819508603685987</c:v>
                      </c:pt>
                      <c:pt idx="117">
                        <c:v>7.2800314035128899</c:v>
                      </c:pt>
                      <c:pt idx="118">
                        <c:v>7.2784740041045408</c:v>
                      </c:pt>
                      <c:pt idx="119">
                        <c:v>7.2772685084586852</c:v>
                      </c:pt>
                      <c:pt idx="120">
                        <c:v>7.276406505857115</c:v>
                      </c:pt>
                      <c:pt idx="121">
                        <c:v>7.2758812292199151</c:v>
                      </c:pt>
                      <c:pt idx="122">
                        <c:v>7.2756874700247192</c:v>
                      </c:pt>
                      <c:pt idx="123">
                        <c:v>7.2758215059893852</c:v>
                      </c:pt>
                      <c:pt idx="124">
                        <c:v>7.2762810402408888</c:v>
                      </c:pt>
                      <c:pt idx="125">
                        <c:v>7.277065150870901</c:v>
                      </c:pt>
                      <c:pt idx="126">
                        <c:v>7.2781742499314683</c:v>
                      </c:pt>
                      <c:pt idx="127">
                        <c:v>7.2796100510556991</c:v>
                      </c:pt>
                      <c:pt idx="128">
                        <c:v>7.2813755450019348</c:v>
                      </c:pt>
                      <c:pt idx="129">
                        <c:v>7.2834749825183209</c:v>
                      </c:pt>
                      <c:pt idx="130">
                        <c:v>7.285913864009693</c:v>
                      </c:pt>
                      <c:pt idx="131">
                        <c:v>7.2886989355624028</c:v>
                      </c:pt>
                      <c:pt idx="132">
                        <c:v>7.2918381909472254</c:v>
                      </c:pt>
                      <c:pt idx="133">
                        <c:v>7.2953408792753791</c:v>
                      </c:pt>
                      <c:pt idx="134">
                        <c:v>7.2992175180319148</c:v>
                      </c:pt>
                      <c:pt idx="135">
                        <c:v>7.3034799112517828</c:v>
                      </c:pt>
                      <c:pt idx="136">
                        <c:v>7.3081411726406484</c:v>
                      </c:pt>
                      <c:pt idx="137">
                        <c:v>7.3132157534736155</c:v>
                      </c:pt>
                      <c:pt idx="138">
                        <c:v>7.3187194751315063</c:v>
                      </c:pt>
                      <c:pt idx="139">
                        <c:v>7.3246695661577368</c:v>
                      </c:pt>
                      <c:pt idx="140">
                        <c:v>7.3310847037371554</c:v>
                      </c:pt>
                      <c:pt idx="141">
                        <c:v>7.3379850595145886</c:v>
                      </c:pt>
                      <c:pt idx="142">
                        <c:v>7.3453923496832729</c:v>
                      </c:pt>
                      <c:pt idx="143">
                        <c:v>7.3533298892830627</c:v>
                      </c:pt>
                      <c:pt idx="144">
                        <c:v>7.3618226506555704</c:v>
                      </c:pt>
                      <c:pt idx="145">
                        <c:v>7.3708973260076158</c:v>
                      </c:pt>
                      <c:pt idx="146">
                        <c:v>7.3805823940363631</c:v>
                      </c:pt>
                      <c:pt idx="147">
                        <c:v>7.3909081905686582</c:v>
                      </c:pt>
                      <c:pt idx="148">
                        <c:v>7.3958003030817157</c:v>
                      </c:pt>
                      <c:pt idx="149">
                        <c:v>7.4275983601828726</c:v>
                      </c:pt>
                      <c:pt idx="150">
                        <c:v>7.465000680991082</c:v>
                      </c:pt>
                      <c:pt idx="151">
                        <c:v>7.5088253096512307</c:v>
                      </c:pt>
                      <c:pt idx="152">
                        <c:v>7.5600187439655642</c:v>
                      </c:pt>
                      <c:pt idx="153">
                        <c:v>7.6196700457626951</c:v>
                      </c:pt>
                      <c:pt idx="154">
                        <c:v>7.6890258018540276</c:v>
                      </c:pt>
                      <c:pt idx="155">
                        <c:v>7.7695055277353617</c:v>
                      </c:pt>
                      <c:pt idx="156">
                        <c:v>7.8627168788111232</c:v>
                      </c:pt>
                      <c:pt idx="157">
                        <c:v>7.97046971944983</c:v>
                      </c:pt>
                      <c:pt idx="158">
                        <c:v>8.0947877264690522</c:v>
                      </c:pt>
                      <c:pt idx="159">
                        <c:v>8.2379158874826039</c:v>
                      </c:pt>
                      <c:pt idx="160">
                        <c:v>8.4023222445062693</c:v>
                      </c:pt>
                      <c:pt idx="161">
                        <c:v>8.5906928730662599</c:v>
                      </c:pt>
                      <c:pt idx="162">
                        <c:v>8.8059206063714033</c:v>
                      </c:pt>
                      <c:pt idx="163">
                        <c:v>9.0510901717447982</c:v>
                      </c:pt>
                      <c:pt idx="164">
                        <c:v>9.2970586646236075</c:v>
                      </c:pt>
                      <c:pt idx="165">
                        <c:v>9.7779681031581998</c:v>
                      </c:pt>
                      <c:pt idx="166">
                        <c:v>10.352742775250297</c:v>
                      </c:pt>
                      <c:pt idx="167">
                        <c:v>11.034636747098402</c:v>
                      </c:pt>
                      <c:pt idx="168">
                        <c:v>11.838083289876936</c:v>
                      </c:pt>
                      <c:pt idx="169">
                        <c:v>12.778801640424751</c:v>
                      </c:pt>
                      <c:pt idx="170">
                        <c:v>13.873736296707321</c:v>
                      </c:pt>
                      <c:pt idx="171">
                        <c:v>15.141083864833604</c:v>
                      </c:pt>
                      <c:pt idx="172">
                        <c:v>16.600695775506924</c:v>
                      </c:pt>
                      <c:pt idx="173">
                        <c:v>18.274531387661682</c:v>
                      </c:pt>
                      <c:pt idx="174">
                        <c:v>20.18684668560136</c:v>
                      </c:pt>
                      <c:pt idx="175">
                        <c:v>22.364639750332895</c:v>
                      </c:pt>
                      <c:pt idx="176">
                        <c:v>24.838140748346657</c:v>
                      </c:pt>
                      <c:pt idx="177">
                        <c:v>27.641224982165504</c:v>
                      </c:pt>
                      <c:pt idx="178">
                        <c:v>30.811970450726701</c:v>
                      </c:pt>
                      <c:pt idx="179">
                        <c:v>35.706219427689454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1B7A-45B6-9CF2-578BA8A71DA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FRES!$AU$4</c15:sqref>
                        </c15:formulaRef>
                      </c:ext>
                    </c:extLst>
                    <c:strCache>
                      <c:ptCount val="1"/>
                      <c:pt idx="0">
                        <c:v>Phase3</c:v>
                      </c:pt>
                    </c:strCache>
                  </c:strRef>
                </c:tx>
                <c:spPr>
                  <a:ln w="15875">
                    <a:solidFill>
                      <a:srgbClr val="FF0000">
                        <a:alpha val="81000"/>
                      </a:srgbClr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FRES!$BA$5:$BA$184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7.2068345244033445</c:v>
                      </c:pt>
                      <c:pt idx="1">
                        <c:v>7.2076857753760315</c:v>
                      </c:pt>
                      <c:pt idx="2">
                        <c:v>7.2086450361825403</c:v>
                      </c:pt>
                      <c:pt idx="3">
                        <c:v>7.2097265340453767</c:v>
                      </c:pt>
                      <c:pt idx="4">
                        <c:v>7.2109465076361596</c:v>
                      </c:pt>
                      <c:pt idx="5">
                        <c:v>7.2123235272756308</c:v>
                      </c:pt>
                      <c:pt idx="6">
                        <c:v>7.2138788752311314</c:v>
                      </c:pt>
                      <c:pt idx="7">
                        <c:v>7.2156369996347252</c:v>
                      </c:pt>
                      <c:pt idx="8">
                        <c:v>7.217626059130458</c:v>
                      </c:pt>
                      <c:pt idx="9">
                        <c:v>7.2198785800357612</c:v>
                      </c:pt>
                      <c:pt idx="10">
                        <c:v>7.2224322539423733</c:v>
                      </c:pt>
                      <c:pt idx="11">
                        <c:v>7.2253309118051385</c:v>
                      </c:pt>
                      <c:pt idx="12">
                        <c:v>7.2286257213941782</c:v>
                      </c:pt>
                      <c:pt idx="13">
                        <c:v>7.2304400368711201</c:v>
                      </c:pt>
                      <c:pt idx="14">
                        <c:v>7.2323766695368823</c:v>
                      </c:pt>
                      <c:pt idx="15">
                        <c:v>7.2344447985909994</c:v>
                      </c:pt>
                      <c:pt idx="16">
                        <c:v>7.2366544102983781</c:v>
                      </c:pt>
                      <c:pt idx="17">
                        <c:v>7.2390163836965797</c:v>
                      </c:pt>
                      <c:pt idx="18">
                        <c:v>7.2415425872283921</c:v>
                      </c:pt>
                      <c:pt idx="19">
                        <c:v>7.2442459879282648</c:v>
                      </c:pt>
                      <c:pt idx="20">
                        <c:v>7.2471407750682815</c:v>
                      </c:pt>
                      <c:pt idx="21">
                        <c:v>7.2502425005000433</c:v>
                      </c:pt>
                      <c:pt idx="22">
                        <c:v>7.2535682383239095</c:v>
                      </c:pt>
                      <c:pt idx="23">
                        <c:v>7.2571367669906666</c:v>
                      </c:pt>
                      <c:pt idx="24">
                        <c:v>7.2609687775107234</c:v>
                      </c:pt>
                      <c:pt idx="25">
                        <c:v>7.2650871121338376</c:v>
                      </c:pt>
                      <c:pt idx="26">
                        <c:v>7.2695170386951888</c:v>
                      </c:pt>
                      <c:pt idx="27">
                        <c:v>7.2742865668365404</c:v>
                      </c:pt>
                      <c:pt idx="28">
                        <c:v>7.2794268135461335</c:v>
                      </c:pt>
                      <c:pt idx="29">
                        <c:v>7.2849724269736518</c:v>
                      </c:pt>
                      <c:pt idx="30">
                        <c:v>7.2909620793366008</c:v>
                      </c:pt>
                      <c:pt idx="31">
                        <c:v>7.2974390420298914</c:v>
                      </c:pt>
                      <c:pt idx="32">
                        <c:v>7.3044518588970409</c:v>
                      </c:pt>
                      <c:pt idx="33">
                        <c:v>7.3120551371661193</c:v>
                      </c:pt>
                      <c:pt idx="34">
                        <c:v>7.3203104799873682</c:v>
                      </c:pt>
                      <c:pt idx="35">
                        <c:v>7.3292875900840313</c:v>
                      </c:pt>
                      <c:pt idx="36">
                        <c:v>7.339065581068378</c:v>
                      </c:pt>
                      <c:pt idx="37">
                        <c:v>7.3497345419162112</c:v>
                      </c:pt>
                      <c:pt idx="38">
                        <c:v>7.3613974115058793</c:v>
                      </c:pt>
                      <c:pt idx="39">
                        <c:v>7.3741722347792074</c:v>
                      </c:pt>
                      <c:pt idx="40">
                        <c:v>7.3881948909979558</c:v>
                      </c:pt>
                      <c:pt idx="41">
                        <c:v>7.4036224091397207</c:v>
                      </c:pt>
                      <c:pt idx="42">
                        <c:v>7.4206370175910221</c:v>
                      </c:pt>
                      <c:pt idx="43">
                        <c:v>7.4394511175414779</c:v>
                      </c:pt>
                      <c:pt idx="44">
                        <c:v>7.4603134254324512</c:v>
                      </c:pt>
                      <c:pt idx="45">
                        <c:v>7.4835166044284378</c:v>
                      </c:pt>
                      <c:pt idx="46">
                        <c:v>7.5094068051053666</c:v>
                      </c:pt>
                      <c:pt idx="47">
                        <c:v>7.5383956711783906</c:v>
                      </c:pt>
                      <c:pt idx="48">
                        <c:v>7.570975551031828</c:v>
                      </c:pt>
                      <c:pt idx="49">
                        <c:v>7.6077389099619861</c:v>
                      </c:pt>
                      <c:pt idx="50">
                        <c:v>7.6494032900624633</c:v>
                      </c:pt>
                      <c:pt idx="51">
                        <c:v>7.6968436561239892</c:v>
                      </c:pt>
                      <c:pt idx="52">
                        <c:v>7.7511346573511579</c:v>
                      </c:pt>
                      <c:pt idx="53">
                        <c:v>7.8136063147363322</c:v>
                      </c:pt>
                      <c:pt idx="54">
                        <c:v>7.8859180423963</c:v>
                      </c:pt>
                      <c:pt idx="55">
                        <c:v>7.9701579176612398</c:v>
                      </c:pt>
                      <c:pt idx="56">
                        <c:v>8.0689770031230896</c:v>
                      </c:pt>
                      <c:pt idx="57">
                        <c:v>8.1857726802180704</c:v>
                      </c:pt>
                      <c:pt idx="58">
                        <c:v>8.3249408933643245</c:v>
                      </c:pt>
                      <c:pt idx="59">
                        <c:v>8.4922255294216615</c:v>
                      </c:pt>
                      <c:pt idx="60">
                        <c:v>8.6952043191668693</c:v>
                      </c:pt>
                      <c:pt idx="61">
                        <c:v>8.9439640903943172</c:v>
                      </c:pt>
                      <c:pt idx="62">
                        <c:v>9.2520297424831917</c:v>
                      </c:pt>
                      <c:pt idx="63">
                        <c:v>9.637605468612076</c:v>
                      </c:pt>
                      <c:pt idx="64">
                        <c:v>10.125114865847353</c:v>
                      </c:pt>
                      <c:pt idx="65">
                        <c:v>10.746745767750122</c:v>
                      </c:pt>
                      <c:pt idx="66">
                        <c:v>11.542816781645499</c:v>
                      </c:pt>
                      <c:pt idx="67">
                        <c:v>12.557259747933202</c:v>
                      </c:pt>
                      <c:pt idx="68">
                        <c:v>13.818266469207126</c:v>
                      </c:pt>
                      <c:pt idx="69">
                        <c:v>15.283261118392877</c:v>
                      </c:pt>
                      <c:pt idx="70">
                        <c:v>16.730914728795746</c:v>
                      </c:pt>
                      <c:pt idx="71">
                        <c:v>17.685226726460044</c:v>
                      </c:pt>
                      <c:pt idx="72">
                        <c:v>17.657987793989108</c:v>
                      </c:pt>
                      <c:pt idx="73">
                        <c:v>16.66230089007324</c:v>
                      </c:pt>
                      <c:pt idx="74">
                        <c:v>15.197248278695433</c:v>
                      </c:pt>
                      <c:pt idx="75">
                        <c:v>13.731147747733848</c:v>
                      </c:pt>
                      <c:pt idx="76">
                        <c:v>12.475865053636261</c:v>
                      </c:pt>
                      <c:pt idx="77">
                        <c:v>11.468888862743848</c:v>
                      </c:pt>
                      <c:pt idx="78">
                        <c:v>10.680063407172534</c:v>
                      </c:pt>
                      <c:pt idx="79">
                        <c:v>10.06488479156282</c:v>
                      </c:pt>
                      <c:pt idx="80">
                        <c:v>9.582970369749555</c:v>
                      </c:pt>
                      <c:pt idx="81">
                        <c:v>9.202224033466667</c:v>
                      </c:pt>
                      <c:pt idx="82">
                        <c:v>8.8983447615667668</c:v>
                      </c:pt>
                      <c:pt idx="83">
                        <c:v>8.6532423018633757</c:v>
                      </c:pt>
                      <c:pt idx="84">
                        <c:v>8.4534875444236146</c:v>
                      </c:pt>
                      <c:pt idx="85">
                        <c:v>8.2890714887434775</c:v>
                      </c:pt>
                      <c:pt idx="86">
                        <c:v>8.1524790609729969</c:v>
                      </c:pt>
                      <c:pt idx="87">
                        <c:v>8.0380169057261561</c:v>
                      </c:pt>
                      <c:pt idx="88">
                        <c:v>7.941330107982167</c:v>
                      </c:pt>
                      <c:pt idx="89">
                        <c:v>7.8590549050997058</c:v>
                      </c:pt>
                      <c:pt idx="90">
                        <c:v>7.7885680621288813</c:v>
                      </c:pt>
                      <c:pt idx="91">
                        <c:v>7.7278047807432033</c:v>
                      </c:pt>
                      <c:pt idx="92">
                        <c:v>7.6751253307552965</c:v>
                      </c:pt>
                      <c:pt idx="93">
                        <c:v>7.6292165154742619</c:v>
                      </c:pt>
                      <c:pt idx="94">
                        <c:v>7.5890182217536406</c:v>
                      </c:pt>
                      <c:pt idx="95">
                        <c:v>7.5536681803131138</c:v>
                      </c:pt>
                      <c:pt idx="96">
                        <c:v>7.5224600579704912</c:v>
                      </c:pt>
                      <c:pt idx="97">
                        <c:v>7.4948113941594006</c:v>
                      </c:pt>
                      <c:pt idx="98">
                        <c:v>7.4702388684832748</c:v>
                      </c:pt>
                      <c:pt idx="99">
                        <c:v>7.4483390733472401</c:v>
                      </c:pt>
                      <c:pt idx="100">
                        <c:v>7.4287734541159196</c:v>
                      </c:pt>
                      <c:pt idx="101">
                        <c:v>7.4112564290274214</c:v>
                      </c:pt>
                      <c:pt idx="102">
                        <c:v>7.3955459535823334</c:v>
                      </c:pt>
                      <c:pt idx="103">
                        <c:v>7.3814359778267145</c:v>
                      </c:pt>
                      <c:pt idx="104">
                        <c:v>7.3687503796430658</c:v>
                      </c:pt>
                      <c:pt idx="105">
                        <c:v>7.3573380566813871</c:v>
                      </c:pt>
                      <c:pt idx="106">
                        <c:v>7.3470689336364243</c:v>
                      </c:pt>
                      <c:pt idx="107">
                        <c:v>7.3378306971107667</c:v>
                      </c:pt>
                      <c:pt idx="108">
                        <c:v>7.3295261122278719</c:v>
                      </c:pt>
                      <c:pt idx="109">
                        <c:v>7.3220708070213503</c:v>
                      </c:pt>
                      <c:pt idx="110">
                        <c:v>7.3153914350008717</c:v>
                      </c:pt>
                      <c:pt idx="111">
                        <c:v>7.3094241450564263</c:v>
                      </c:pt>
                      <c:pt idx="112">
                        <c:v>7.3041133023905331</c:v>
                      </c:pt>
                      <c:pt idx="113">
                        <c:v>7.2994104154842265</c:v>
                      </c:pt>
                      <c:pt idx="114">
                        <c:v>7.2952732329647336</c:v>
                      </c:pt>
                      <c:pt idx="115">
                        <c:v>7.2916649812216674</c:v>
                      </c:pt>
                      <c:pt idx="116">
                        <c:v>7.2885537191422642</c:v>
                      </c:pt>
                      <c:pt idx="117">
                        <c:v>7.2859117907297968</c:v>
                      </c:pt>
                      <c:pt idx="118">
                        <c:v>7.283715359881195</c:v>
                      </c:pt>
                      <c:pt idx="119">
                        <c:v>7.281944014420076</c:v>
                      </c:pt>
                      <c:pt idx="120">
                        <c:v>7.2805804287554068</c:v>
                      </c:pt>
                      <c:pt idx="121">
                        <c:v>7.2796100763789671</c:v>
                      </c:pt>
                      <c:pt idx="122">
                        <c:v>7.2790209849131218</c:v>
                      </c:pt>
                      <c:pt idx="123">
                        <c:v>7.2788035276445626</c:v>
                      </c:pt>
                      <c:pt idx="124">
                        <c:v>7.2789502464830518</c:v>
                      </c:pt>
                      <c:pt idx="125">
                        <c:v>7.2794557021102655</c:v>
                      </c:pt>
                      <c:pt idx="126">
                        <c:v>7.2803163477655684</c:v>
                      </c:pt>
                      <c:pt idx="127">
                        <c:v>7.281530423681132</c:v>
                      </c:pt>
                      <c:pt idx="128">
                        <c:v>7.2830978696488868</c:v>
                      </c:pt>
                      <c:pt idx="129">
                        <c:v>7.2850202535936894</c:v>
                      </c:pt>
                      <c:pt idx="130">
                        <c:v>7.2873007143556663</c:v>
                      </c:pt>
                      <c:pt idx="131">
                        <c:v>7.2899439171596958</c:v>
                      </c:pt>
                      <c:pt idx="132">
                        <c:v>7.2929560204818227</c:v>
                      </c:pt>
                      <c:pt idx="133">
                        <c:v>7.2963446532178979</c:v>
                      </c:pt>
                      <c:pt idx="134">
                        <c:v>7.3001189012246606</c:v>
                      </c:pt>
                      <c:pt idx="135">
                        <c:v>7.3042893024434754</c:v>
                      </c:pt>
                      <c:pt idx="136">
                        <c:v>7.308867849935301</c:v>
                      </c:pt>
                      <c:pt idx="137">
                        <c:v>7.3138680022560827</c:v>
                      </c:pt>
                      <c:pt idx="138">
                        <c:v>7.319304700686823</c:v>
                      </c:pt>
                      <c:pt idx="139">
                        <c:v>7.3251943929051437</c:v>
                      </c:pt>
                      <c:pt idx="140">
                        <c:v>7.3315550627457107</c:v>
                      </c:pt>
                      <c:pt idx="141">
                        <c:v>7.3384062657486915</c:v>
                      </c:pt>
                      <c:pt idx="142">
                        <c:v>7.3457691702382526</c:v>
                      </c:pt>
                      <c:pt idx="143">
                        <c:v>7.3536666037087111</c:v>
                      </c:pt>
                      <c:pt idx="144">
                        <c:v>7.3621231043251463</c:v>
                      </c:pt>
                      <c:pt idx="145">
                        <c:v>7.3711649773685499</c:v>
                      </c:pt>
                      <c:pt idx="146">
                        <c:v>7.3808203564738726</c:v>
                      </c:pt>
                      <c:pt idx="147">
                        <c:v>7.3911192695221368</c:v>
                      </c:pt>
                      <c:pt idx="148">
                        <c:v>7.396000063019331</c:v>
                      </c:pt>
                      <c:pt idx="149">
                        <c:v>7.4277407576018701</c:v>
                      </c:pt>
                      <c:pt idx="150">
                        <c:v>7.4650989170277224</c:v>
                      </c:pt>
                      <c:pt idx="151">
                        <c:v>7.5088895464771621</c:v>
                      </c:pt>
                      <c:pt idx="152">
                        <c:v>7.5600568678634641</c:v>
                      </c:pt>
                      <c:pt idx="153">
                        <c:v>7.6196882302198388</c:v>
                      </c:pt>
                      <c:pt idx="154">
                        <c:v>7.6890289251976913</c:v>
                      </c:pt>
                      <c:pt idx="155">
                        <c:v>7.769497484203816</c:v>
                      </c:pt>
                      <c:pt idx="156">
                        <c:v>7.8627008104592875</c:v>
                      </c:pt>
                      <c:pt idx="157">
                        <c:v>7.9704481876965865</c:v>
                      </c:pt>
                      <c:pt idx="158">
                        <c:v>8.094762835761669</c:v>
                      </c:pt>
                      <c:pt idx="159">
                        <c:v>8.2378893693759139</c:v>
                      </c:pt>
                      <c:pt idx="160">
                        <c:v>8.4022955086907825</c:v>
                      </c:pt>
                      <c:pt idx="161">
                        <c:v>8.5906670327010044</c:v>
                      </c:pt>
                      <c:pt idx="162">
                        <c:v>8.8058964878133779</c:v>
                      </c:pt>
                      <c:pt idx="163">
                        <c:v>9.0510683213789349</c:v>
                      </c:pt>
                      <c:pt idx="164">
                        <c:v>9.297039077751359</c:v>
                      </c:pt>
                      <c:pt idx="165">
                        <c:v>9.7779523961820622</c:v>
                      </c:pt>
                      <c:pt idx="166">
                        <c:v>10.352730560828951</c:v>
                      </c:pt>
                      <c:pt idx="167">
                        <c:v>11.034627383694593</c:v>
                      </c:pt>
                      <c:pt idx="168">
                        <c:v>11.838076155213903</c:v>
                      </c:pt>
                      <c:pt idx="169">
                        <c:v>12.778796256033125</c:v>
                      </c:pt>
                      <c:pt idx="170">
                        <c:v>13.873732294196138</c:v>
                      </c:pt>
                      <c:pt idx="171">
                        <c:v>15.141080921402258</c:v>
                      </c:pt>
                      <c:pt idx="172">
                        <c:v>16.600693620238527</c:v>
                      </c:pt>
                      <c:pt idx="173">
                        <c:v>18.27452982061634</c:v>
                      </c:pt>
                      <c:pt idx="174">
                        <c:v>20.186845552986046</c:v>
                      </c:pt>
                      <c:pt idx="175">
                        <c:v>22.364638934391532</c:v>
                      </c:pt>
                      <c:pt idx="176">
                        <c:v>24.838140163045054</c:v>
                      </c:pt>
                      <c:pt idx="177">
                        <c:v>27.641224563336738</c:v>
                      </c:pt>
                      <c:pt idx="178">
                        <c:v>30.811970151747829</c:v>
                      </c:pt>
                      <c:pt idx="179">
                        <c:v>35.706219237829941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B7A-45B6-9CF2-578BA8A71DA0}"/>
                  </c:ext>
                </c:extLst>
              </c15:ser>
            </c15:filteredScatterSeries>
          </c:ext>
        </c:extLst>
      </c:scatterChart>
      <c:valAx>
        <c:axId val="630018040"/>
        <c:scaling>
          <c:logBase val="10"/>
          <c:orientation val="minMax"/>
          <c:max val="10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 sz="1400" b="0"/>
                  <a:t>Freq.[Hz]</a:t>
                </a:r>
              </a:p>
            </c:rich>
          </c:tx>
          <c:layout>
            <c:manualLayout>
              <c:xMode val="edge"/>
              <c:yMode val="edge"/>
              <c:x val="0.44146322219888162"/>
              <c:y val="0.935091443569553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ysDash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590860600"/>
        <c:crosses val="autoZero"/>
        <c:crossBetween val="midCat"/>
      </c:valAx>
      <c:valAx>
        <c:axId val="590860600"/>
        <c:scaling>
          <c:orientation val="minMax"/>
          <c:max val="12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 sz="1400" b="0"/>
                  <a:t>SPL[dB]</a:t>
                </a:r>
              </a:p>
            </c:rich>
          </c:tx>
          <c:layout>
            <c:manualLayout>
              <c:xMode val="edge"/>
              <c:yMode val="edge"/>
              <c:x val="6.1652530822371232E-3"/>
              <c:y val="0.379539215907467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630018040"/>
        <c:crosses val="autoZero"/>
        <c:crossBetween val="midCat"/>
        <c:majorUnit val="10"/>
        <c:minorUnit val="2"/>
      </c:valAx>
      <c:valAx>
        <c:axId val="590861776"/>
        <c:scaling>
          <c:logBase val="10"/>
          <c:orientation val="minMax"/>
          <c:max val="2528.8220000000001"/>
          <c:min val="0.8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noFill/>
              </a:defRPr>
            </a:pPr>
            <a:endParaRPr lang="ja-JP"/>
          </a:p>
        </c:txPr>
        <c:crossAx val="590863344"/>
        <c:crosses val="max"/>
        <c:crossBetween val="midCat"/>
      </c:valAx>
      <c:valAx>
        <c:axId val="59086334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0861776"/>
        <c:crosses val="autoZero"/>
        <c:crossBetween val="midCat"/>
      </c:valAx>
      <c:spPr>
        <a:noFill/>
        <a:ln w="25400">
          <a:solidFill>
            <a:srgbClr val="808080">
              <a:alpha val="99000"/>
            </a:srgbClr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68785455600250822"/>
          <c:y val="0"/>
          <c:w val="0.18873303842987368"/>
          <c:h val="0.1611537144813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  <c:showDLblsOverMax val="0"/>
  </c:chart>
  <c:spPr>
    <a:pattFill prst="pct5">
      <a:fgClr>
        <a:srgbClr val="FFFFFF"/>
      </a:fgClr>
      <a:bgClr>
        <a:sysClr val="window" lastClr="FFFFFF"/>
      </a:bgClr>
    </a:pattFill>
    <a:ln w="25400">
      <a:solidFill>
        <a:sysClr val="windowText" lastClr="000000"/>
      </a:solidFill>
      <a:prstDash val="solid"/>
      <a:round/>
    </a:ln>
    <a:effectLst/>
  </c:spPr>
  <c:txPr>
    <a:bodyPr/>
    <a:lstStyle/>
    <a:p>
      <a:pPr>
        <a:defRPr sz="11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- &amp;P -</c:oddFooter>
    </c:headerFooter>
    <c:pageMargins b="1" l="0.75" r="0.75" t="1" header="0.5" footer="0.5"/>
    <c:pageSetup paperSize="9" orientation="landscape" horizontalDpi="300" verticalDpi="300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SPL &amp; IMP.</a:t>
            </a:r>
          </a:p>
        </c:rich>
      </c:tx>
      <c:layout>
        <c:manualLayout>
          <c:xMode val="edge"/>
          <c:yMode val="edge"/>
          <c:x val="0.290645360815947"/>
          <c:y val="6.1185667009015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06363174890265"/>
          <c:y val="0.1642257217847769"/>
          <c:w val="0.74772155084525249"/>
          <c:h val="0.69716307200730354"/>
        </c:manualLayout>
      </c:layout>
      <c:scatterChart>
        <c:scatterStyle val="lineMarker"/>
        <c:varyColors val="0"/>
        <c:ser>
          <c:idx val="1"/>
          <c:order val="1"/>
          <c:tx>
            <c:strRef>
              <c:f>FRES!$AH$4</c:f>
              <c:strCache>
                <c:ptCount val="1"/>
                <c:pt idx="0">
                  <c:v>SPL2</c:v>
                </c:pt>
              </c:strCache>
            </c:strRef>
          </c:tx>
          <c:spPr>
            <a:ln w="28575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FRES!$AH$5:$AH$184</c:f>
              <c:numCache>
                <c:formatCode>General</c:formatCode>
                <c:ptCount val="180"/>
                <c:pt idx="0">
                  <c:v>51.815537179952216</c:v>
                </c:pt>
                <c:pt idx="1">
                  <c:v>52.831600264545678</c:v>
                </c:pt>
                <c:pt idx="2">
                  <c:v>53.849212687573456</c:v>
                </c:pt>
                <c:pt idx="3">
                  <c:v>54.868564729884646</c:v>
                </c:pt>
                <c:pt idx="4">
                  <c:v>55.889870052403452</c:v>
                </c:pt>
                <c:pt idx="5">
                  <c:v>56.913368551641071</c:v>
                </c:pt>
                <c:pt idx="6">
                  <c:v>57.939329550494875</c:v>
                </c:pt>
                <c:pt idx="7">
                  <c:v>58.968055355981249</c:v>
                </c:pt>
                <c:pt idx="8">
                  <c:v>59.999885214313416</c:v>
                </c:pt>
                <c:pt idx="9">
                  <c:v>61.035199689707085</c:v>
                </c:pt>
                <c:pt idx="10">
                  <c:v>62.074425484783745</c:v>
                </c:pt>
                <c:pt idx="11">
                  <c:v>63.118040704832048</c:v>
                </c:pt>
                <c:pt idx="12">
                  <c:v>64.166580541443267</c:v>
                </c:pt>
                <c:pt idx="13">
                  <c:v>64.692881527661314</c:v>
                </c:pt>
                <c:pt idx="14">
                  <c:v>65.220643306922199</c:v>
                </c:pt>
                <c:pt idx="15">
                  <c:v>65.749951556395999</c:v>
                </c:pt>
                <c:pt idx="16">
                  <c:v>66.280896679723497</c:v>
                </c:pt>
                <c:pt idx="17">
                  <c:v>66.813573994411684</c:v>
                </c:pt>
                <c:pt idx="18">
                  <c:v>67.348083907928441</c:v>
                </c:pt>
                <c:pt idx="19">
                  <c:v>67.884532076499809</c:v>
                </c:pt>
                <c:pt idx="20">
                  <c:v>68.4230295389698</c:v>
                </c:pt>
                <c:pt idx="21">
                  <c:v>68.963692816028413</c:v>
                </c:pt>
                <c:pt idx="22">
                  <c:v>69.50664396253822</c:v>
                </c:pt>
                <c:pt idx="23">
                  <c:v>70.052010557460264</c:v>
                </c:pt>
                <c:pt idx="24">
                  <c:v>70.599925611830429</c:v>
                </c:pt>
                <c:pt idx="25">
                  <c:v>71.150527370160418</c:v>
                </c:pt>
                <c:pt idx="26">
                  <c:v>71.70395897426117</c:v>
                </c:pt>
                <c:pt idx="27">
                  <c:v>72.260367950490632</c:v>
                </c:pt>
                <c:pt idx="28">
                  <c:v>72.819905471387841</c:v>
                </c:pt>
                <c:pt idx="29">
                  <c:v>73.382725330065355</c:v>
                </c:pt>
                <c:pt idx="30">
                  <c:v>73.948982549944276</c:v>
                </c:pt>
                <c:pt idx="31">
                  <c:v>74.518831532650694</c:v>
                </c:pt>
                <c:pt idx="32">
                  <c:v>75.092423622196065</c:v>
                </c:pt>
                <c:pt idx="33">
                  <c:v>75.669903932788216</c:v>
                </c:pt>
                <c:pt idx="34">
                  <c:v>76.251407249446444</c:v>
                </c:pt>
                <c:pt idx="35">
                  <c:v>76.837052763509391</c:v>
                </c:pt>
                <c:pt idx="36">
                  <c:v>77.426937347549355</c:v>
                </c:pt>
                <c:pt idx="37">
                  <c:v>78.021127004621874</c:v>
                </c:pt>
                <c:pt idx="38">
                  <c:v>78.619646044079289</c:v>
                </c:pt>
                <c:pt idx="39">
                  <c:v>79.222463440258167</c:v>
                </c:pt>
                <c:pt idx="40">
                  <c:v>79.829475723116943</c:v>
                </c:pt>
                <c:pt idx="41">
                  <c:v>80.440485636940963</c:v>
                </c:pt>
                <c:pt idx="42">
                  <c:v>81.055175696455009</c:v>
                </c:pt>
                <c:pt idx="43">
                  <c:v>81.673075691306451</c:v>
                </c:pt>
                <c:pt idx="44">
                  <c:v>82.293523178244797</c:v>
                </c:pt>
                <c:pt idx="45">
                  <c:v>82.915616117685559</c:v>
                </c:pt>
                <c:pt idx="46">
                  <c:v>83.538157153347242</c:v>
                </c:pt>
                <c:pt idx="47">
                  <c:v>84.159589738473116</c:v>
                </c:pt>
                <c:pt idx="48">
                  <c:v>84.77792756428488</c:v>
                </c:pt>
                <c:pt idx="49">
                  <c:v>85.390680764313288</c:v>
                </c:pt>
                <c:pt idx="50">
                  <c:v>85.99478535775259</c:v>
                </c:pt>
                <c:pt idx="51">
                  <c:v>86.58654644000093</c:v>
                </c:pt>
                <c:pt idx="52">
                  <c:v>87.161610493498927</c:v>
                </c:pt>
                <c:pt idx="53">
                  <c:v>87.714987032814406</c:v>
                </c:pt>
                <c:pt idx="54">
                  <c:v>88.241142859444807</c:v>
                </c:pt>
                <c:pt idx="55">
                  <c:v>88.734190727782561</c:v>
                </c:pt>
                <c:pt idx="56">
                  <c:v>89.188184976303972</c:v>
                </c:pt>
                <c:pt idx="57">
                  <c:v>89.597517462650259</c:v>
                </c:pt>
                <c:pt idx="58">
                  <c:v>89.957379241846311</c:v>
                </c:pt>
                <c:pt idx="59">
                  <c:v>90.264223738126489</c:v>
                </c:pt>
                <c:pt idx="60">
                  <c:v>90.516147706328155</c:v>
                </c:pt>
                <c:pt idx="61">
                  <c:v>90.713109331965455</c:v>
                </c:pt>
                <c:pt idx="62">
                  <c:v>90.856933076473723</c:v>
                </c:pt>
                <c:pt idx="63">
                  <c:v>90.951100114973812</c:v>
                </c:pt>
                <c:pt idx="64">
                  <c:v>91.000372904329808</c:v>
                </c:pt>
                <c:pt idx="65">
                  <c:v>91.010333771215898</c:v>
                </c:pt>
                <c:pt idx="66">
                  <c:v>90.986921632166087</c:v>
                </c:pt>
                <c:pt idx="67">
                  <c:v>90.936032252856961</c:v>
                </c:pt>
                <c:pt idx="68">
                  <c:v>90.863217934414735</c:v>
                </c:pt>
                <c:pt idx="69">
                  <c:v>90.773494349292662</c:v>
                </c:pt>
                <c:pt idx="70">
                  <c:v>90.67124259435964</c:v>
                </c:pt>
                <c:pt idx="71">
                  <c:v>90.560184877716807</c:v>
                </c:pt>
                <c:pt idx="72">
                  <c:v>90.443410510394244</c:v>
                </c:pt>
                <c:pt idx="73">
                  <c:v>90.323431802166766</c:v>
                </c:pt>
                <c:pt idx="74">
                  <c:v>90.202254268149147</c:v>
                </c:pt>
                <c:pt idx="75">
                  <c:v>90.081450439911137</c:v>
                </c:pt>
                <c:pt idx="76">
                  <c:v>89.962230663710315</c:v>
                </c:pt>
                <c:pt idx="77">
                  <c:v>89.845507303589045</c:v>
                </c:pt>
                <c:pt idx="78">
                  <c:v>89.731950823451839</c:v>
                </c:pt>
                <c:pt idx="79">
                  <c:v>89.622037503007604</c:v>
                </c:pt>
                <c:pt idx="80">
                  <c:v>89.516089266935452</c:v>
                </c:pt>
                <c:pt idx="81">
                  <c:v>89.414306461206593</c:v>
                </c:pt>
                <c:pt idx="82">
                  <c:v>89.316794535365148</c:v>
                </c:pt>
                <c:pt idx="83">
                  <c:v>89.223585582039661</c:v>
                </c:pt>
                <c:pt idx="84">
                  <c:v>89.134655608549096</c:v>
                </c:pt>
                <c:pt idx="85">
                  <c:v>89.049938309364833</c:v>
                </c:pt>
                <c:pt idx="86">
                  <c:v>88.969335995195536</c:v>
                </c:pt>
                <c:pt idx="87">
                  <c:v>88.892728226831906</c:v>
                </c:pt>
                <c:pt idx="88">
                  <c:v>88.81997860541162</c:v>
                </c:pt>
                <c:pt idx="89">
                  <c:v>88.750940087486399</c:v>
                </c:pt>
                <c:pt idx="90">
                  <c:v>88.685459123135104</c:v>
                </c:pt>
                <c:pt idx="91">
                  <c:v>88.623378857298846</c:v>
                </c:pt>
                <c:pt idx="92">
                  <c:v>88.564541587006886</c:v>
                </c:pt>
                <c:pt idx="93">
                  <c:v>88.508790628634998</c:v>
                </c:pt>
                <c:pt idx="94">
                  <c:v>88.455971718267406</c:v>
                </c:pt>
                <c:pt idx="95">
                  <c:v>88.405934043302892</c:v>
                </c:pt>
                <c:pt idx="96">
                  <c:v>88.358530983482012</c:v>
                </c:pt>
                <c:pt idx="97">
                  <c:v>88.313620623576014</c:v>
                </c:pt>
                <c:pt idx="98">
                  <c:v>88.271066087260891</c:v>
                </c:pt>
                <c:pt idx="99">
                  <c:v>88.230735731563186</c:v>
                </c:pt>
                <c:pt idx="100">
                  <c:v>88.192503233190095</c:v>
                </c:pt>
                <c:pt idx="101">
                  <c:v>88.156247591621479</c:v>
                </c:pt>
                <c:pt idx="102">
                  <c:v>88.121853068712923</c:v>
                </c:pt>
                <c:pt idx="103">
                  <c:v>88.089209080472898</c:v>
                </c:pt>
                <c:pt idx="104">
                  <c:v>88.058210053422073</c:v>
                </c:pt>
                <c:pt idx="105">
                  <c:v>88.028755255340059</c:v>
                </c:pt>
                <c:pt idx="106">
                  <c:v>88.00074860813838</c:v>
                </c:pt>
                <c:pt idx="107">
                  <c:v>87.974098488943127</c:v>
                </c:pt>
                <c:pt idx="108">
                  <c:v>87.948717524155796</c:v>
                </c:pt>
                <c:pt idx="109">
                  <c:v>87.92452238020951</c:v>
                </c:pt>
                <c:pt idx="110">
                  <c:v>87.901433553903487</c:v>
                </c:pt>
                <c:pt idx="111">
                  <c:v>87.87937516453475</c:v>
                </c:pt>
                <c:pt idx="112">
                  <c:v>87.858274749516454</c:v>
                </c:pt>
                <c:pt idx="113">
                  <c:v>87.83806306475924</c:v>
                </c:pt>
                <c:pt idx="114">
                  <c:v>87.818673890757168</c:v>
                </c:pt>
                <c:pt idx="115">
                  <c:v>87.800043845068984</c:v>
                </c:pt>
                <c:pt idx="116">
                  <c:v>87.782112201676782</c:v>
                </c:pt>
                <c:pt idx="117">
                  <c:v>87.764820717553562</c:v>
                </c:pt>
                <c:pt idx="118">
                  <c:v>87.748113466649187</c:v>
                </c:pt>
                <c:pt idx="119">
                  <c:v>87.731936681415021</c:v>
                </c:pt>
                <c:pt idx="120">
                  <c:v>87.716238601919798</c:v>
                </c:pt>
                <c:pt idx="121">
                  <c:v>87.700969332562408</c:v>
                </c:pt>
                <c:pt idx="122">
                  <c:v>87.686080706349031</c:v>
                </c:pt>
                <c:pt idx="123">
                  <c:v>87.671526156683825</c:v>
                </c:pt>
                <c:pt idx="124">
                  <c:v>87.65726059660183</c:v>
                </c:pt>
                <c:pt idx="125">
                  <c:v>87.643240305366277</c:v>
                </c:pt>
                <c:pt idx="126">
                  <c:v>87.629422822344466</c:v>
                </c:pt>
                <c:pt idx="127">
                  <c:v>87.615766848073164</c:v>
                </c:pt>
                <c:pt idx="128">
                  <c:v>87.602232152415539</c:v>
                </c:pt>
                <c:pt idx="129">
                  <c:v>87.588779489710447</c:v>
                </c:pt>
                <c:pt idx="130">
                  <c:v>87.575370520796923</c:v>
                </c:pt>
                <c:pt idx="131">
                  <c:v>87.561967741786177</c:v>
                </c:pt>
                <c:pt idx="132">
                  <c:v>87.548534419424612</c:v>
                </c:pt>
                <c:pt idx="133">
                  <c:v>87.535034532862539</c:v>
                </c:pt>
                <c:pt idx="134">
                  <c:v>87.521432721596625</c:v>
                </c:pt>
                <c:pt idx="135">
                  <c:v>87.507694239298317</c:v>
                </c:pt>
                <c:pt idx="136">
                  <c:v>87.493784913169762</c:v>
                </c:pt>
                <c:pt idx="137">
                  <c:v>87.479671108377886</c:v>
                </c:pt>
                <c:pt idx="138">
                  <c:v>87.465319697013911</c:v>
                </c:pt>
                <c:pt idx="139">
                  <c:v>87.450698030893022</c:v>
                </c:pt>
                <c:pt idx="140">
                  <c:v>87.435773917362098</c:v>
                </c:pt>
                <c:pt idx="141">
                  <c:v>87.42051559710734</c:v>
                </c:pt>
                <c:pt idx="142">
                  <c:v>87.404891722754087</c:v>
                </c:pt>
                <c:pt idx="143">
                  <c:v>87.388871336827734</c:v>
                </c:pt>
                <c:pt idx="144">
                  <c:v>87.372423847394188</c:v>
                </c:pt>
                <c:pt idx="145">
                  <c:v>87.355518999425328</c:v>
                </c:pt>
                <c:pt idx="146">
                  <c:v>87.338126839642882</c:v>
                </c:pt>
                <c:pt idx="147">
                  <c:v>87.320217672283917</c:v>
                </c:pt>
                <c:pt idx="148">
                  <c:v>87.31193504657945</c:v>
                </c:pt>
                <c:pt idx="149">
                  <c:v>87.2607109854182</c:v>
                </c:pt>
                <c:pt idx="150">
                  <c:v>87.2049484588902</c:v>
                </c:pt>
                <c:pt idx="151">
                  <c:v>87.144076284564576</c:v>
                </c:pt>
                <c:pt idx="152">
                  <c:v>87.077482120105941</c:v>
                </c:pt>
                <c:pt idx="153">
                  <c:v>87.004469764381298</c:v>
                </c:pt>
                <c:pt idx="154">
                  <c:v>86.92419956185293</c:v>
                </c:pt>
                <c:pt idx="155">
                  <c:v>86.835613334668139</c:v>
                </c:pt>
                <c:pt idx="156">
                  <c:v>86.737351707133868</c:v>
                </c:pt>
                <c:pt idx="157">
                  <c:v>86.627680991102679</c:v>
                </c:pt>
                <c:pt idx="158">
                  <c:v>86.504457143490413</c:v>
                </c:pt>
                <c:pt idx="159">
                  <c:v>86.365160797101609</c:v>
                </c:pt>
                <c:pt idx="160">
                  <c:v>86.207031882273981</c:v>
                </c:pt>
                <c:pt idx="161">
                  <c:v>86.027306827885127</c:v>
                </c:pt>
                <c:pt idx="162">
                  <c:v>85.823516351482397</c:v>
                </c:pt>
                <c:pt idx="163">
                  <c:v>85.593757285122379</c:v>
                </c:pt>
                <c:pt idx="164">
                  <c:v>85.366505394907534</c:v>
                </c:pt>
                <c:pt idx="165">
                  <c:v>84.933942538177902</c:v>
                </c:pt>
                <c:pt idx="166">
                  <c:v>84.440178796412454</c:v>
                </c:pt>
                <c:pt idx="167">
                  <c:v>83.888130417045403</c:v>
                </c:pt>
                <c:pt idx="168">
                  <c:v>83.280905134986</c:v>
                </c:pt>
                <c:pt idx="169">
                  <c:v>82.620071520593271</c:v>
                </c:pt>
                <c:pt idx="170">
                  <c:v>81.907781252303295</c:v>
                </c:pt>
                <c:pt idx="171">
                  <c:v>81.149442999534855</c:v>
                </c:pt>
                <c:pt idx="172">
                  <c:v>80.351462194000788</c:v>
                </c:pt>
                <c:pt idx="173">
                  <c:v>79.518029017986279</c:v>
                </c:pt>
                <c:pt idx="174">
                  <c:v>78.654174121689749</c:v>
                </c:pt>
                <c:pt idx="175">
                  <c:v>77.764998468469258</c:v>
                </c:pt>
                <c:pt idx="176">
                  <c:v>76.854238137468386</c:v>
                </c:pt>
                <c:pt idx="177">
                  <c:v>75.925869242466007</c:v>
                </c:pt>
                <c:pt idx="178">
                  <c:v>74.982922020647749</c:v>
                </c:pt>
                <c:pt idx="179">
                  <c:v>73.702725253955833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8D-439D-8A11-4718DCC62FF9}"/>
            </c:ext>
          </c:extLst>
        </c:ser>
        <c:ser>
          <c:idx val="7"/>
          <c:order val="7"/>
          <c:tx>
            <c:strRef>
              <c:f>FRES!$AT$4</c:f>
              <c:strCache>
                <c:ptCount val="1"/>
                <c:pt idx="0">
                  <c:v>Phase2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FRES!$AT$5:$AT$184</c:f>
              <c:numCache>
                <c:formatCode>General</c:formatCode>
                <c:ptCount val="180"/>
                <c:pt idx="0">
                  <c:v>119.70210252197307</c:v>
                </c:pt>
                <c:pt idx="1">
                  <c:v>119.68387525028002</c:v>
                </c:pt>
                <c:pt idx="2">
                  <c:v>119.66446535820627</c:v>
                </c:pt>
                <c:pt idx="3">
                  <c:v>119.64378328158263</c:v>
                </c:pt>
                <c:pt idx="4">
                  <c:v>119.62173030166811</c:v>
                </c:pt>
                <c:pt idx="5">
                  <c:v>119.59819721206651</c:v>
                </c:pt>
                <c:pt idx="6">
                  <c:v>119.5730627349844</c:v>
                </c:pt>
                <c:pt idx="7">
                  <c:v>119.54619163177716</c:v>
                </c:pt>
                <c:pt idx="8">
                  <c:v>119.51743243913444</c:v>
                </c:pt>
                <c:pt idx="9">
                  <c:v>119.48661474492741</c:v>
                </c:pt>
                <c:pt idx="10">
                  <c:v>119.45354589555036</c:v>
                </c:pt>
                <c:pt idx="11">
                  <c:v>119.4180069980552</c:v>
                </c:pt>
                <c:pt idx="12">
                  <c:v>119.37974804353851</c:v>
                </c:pt>
                <c:pt idx="13">
                  <c:v>119.35951046493304</c:v>
                </c:pt>
                <c:pt idx="14">
                  <c:v>119.33848193051409</c:v>
                </c:pt>
                <c:pt idx="15">
                  <c:v>119.31661955055678</c:v>
                </c:pt>
                <c:pt idx="16">
                  <c:v>119.2938771050115</c:v>
                </c:pt>
                <c:pt idx="17">
                  <c:v>119.27020471129828</c:v>
                </c:pt>
                <c:pt idx="18">
                  <c:v>119.24554845350171</c:v>
                </c:pt>
                <c:pt idx="19">
                  <c:v>119.21984996800249</c:v>
                </c:pt>
                <c:pt idx="20">
                  <c:v>119.19304597990713</c:v>
                </c:pt>
                <c:pt idx="21">
                  <c:v>119.16506778387502</c:v>
                </c:pt>
                <c:pt idx="22">
                  <c:v>119.13584066208354</c:v>
                </c:pt>
                <c:pt idx="23">
                  <c:v>119.10528323111014</c:v>
                </c:pt>
                <c:pt idx="24">
                  <c:v>119.07330670844335</c:v>
                </c:pt>
                <c:pt idx="25">
                  <c:v>119.03981408816163</c:v>
                </c:pt>
                <c:pt idx="26">
                  <c:v>119.00469921404778</c:v>
                </c:pt>
                <c:pt idx="27">
                  <c:v>118.96784573706184</c:v>
                </c:pt>
                <c:pt idx="28">
                  <c:v>118.92912594271002</c:v>
                </c:pt>
                <c:pt idx="29">
                  <c:v>118.88839943249533</c:v>
                </c:pt>
                <c:pt idx="30">
                  <c:v>118.8455116424213</c:v>
                </c:pt>
                <c:pt idx="31">
                  <c:v>118.80029218061716</c:v>
                </c:pt>
                <c:pt idx="32">
                  <c:v>118.75255296581956</c:v>
                </c:pt>
                <c:pt idx="33">
                  <c:v>118.70208614907102</c:v>
                </c:pt>
                <c:pt idx="34">
                  <c:v>118.64866180315295</c:v>
                </c:pt>
                <c:pt idx="35">
                  <c:v>118.59202536879155</c:v>
                </c:pt>
                <c:pt idx="36">
                  <c:v>118.53189485476055</c:v>
                </c:pt>
                <c:pt idx="37">
                  <c:v>118.46795780235588</c:v>
                </c:pt>
                <c:pt idx="38">
                  <c:v>118.39986804572744</c:v>
                </c:pt>
                <c:pt idx="39">
                  <c:v>118.32724233152942</c:v>
                </c:pt>
                <c:pt idx="40">
                  <c:v>118.24965690877714</c:v>
                </c:pt>
                <c:pt idx="41">
                  <c:v>118.16664426861641</c:v>
                </c:pt>
                <c:pt idx="42">
                  <c:v>118.07769031150484</c:v>
                </c:pt>
                <c:pt idx="43">
                  <c:v>117.98223235526777</c:v>
                </c:pt>
                <c:pt idx="44">
                  <c:v>117.87965858182866</c:v>
                </c:pt>
                <c:pt idx="45">
                  <c:v>117.76930976262003</c:v>
                </c:pt>
                <c:pt idx="46">
                  <c:v>117.6504844078155</c:v>
                </c:pt>
                <c:pt idx="47">
                  <c:v>117.52244884611757</c:v>
                </c:pt>
                <c:pt idx="48">
                  <c:v>117.38445412983856</c:v>
                </c:pt>
                <c:pt idx="49">
                  <c:v>117.23576200243248</c:v>
                </c:pt>
                <c:pt idx="50">
                  <c:v>117.07568232447218</c:v>
                </c:pt>
                <c:pt idx="51">
                  <c:v>116.90362410152629</c:v>
                </c:pt>
                <c:pt idx="52">
                  <c:v>116.71916126897747</c:v>
                </c:pt>
                <c:pt idx="53">
                  <c:v>116.52211228600103</c:v>
                </c:pt>
                <c:pt idx="54">
                  <c:v>116.31262908020865</c:v>
                </c:pt>
                <c:pt idx="55">
                  <c:v>116.09128603010089</c:v>
                </c:pt>
                <c:pt idx="56">
                  <c:v>115.85915426891454</c:v>
                </c:pt>
                <c:pt idx="57">
                  <c:v>115.61784244587597</c:v>
                </c:pt>
                <c:pt idx="58">
                  <c:v>115.36948481656758</c:v>
                </c:pt>
                <c:pt idx="59">
                  <c:v>115.11666357413056</c:v>
                </c:pt>
                <c:pt idx="60">
                  <c:v>114.86226513677651</c:v>
                </c:pt>
                <c:pt idx="61">
                  <c:v>114.60928670670407</c:v>
                </c:pt>
                <c:pt idx="62">
                  <c:v>114.3606237818108</c:v>
                </c:pt>
                <c:pt idx="63">
                  <c:v>114.1188751673223</c:v>
                </c:pt>
                <c:pt idx="64">
                  <c:v>113.88619663808342</c:v>
                </c:pt>
                <c:pt idx="65">
                  <c:v>113.66422028824978</c:v>
                </c:pt>
                <c:pt idx="66">
                  <c:v>113.45403996233416</c:v>
                </c:pt>
                <c:pt idx="67">
                  <c:v>113.25625010377431</c:v>
                </c:pt>
                <c:pt idx="68">
                  <c:v>113.07101901127808</c:v>
                </c:pt>
                <c:pt idx="69">
                  <c:v>112.89817752621609</c:v>
                </c:pt>
                <c:pt idx="70">
                  <c:v>112.73730821114216</c:v>
                </c:pt>
                <c:pt idx="71">
                  <c:v>112.58782547362232</c:v>
                </c:pt>
                <c:pt idx="72">
                  <c:v>112.44904199102429</c:v>
                </c:pt>
                <c:pt idx="73">
                  <c:v>112.32022036632985</c:v>
                </c:pt>
                <c:pt idx="74">
                  <c:v>112.20061110442263</c:v>
                </c:pt>
                <c:pt idx="75">
                  <c:v>112.08947902727407</c:v>
                </c:pt>
                <c:pt idx="76">
                  <c:v>111.98612052360805</c:v>
                </c:pt>
                <c:pt idx="77">
                  <c:v>111.88987388222745</c:v>
                </c:pt>
                <c:pt idx="78">
                  <c:v>111.80012462030814</c:v>
                </c:pt>
                <c:pt idx="79">
                  <c:v>111.71630733005995</c:v>
                </c:pt>
                <c:pt idx="80">
                  <c:v>111.63790520355707</c:v>
                </c:pt>
                <c:pt idx="81">
                  <c:v>111.56444808769446</c:v>
                </c:pt>
                <c:pt idx="82">
                  <c:v>111.49550967633397</c:v>
                </c:pt>
                <c:pt idx="83">
                  <c:v>111.43070426003158</c:v>
                </c:pt>
                <c:pt idx="84">
                  <c:v>111.3696833158829</c:v>
                </c:pt>
                <c:pt idx="85">
                  <c:v>111.31213212077094</c:v>
                </c:pt>
                <c:pt idx="86">
                  <c:v>111.25776650139126</c:v>
                </c:pt>
                <c:pt idx="87">
                  <c:v>111.20632978620465</c:v>
                </c:pt>
                <c:pt idx="88">
                  <c:v>111.15758999192246</c:v>
                </c:pt>
                <c:pt idx="89">
                  <c:v>111.11133725571632</c:v>
                </c:pt>
                <c:pt idx="90">
                  <c:v>111.06738151071394</c:v>
                </c:pt>
                <c:pt idx="91">
                  <c:v>111.02555039406697</c:v>
                </c:pt>
                <c:pt idx="92">
                  <c:v>110.98568737222618</c:v>
                </c:pt>
                <c:pt idx="93">
                  <c:v>110.94765006581842</c:v>
                </c:pt>
                <c:pt idx="94">
                  <c:v>110.91130875583821</c:v>
                </c:pt>
                <c:pt idx="95">
                  <c:v>110.8765450531663</c:v>
                </c:pt>
                <c:pt idx="96">
                  <c:v>110.84325071431036</c:v>
                </c:pt>
                <c:pt idx="97">
                  <c:v>110.81132658746404</c:v>
                </c:pt>
                <c:pt idx="98">
                  <c:v>110.78068167432899</c:v>
                </c:pt>
                <c:pt idx="99">
                  <c:v>110.75123229452554</c:v>
                </c:pt>
                <c:pt idx="100">
                  <c:v>110.72290134076397</c:v>
                </c:pt>
                <c:pt idx="101">
                  <c:v>110.69561761422038</c:v>
                </c:pt>
                <c:pt idx="102">
                  <c:v>110.6693152307349</c:v>
                </c:pt>
                <c:pt idx="103">
                  <c:v>110.6439330895204</c:v>
                </c:pt>
                <c:pt idx="104">
                  <c:v>110.61941439703156</c:v>
                </c:pt>
                <c:pt idx="105">
                  <c:v>110.59570623950452</c:v>
                </c:pt>
                <c:pt idx="106">
                  <c:v>110.57275919844054</c:v>
                </c:pt>
                <c:pt idx="107">
                  <c:v>110.55052700398171</c:v>
                </c:pt>
                <c:pt idx="108">
                  <c:v>110.52896622172156</c:v>
                </c:pt>
                <c:pt idx="109">
                  <c:v>110.50803596901525</c:v>
                </c:pt>
                <c:pt idx="110">
                  <c:v>110.48769765731336</c:v>
                </c:pt>
                <c:pt idx="111">
                  <c:v>110.46791475744442</c:v>
                </c:pt>
                <c:pt idx="112">
                  <c:v>110.44865258512392</c:v>
                </c:pt>
                <c:pt idx="113">
                  <c:v>110.4298781042758</c:v>
                </c:pt>
                <c:pt idx="114">
                  <c:v>110.41155974602228</c:v>
                </c:pt>
                <c:pt idx="115">
                  <c:v>110.39366724143571</c:v>
                </c:pt>
                <c:pt idx="116">
                  <c:v>110.37617146635323</c:v>
                </c:pt>
                <c:pt idx="117">
                  <c:v>110.35904429673842</c:v>
                </c:pt>
                <c:pt idx="118">
                  <c:v>110.34225847323539</c:v>
                </c:pt>
                <c:pt idx="119">
                  <c:v>110.32578747370295</c:v>
                </c:pt>
                <c:pt idx="120">
                  <c:v>110.30960539264339</c:v>
                </c:pt>
                <c:pt idx="121">
                  <c:v>110.2936868265532</c:v>
                </c:pt>
                <c:pt idx="122">
                  <c:v>110.27800676432413</c:v>
                </c:pt>
                <c:pt idx="123">
                  <c:v>110.26254048191529</c:v>
                </c:pt>
                <c:pt idx="124">
                  <c:v>110.24726344060038</c:v>
                </c:pt>
                <c:pt idx="125">
                  <c:v>110.23215118817207</c:v>
                </c:pt>
                <c:pt idx="126">
                  <c:v>110.21717926255855</c:v>
                </c:pt>
                <c:pt idx="127">
                  <c:v>110.20232309737612</c:v>
                </c:pt>
                <c:pt idx="128">
                  <c:v>110.18755792900974</c:v>
                </c:pt>
                <c:pt idx="129">
                  <c:v>110.1728587048792</c:v>
                </c:pt>
                <c:pt idx="130">
                  <c:v>110.15819999261619</c:v>
                </c:pt>
                <c:pt idx="131">
                  <c:v>110.14355588994493</c:v>
                </c:pt>
                <c:pt idx="132">
                  <c:v>110.12889993513127</c:v>
                </c:pt>
                <c:pt idx="133">
                  <c:v>110.11420501793916</c:v>
                </c:pt>
                <c:pt idx="134">
                  <c:v>110.09944329111437</c:v>
                </c:pt>
                <c:pt idx="135">
                  <c:v>110.08458608250163</c:v>
                </c:pt>
                <c:pt idx="136">
                  <c:v>110.06960380799522</c:v>
                </c:pt>
                <c:pt idx="137">
                  <c:v>110.05446588562664</c:v>
                </c:pt>
                <c:pt idx="138">
                  <c:v>110.03914065120584</c:v>
                </c:pt>
                <c:pt idx="139">
                  <c:v>110.02359527605726</c:v>
                </c:pt>
                <c:pt idx="140">
                  <c:v>110.00779568752942</c:v>
                </c:pt>
                <c:pt idx="141">
                  <c:v>109.99170649310899</c:v>
                </c:pt>
                <c:pt idx="142">
                  <c:v>109.97529090913679</c:v>
                </c:pt>
                <c:pt idx="143">
                  <c:v>109.95851069530814</c:v>
                </c:pt>
                <c:pt idx="144">
                  <c:v>109.94132609634164</c:v>
                </c:pt>
                <c:pt idx="145">
                  <c:v>109.92369579242236</c:v>
                </c:pt>
                <c:pt idx="146">
                  <c:v>109.90557686026692</c:v>
                </c:pt>
                <c:pt idx="147">
                  <c:v>109.88692474692057</c:v>
                </c:pt>
                <c:pt idx="148">
                  <c:v>109.87829616519484</c:v>
                </c:pt>
                <c:pt idx="149">
                  <c:v>109.82480358848061</c:v>
                </c:pt>
                <c:pt idx="150">
                  <c:v>109.76608756140088</c:v>
                </c:pt>
                <c:pt idx="151">
                  <c:v>109.70113068177577</c:v>
                </c:pt>
                <c:pt idx="152">
                  <c:v>109.62886382143783</c:v>
                </c:pt>
                <c:pt idx="153">
                  <c:v>109.54820321351914</c:v>
                </c:pt>
                <c:pt idx="154">
                  <c:v>109.45810934451472</c:v>
                </c:pt>
                <c:pt idx="155">
                  <c:v>109.35767301199817</c:v>
                </c:pt>
                <c:pt idx="156">
                  <c:v>109.24623249413321</c:v>
                </c:pt>
                <c:pt idx="157">
                  <c:v>109.123521568301</c:v>
                </c:pt>
                <c:pt idx="158">
                  <c:v>108.98983937381662</c:v>
                </c:pt>
                <c:pt idx="159">
                  <c:v>108.84621826653972</c:v>
                </c:pt>
                <c:pt idx="160">
                  <c:v>108.69454497757192</c:v>
                </c:pt>
                <c:pt idx="161">
                  <c:v>108.53756792727063</c:v>
                </c:pt>
                <c:pt idx="162">
                  <c:v>108.37871073050813</c:v>
                </c:pt>
                <c:pt idx="163">
                  <c:v>108.22162723816879</c:v>
                </c:pt>
                <c:pt idx="164">
                  <c:v>108.08594446762689</c:v>
                </c:pt>
                <c:pt idx="165">
                  <c:v>107.86943591099957</c:v>
                </c:pt>
                <c:pt idx="166">
                  <c:v>107.66604960052091</c:v>
                </c:pt>
                <c:pt idx="167">
                  <c:v>107.46577812206165</c:v>
                </c:pt>
                <c:pt idx="168">
                  <c:v>107.26095536035173</c:v>
                </c:pt>
                <c:pt idx="169">
                  <c:v>107.05859071968024</c:v>
                </c:pt>
                <c:pt idx="170">
                  <c:v>106.8732525006513</c:v>
                </c:pt>
                <c:pt idx="171">
                  <c:v>106.70327040202346</c:v>
                </c:pt>
                <c:pt idx="172">
                  <c:v>106.53789265046834</c:v>
                </c:pt>
                <c:pt idx="173">
                  <c:v>106.38629388089139</c:v>
                </c:pt>
                <c:pt idx="174">
                  <c:v>106.24911647738547</c:v>
                </c:pt>
                <c:pt idx="175">
                  <c:v>106.12040900302593</c:v>
                </c:pt>
                <c:pt idx="176">
                  <c:v>106.00588829441922</c:v>
                </c:pt>
                <c:pt idx="177">
                  <c:v>105.90044423519424</c:v>
                </c:pt>
                <c:pt idx="178">
                  <c:v>105.80546598143283</c:v>
                </c:pt>
                <c:pt idx="179">
                  <c:v>105.69317636284818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8D-439D-8A11-4718DCC62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8040"/>
        <c:axId val="5908606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FRES!$AG$4</c15:sqref>
                        </c15:formulaRef>
                      </c:ext>
                    </c:extLst>
                    <c:strCache>
                      <c:ptCount val="1"/>
                      <c:pt idx="0">
                        <c:v>SPL1</c:v>
                      </c:pt>
                    </c:strCache>
                  </c:strRef>
                </c:tx>
                <c:spPr>
                  <a:ln w="254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FRES!$AG$5:$AG$184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57.869234030299083</c:v>
                      </c:pt>
                      <c:pt idx="1">
                        <c:v>58.888626676431542</c:v>
                      </c:pt>
                      <c:pt idx="2">
                        <c:v>59.909877410983448</c:v>
                      </c:pt>
                      <c:pt idx="3">
                        <c:v>60.933186871760668</c:v>
                      </c:pt>
                      <c:pt idx="4">
                        <c:v>61.958772486293334</c:v>
                      </c:pt>
                      <c:pt idx="5">
                        <c:v>62.986868173454269</c:v>
                      </c:pt>
                      <c:pt idx="6">
                        <c:v>64.017723256171976</c:v>
                      </c:pt>
                      <c:pt idx="7">
                        <c:v>65.051600233922215</c:v>
                      </c:pt>
                      <c:pt idx="8">
                        <c:v>66.088770929941518</c:v>
                      </c:pt>
                      <c:pt idx="9">
                        <c:v>67.129510344760718</c:v>
                      </c:pt>
                      <c:pt idx="10">
                        <c:v>68.174087296733958</c:v>
                      </c:pt>
                      <c:pt idx="11">
                        <c:v>69.222750588005837</c:v>
                      </c:pt>
                      <c:pt idx="12">
                        <c:v>70.275708970293493</c:v>
                      </c:pt>
                      <c:pt idx="13">
                        <c:v>70.803846293481456</c:v>
                      </c:pt>
                      <c:pt idx="14">
                        <c:v>71.333102561616428</c:v>
                      </c:pt>
                      <c:pt idx="15">
                        <c:v>71.863477966497811</c:v>
                      </c:pt>
                      <c:pt idx="16">
                        <c:v>72.39496254091344</c:v>
                      </c:pt>
                      <c:pt idx="17">
                        <c:v>72.927533947538777</c:v>
                      </c:pt>
                      <c:pt idx="18">
                        <c:v>73.461154884287609</c:v>
                      </c:pt>
                      <c:pt idx="19">
                        <c:v>73.995770047784248</c:v>
                      </c:pt>
                      <c:pt idx="20">
                        <c:v>74.531302590284866</c:v>
                      </c:pt>
                      <c:pt idx="21">
                        <c:v>75.067649999483564</c:v>
                      </c:pt>
                      <c:pt idx="22">
                        <c:v>75.604679325844927</c:v>
                      </c:pt>
                      <c:pt idx="23">
                        <c:v>76.142221679387404</c:v>
                      </c:pt>
                      <c:pt idx="24">
                        <c:v>76.6800659185607</c:v>
                      </c:pt>
                      <c:pt idx="25">
                        <c:v>77.217951459932351</c:v>
                      </c:pt>
                      <c:pt idx="26">
                        <c:v>77.755560151381985</c:v>
                      </c:pt>
                      <c:pt idx="27">
                        <c:v>78.292507176760921</c:v>
                      </c:pt>
                      <c:pt idx="28">
                        <c:v>78.828331000784374</c:v>
                      </c:pt>
                      <c:pt idx="29">
                        <c:v>79.362482424470045</c:v>
                      </c:pt>
                      <c:pt idx="30">
                        <c:v>79.894312909703032</c:v>
                      </c:pt>
                      <c:pt idx="31">
                        <c:v>80.423062452835396</c:v>
                      </c:pt>
                      <c:pt idx="32">
                        <c:v>80.947847447430092</c:v>
                      </c:pt>
                      <c:pt idx="33">
                        <c:v>81.467649179070264</c:v>
                      </c:pt>
                      <c:pt idx="34">
                        <c:v>81.981303839790513</c:v>
                      </c:pt>
                      <c:pt idx="35">
                        <c:v>82.48749522741592</c:v>
                      </c:pt>
                      <c:pt idx="36">
                        <c:v>82.984751584866672</c:v>
                      </c:pt>
                      <c:pt idx="37">
                        <c:v>83.471448298304296</c:v>
                      </c:pt>
                      <c:pt idx="38">
                        <c:v>83.945818352222972</c:v>
                      </c:pt>
                      <c:pt idx="39">
                        <c:v>84.405972454711844</c:v>
                      </c:pt>
                      <c:pt idx="40">
                        <c:v>84.849930502982801</c:v>
                      </c:pt>
                      <c:pt idx="41">
                        <c:v>85.275665465433661</c:v>
                      </c:pt>
                      <c:pt idx="42">
                        <c:v>85.681159749430435</c:v>
                      </c:pt>
                      <c:pt idx="43">
                        <c:v>86.064472708700833</c:v>
                      </c:pt>
                      <c:pt idx="44">
                        <c:v>86.423816231523901</c:v>
                      </c:pt>
                      <c:pt idx="45">
                        <c:v>86.757633579011198</c:v>
                      </c:pt>
                      <c:pt idx="46">
                        <c:v>87.064675162309882</c:v>
                      </c:pt>
                      <c:pt idx="47">
                        <c:v>87.344064155660533</c:v>
                      </c:pt>
                      <c:pt idx="48">
                        <c:v>87.595345070745509</c:v>
                      </c:pt>
                      <c:pt idx="49">
                        <c:v>87.818509807396211</c:v>
                      </c:pt>
                      <c:pt idx="50">
                        <c:v>88.013998108296519</c:v>
                      </c:pt>
                      <c:pt idx="51">
                        <c:v>88.182672363179151</c:v>
                      </c:pt>
                      <c:pt idx="52">
                        <c:v>88.325769736799472</c:v>
                      </c:pt>
                      <c:pt idx="53">
                        <c:v>88.444837037081953</c:v>
                      </c:pt>
                      <c:pt idx="54">
                        <c:v>88.541655169161487</c:v>
                      </c:pt>
                      <c:pt idx="55">
                        <c:v>88.618160289075547</c:v>
                      </c:pt>
                      <c:pt idx="56">
                        <c:v>88.676368009691345</c:v>
                      </c:pt>
                      <c:pt idx="57">
                        <c:v>88.71830554831989</c:v>
                      </c:pt>
                      <c:pt idx="58">
                        <c:v>88.745954937314465</c:v>
                      </c:pt>
                      <c:pt idx="59">
                        <c:v>88.761208699428451</c:v>
                      </c:pt>
                      <c:pt idx="60">
                        <c:v>88.76583796148681</c:v>
                      </c:pt>
                      <c:pt idx="61">
                        <c:v>88.761471958019598</c:v>
                      </c:pt>
                      <c:pt idx="62">
                        <c:v>88.749587269060655</c:v>
                      </c:pt>
                      <c:pt idx="63">
                        <c:v>88.731504882442522</c:v>
                      </c:pt>
                      <c:pt idx="64">
                        <c:v>88.708393178674285</c:v>
                      </c:pt>
                      <c:pt idx="65">
                        <c:v>88.681275111452322</c:v>
                      </c:pt>
                      <c:pt idx="66">
                        <c:v>88.651038118834663</c:v>
                      </c:pt>
                      <c:pt idx="67">
                        <c:v>88.618445589727656</c:v>
                      </c:pt>
                      <c:pt idx="68">
                        <c:v>88.584148988922635</c:v>
                      </c:pt>
                      <c:pt idx="69">
                        <c:v>88.548699989912492</c:v>
                      </c:pt>
                      <c:pt idx="70">
                        <c:v>88.512562169034425</c:v>
                      </c:pt>
                      <c:pt idx="71">
                        <c:v>88.476121976125512</c:v>
                      </c:pt>
                      <c:pt idx="72">
                        <c:v>88.43969881947163</c:v>
                      </c:pt>
                      <c:pt idx="73">
                        <c:v>88.403554192136511</c:v>
                      </c:pt>
                      <c:pt idx="74">
                        <c:v>88.367899829136434</c:v>
                      </c:pt>
                      <c:pt idx="75">
                        <c:v>88.332904926359262</c:v>
                      </c:pt>
                      <c:pt idx="76">
                        <c:v>88.298702477854647</c:v>
                      </c:pt>
                      <c:pt idx="77">
                        <c:v>88.265394802434528</c:v>
                      </c:pt>
                      <c:pt idx="78">
                        <c:v>88.233058336822992</c:v>
                      </c:pt>
                      <c:pt idx="79">
                        <c:v>88.201747773464504</c:v>
                      </c:pt>
                      <c:pt idx="80">
                        <c:v>88.171499618475849</c:v>
                      </c:pt>
                      <c:pt idx="81">
                        <c:v>88.142335240487569</c:v>
                      </c:pt>
                      <c:pt idx="82">
                        <c:v>88.114263475252713</c:v>
                      </c:pt>
                      <c:pt idx="83">
                        <c:v>88.087282844566886</c:v>
                      </c:pt>
                      <c:pt idx="84">
                        <c:v>88.061383441687283</c:v>
                      </c:pt>
                      <c:pt idx="85">
                        <c:v>88.036548529332137</c:v>
                      </c:pt>
                      <c:pt idx="86">
                        <c:v>88.012755890651221</c:v>
                      </c:pt>
                      <c:pt idx="87">
                        <c:v>87.989978968365094</c:v>
                      </c:pt>
                      <c:pt idx="88">
                        <c:v>87.968187822596761</c:v>
                      </c:pt>
                      <c:pt idx="89">
                        <c:v>87.947349933775669</c:v>
                      </c:pt>
                      <c:pt idx="90">
                        <c:v>87.927430873337769</c:v>
                      </c:pt>
                      <c:pt idx="91">
                        <c:v>87.908394861754743</c:v>
                      </c:pt>
                      <c:pt idx="92">
                        <c:v>87.890205230645918</c:v>
                      </c:pt>
                      <c:pt idx="93">
                        <c:v>87.872824803324846</c:v>
                      </c:pt>
                      <c:pt idx="94">
                        <c:v>87.856216206057169</c:v>
                      </c:pt>
                      <c:pt idx="95">
                        <c:v>87.840342120522081</c:v>
                      </c:pt>
                      <c:pt idx="96">
                        <c:v>87.825165486437754</c:v>
                      </c:pt>
                      <c:pt idx="97">
                        <c:v>87.810649661997857</c:v>
                      </c:pt>
                      <c:pt idx="98">
                        <c:v>87.796758548643155</c:v>
                      </c:pt>
                      <c:pt idx="99">
                        <c:v>87.783456685730727</c:v>
                      </c:pt>
                      <c:pt idx="100">
                        <c:v>87.770709319840918</c:v>
                      </c:pt>
                      <c:pt idx="101">
                        <c:v>87.758482452766003</c:v>
                      </c:pt>
                      <c:pt idx="102">
                        <c:v>87.746742871621308</c:v>
                      </c:pt>
                      <c:pt idx="103">
                        <c:v>87.735458164013437</c:v>
                      </c:pt>
                      <c:pt idx="104">
                        <c:v>87.724596720765859</c:v>
                      </c:pt>
                      <c:pt idx="105">
                        <c:v>87.714127728328734</c:v>
                      </c:pt>
                      <c:pt idx="106">
                        <c:v>87.704021152690501</c:v>
                      </c:pt>
                      <c:pt idx="107">
                        <c:v>87.694247716335411</c:v>
                      </c:pt>
                      <c:pt idx="108">
                        <c:v>87.684778869567253</c:v>
                      </c:pt>
                      <c:pt idx="109">
                        <c:v>87.675586757326442</c:v>
                      </c:pt>
                      <c:pt idx="110">
                        <c:v>87.666644182460601</c:v>
                      </c:pt>
                      <c:pt idx="111">
                        <c:v>87.657924566276421</c:v>
                      </c:pt>
                      <c:pt idx="112">
                        <c:v>87.649401907077703</c:v>
                      </c:pt>
                      <c:pt idx="113">
                        <c:v>87.641050737302322</c:v>
                      </c:pt>
                      <c:pt idx="114">
                        <c:v>87.632846079784116</c:v>
                      </c:pt>
                      <c:pt idx="115">
                        <c:v>87.624763403601406</c:v>
                      </c:pt>
                      <c:pt idx="116">
                        <c:v>87.61677857991458</c:v>
                      </c:pt>
                      <c:pt idx="117">
                        <c:v>87.60886783814891</c:v>
                      </c:pt>
                      <c:pt idx="118">
                        <c:v>87.60100772284396</c:v>
                      </c:pt>
                      <c:pt idx="119">
                        <c:v>87.593175051454736</c:v>
                      </c:pt>
                      <c:pt idx="120">
                        <c:v>87.585346873369488</c:v>
                      </c:pt>
                      <c:pt idx="121">
                        <c:v>87.577500430387829</c:v>
                      </c:pt>
                      <c:pt idx="122">
                        <c:v>87.56961311888503</c:v>
                      </c:pt>
                      <c:pt idx="123">
                        <c:v>87.561662453878384</c:v>
                      </c:pt>
                      <c:pt idx="124">
                        <c:v>87.553626035197837</c:v>
                      </c:pt>
                      <c:pt idx="125">
                        <c:v>87.545481515953554</c:v>
                      </c:pt>
                      <c:pt idx="126">
                        <c:v>87.537206573483743</c:v>
                      </c:pt>
                      <c:pt idx="127">
                        <c:v>87.528778882954043</c:v>
                      </c:pt>
                      <c:pt idx="128">
                        <c:v>87.520176093765954</c:v>
                      </c:pt>
                      <c:pt idx="129">
                        <c:v>87.511375808916156</c:v>
                      </c:pt>
                      <c:pt idx="130">
                        <c:v>87.50235556742652</c:v>
                      </c:pt>
                      <c:pt idx="131">
                        <c:v>87.493092829937581</c:v>
                      </c:pt>
                      <c:pt idx="132">
                        <c:v>87.483564967522938</c:v>
                      </c:pt>
                      <c:pt idx="133">
                        <c:v>87.473749253739456</c:v>
                      </c:pt>
                      <c:pt idx="134">
                        <c:v>87.463622859871762</c:v>
                      </c:pt>
                      <c:pt idx="135">
                        <c:v>87.45316285326426</c:v>
                      </c:pt>
                      <c:pt idx="136">
                        <c:v>87.442346198549856</c:v>
                      </c:pt>
                      <c:pt idx="137">
                        <c:v>87.431149761487973</c:v>
                      </c:pt>
                      <c:pt idx="138">
                        <c:v>87.419550315007712</c:v>
                      </c:pt>
                      <c:pt idx="139">
                        <c:v>87.407524546913208</c:v>
                      </c:pt>
                      <c:pt idx="140">
                        <c:v>87.395049068551231</c:v>
                      </c:pt>
                      <c:pt idx="141">
                        <c:v>87.382100423557347</c:v>
                      </c:pt>
                      <c:pt idx="142">
                        <c:v>87.368655095589816</c:v>
                      </c:pt>
                      <c:pt idx="143">
                        <c:v>87.35468951372934</c:v>
                      </c:pt>
                      <c:pt idx="144">
                        <c:v>87.340180053965057</c:v>
                      </c:pt>
                      <c:pt idx="145">
                        <c:v>87.325103034908551</c:v>
                      </c:pt>
                      <c:pt idx="146">
                        <c:v>87.30943470557817</c:v>
                      </c:pt>
                      <c:pt idx="147">
                        <c:v>87.293151222780892</c:v>
                      </c:pt>
                      <c:pt idx="148">
                        <c:v>87.285573535921529</c:v>
                      </c:pt>
                      <c:pt idx="149">
                        <c:v>87.238143642082363</c:v>
                      </c:pt>
                      <c:pt idx="150">
                        <c:v>87.185624616909394</c:v>
                      </c:pt>
                      <c:pt idx="151">
                        <c:v>87.127524264468065</c:v>
                      </c:pt>
                      <c:pt idx="152">
                        <c:v>87.063298113637288</c:v>
                      </c:pt>
                      <c:pt idx="153">
                        <c:v>86.992308362860626</c:v>
                      </c:pt>
                      <c:pt idx="154">
                        <c:v>86.913765672961532</c:v>
                      </c:pt>
                      <c:pt idx="155">
                        <c:v>86.826655260551121</c:v>
                      </c:pt>
                      <c:pt idx="156">
                        <c:v>86.72965517960391</c:v>
                      </c:pt>
                      <c:pt idx="157">
                        <c:v>86.621063980531147</c:v>
                      </c:pt>
                      <c:pt idx="158">
                        <c:v>86.498765281341917</c:v>
                      </c:pt>
                      <c:pt idx="159">
                        <c:v>86.360263283865081</c:v>
                      </c:pt>
                      <c:pt idx="160">
                        <c:v>86.202817797688283</c:v>
                      </c:pt>
                      <c:pt idx="161">
                        <c:v>86.023681817845059</c:v>
                      </c:pt>
                      <c:pt idx="162">
                        <c:v>85.820399722790512</c:v>
                      </c:pt>
                      <c:pt idx="163">
                        <c:v>85.591079569470082</c:v>
                      </c:pt>
                      <c:pt idx="164">
                        <c:v>85.364167386315458</c:v>
                      </c:pt>
                      <c:pt idx="165">
                        <c:v>84.932084546343731</c:v>
                      </c:pt>
                      <c:pt idx="166">
                        <c:v>84.438703555105917</c:v>
                      </c:pt>
                      <c:pt idx="167">
                        <c:v>83.886959257788831</c:v>
                      </c:pt>
                      <c:pt idx="168">
                        <c:v>83.279975136199496</c:v>
                      </c:pt>
                      <c:pt idx="169">
                        <c:v>82.61933302036303</c:v>
                      </c:pt>
                      <c:pt idx="170">
                        <c:v>81.907195038923561</c:v>
                      </c:pt>
                      <c:pt idx="171">
                        <c:v>81.148977755958299</c:v>
                      </c:pt>
                      <c:pt idx="172">
                        <c:v>80.3510929066546</c:v>
                      </c:pt>
                      <c:pt idx="173">
                        <c:v>79.51773591801026</c:v>
                      </c:pt>
                      <c:pt idx="174">
                        <c:v>78.653941504392463</c:v>
                      </c:pt>
                      <c:pt idx="175">
                        <c:v>77.764813842977247</c:v>
                      </c:pt>
                      <c:pt idx="176">
                        <c:v>76.85409160901122</c:v>
                      </c:pt>
                      <c:pt idx="177">
                        <c:v>75.925752946587394</c:v>
                      </c:pt>
                      <c:pt idx="178">
                        <c:v>74.982829719700632</c:v>
                      </c:pt>
                      <c:pt idx="179">
                        <c:v>73.702657506566126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E8D-439D-8A11-4718DCC62FF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FRES!$AI$4</c15:sqref>
                        </c15:formulaRef>
                      </c:ext>
                    </c:extLst>
                    <c:strCache>
                      <c:ptCount val="1"/>
                      <c:pt idx="0">
                        <c:v>SPL3</c:v>
                      </c:pt>
                    </c:strCache>
                  </c:strRef>
                </c:tx>
                <c:spPr>
                  <a:ln w="25400">
                    <a:solidFill>
                      <a:srgbClr val="FF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FRES!$AI$5:$AI$184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45.750805856448835</c:v>
                      </c:pt>
                      <c:pt idx="1">
                        <c:v>46.761651080495604</c:v>
                      </c:pt>
                      <c:pt idx="2">
                        <c:v>47.773408910804534</c:v>
                      </c:pt>
                      <c:pt idx="3">
                        <c:v>48.786192387428294</c:v>
                      </c:pt>
                      <c:pt idx="4">
                        <c:v>49.800128725946102</c:v>
                      </c:pt>
                      <c:pt idx="5">
                        <c:v>50.815361139616343</c:v>
                      </c:pt>
                      <c:pt idx="6">
                        <c:v>51.832050906961172</c:v>
                      </c:pt>
                      <c:pt idx="7">
                        <c:v>52.850379720566011</c:v>
                      </c:pt>
                      <c:pt idx="8">
                        <c:v>53.87055235871108</c:v>
                      </c:pt>
                      <c:pt idx="9">
                        <c:v>54.892799728355762</c:v>
                      </c:pt>
                      <c:pt idx="10">
                        <c:v>55.917382336176551</c:v>
                      </c:pt>
                      <c:pt idx="11">
                        <c:v>56.944594254070381</c:v>
                      </c:pt>
                      <c:pt idx="12">
                        <c:v>57.974767657055253</c:v>
                      </c:pt>
                      <c:pt idx="13">
                        <c:v>58.491080403828093</c:v>
                      </c:pt>
                      <c:pt idx="14">
                        <c:v>59.00827802516821</c:v>
                      </c:pt>
                      <c:pt idx="15">
                        <c:v>59.526415202148755</c:v>
                      </c:pt>
                      <c:pt idx="16">
                        <c:v>60.045550117119426</c:v>
                      </c:pt>
                      <c:pt idx="17">
                        <c:v>60.565744691718564</c:v>
                      </c:pt>
                      <c:pt idx="18">
                        <c:v>61.087064842483471</c:v>
                      </c:pt>
                      <c:pt idx="19">
                        <c:v>61.609580755470496</c:v>
                      </c:pt>
                      <c:pt idx="20">
                        <c:v>62.133367181409305</c:v>
                      </c:pt>
                      <c:pt idx="21">
                        <c:v>62.658503753035966</c:v>
                      </c:pt>
                      <c:pt idx="22">
                        <c:v>63.185075326370409</c:v>
                      </c:pt>
                      <c:pt idx="23">
                        <c:v>63.713172347831261</c:v>
                      </c:pt>
                      <c:pt idx="24">
                        <c:v>64.242891249207105</c:v>
                      </c:pt>
                      <c:pt idx="25">
                        <c:v>64.774334872624578</c:v>
                      </c:pt>
                      <c:pt idx="26">
                        <c:v>65.307612927767522</c:v>
                      </c:pt>
                      <c:pt idx="27">
                        <c:v>65.842842483696302</c:v>
                      </c:pt>
                      <c:pt idx="28">
                        <c:v>66.380148497683493</c:v>
                      </c:pt>
                      <c:pt idx="29">
                        <c:v>66.919664383508277</c:v>
                      </c:pt>
                      <c:pt idx="30">
                        <c:v>67.461532621607546</c:v>
                      </c:pt>
                      <c:pt idx="31">
                        <c:v>68.005905413356246</c:v>
                      </c:pt>
                      <c:pt idx="32">
                        <c:v>68.552945381482672</c:v>
                      </c:pt>
                      <c:pt idx="33">
                        <c:v>69.10282631818599</c:v>
                      </c:pt>
                      <c:pt idx="34">
                        <c:v>69.655733981823218</c:v>
                      </c:pt>
                      <c:pt idx="35">
                        <c:v>70.211866941996021</c:v>
                      </c:pt>
                      <c:pt idx="36">
                        <c:v>70.771437471346403</c:v>
                      </c:pt>
                      <c:pt idx="37">
                        <c:v>71.334672480200396</c:v>
                      </c:pt>
                      <c:pt idx="38">
                        <c:v>71.901814487143582</c:v>
                      </c:pt>
                      <c:pt idx="39">
                        <c:v>72.473122614331345</c:v>
                      </c:pt>
                      <c:pt idx="40">
                        <c:v>73.048873590413322</c:v>
                      </c:pt>
                      <c:pt idx="41">
                        <c:v>73.629362735752522</c:v>
                      </c:pt>
                      <c:pt idx="42">
                        <c:v>74.21490489333722</c:v>
                      </c:pt>
                      <c:pt idx="43">
                        <c:v>74.805835253269152</c:v>
                      </c:pt>
                      <c:pt idx="44">
                        <c:v>75.402509997404621</c:v>
                      </c:pt>
                      <c:pt idx="45">
                        <c:v>76.005306661467444</c:v>
                      </c:pt>
                      <c:pt idx="46">
                        <c:v>76.614624071775978</c:v>
                      </c:pt>
                      <c:pt idx="47">
                        <c:v>77.230881658523543</c:v>
                      </c:pt>
                      <c:pt idx="48">
                        <c:v>77.85451787166609</c:v>
                      </c:pt>
                      <c:pt idx="49">
                        <c:v>78.485987321105469</c:v>
                      </c:pt>
                      <c:pt idx="50">
                        <c:v>79.125756119315739</c:v>
                      </c:pt>
                      <c:pt idx="51">
                        <c:v>79.774294707273057</c:v>
                      </c:pt>
                      <c:pt idx="52">
                        <c:v>80.432067173867551</c:v>
                      </c:pt>
                      <c:pt idx="53">
                        <c:v>81.099515708930085</c:v>
                      </c:pt>
                      <c:pt idx="54">
                        <c:v>81.777038327229889</c:v>
                      </c:pt>
                      <c:pt idx="55">
                        <c:v>82.46495732464119</c:v>
                      </c:pt>
                      <c:pt idx="56">
                        <c:v>83.163475033150007</c:v>
                      </c:pt>
                      <c:pt idx="57">
                        <c:v>83.872612288962898</c:v>
                      </c:pt>
                      <c:pt idx="58">
                        <c:v>84.592123607517806</c:v>
                      </c:pt>
                      <c:pt idx="59">
                        <c:v>85.321381441690548</c:v>
                      </c:pt>
                      <c:pt idx="60">
                        <c:v>86.059220339981621</c:v>
                      </c:pt>
                      <c:pt idx="61">
                        <c:v>86.803730948268083</c:v>
                      </c:pt>
                      <c:pt idx="62">
                        <c:v>87.551994929327833</c:v>
                      </c:pt>
                      <c:pt idx="63">
                        <c:v>88.299757468498967</c:v>
                      </c:pt>
                      <c:pt idx="64">
                        <c:v>89.041048153852728</c:v>
                      </c:pt>
                      <c:pt idx="65">
                        <c:v>89.767789275989401</c:v>
                      </c:pt>
                      <c:pt idx="66">
                        <c:v>90.469478256241786</c:v>
                      </c:pt>
                      <c:pt idx="67">
                        <c:v>91.133096873859699</c:v>
                      </c:pt>
                      <c:pt idx="68">
                        <c:v>91.743464683569456</c:v>
                      </c:pt>
                      <c:pt idx="69">
                        <c:v>92.284265751310471</c:v>
                      </c:pt>
                      <c:pt idx="70">
                        <c:v>92.739857122818307</c:v>
                      </c:pt>
                      <c:pt idx="71">
                        <c:v>93.097663005728037</c:v>
                      </c:pt>
                      <c:pt idx="72">
                        <c:v>93.350553955956542</c:v>
                      </c:pt>
                      <c:pt idx="73">
                        <c:v>93.49837150257089</c:v>
                      </c:pt>
                      <c:pt idx="74">
                        <c:v>93.547963267245549</c:v>
                      </c:pt>
                      <c:pt idx="75">
                        <c:v>93.511713167466084</c:v>
                      </c:pt>
                      <c:pt idx="76">
                        <c:v>93.405181523419969</c:v>
                      </c:pt>
                      <c:pt idx="77">
                        <c:v>93.244696255949989</c:v>
                      </c:pt>
                      <c:pt idx="78">
                        <c:v>93.045512096522117</c:v>
                      </c:pt>
                      <c:pt idx="79">
                        <c:v>92.820750637406348</c:v>
                      </c:pt>
                      <c:pt idx="80">
                        <c:v>92.581022165439236</c:v>
                      </c:pt>
                      <c:pt idx="81">
                        <c:v>92.334502040259082</c:v>
                      </c:pt>
                      <c:pt idx="82">
                        <c:v>92.08724210717773</c:v>
                      </c:pt>
                      <c:pt idx="83">
                        <c:v>91.843561396111937</c:v>
                      </c:pt>
                      <c:pt idx="84">
                        <c:v>91.606426861122387</c:v>
                      </c:pt>
                      <c:pt idx="85">
                        <c:v>91.377783477424316</c:v>
                      </c:pt>
                      <c:pt idx="86">
                        <c:v>91.158822018927196</c:v>
                      </c:pt>
                      <c:pt idx="87">
                        <c:v>90.950187448065407</c:v>
                      </c:pt>
                      <c:pt idx="88">
                        <c:v>90.752136716716606</c:v>
                      </c:pt>
                      <c:pt idx="89">
                        <c:v>90.564656040125143</c:v>
                      </c:pt>
                      <c:pt idx="90">
                        <c:v>90.387546885678631</c:v>
                      </c:pt>
                      <c:pt idx="91">
                        <c:v>90.220488371971356</c:v>
                      </c:pt>
                      <c:pt idx="92">
                        <c:v>90.063082151427437</c:v>
                      </c:pt>
                      <c:pt idx="93">
                        <c:v>89.914884418411759</c:v>
                      </c:pt>
                      <c:pt idx="94">
                        <c:v>89.775428520569278</c:v>
                      </c:pt>
                      <c:pt idx="95">
                        <c:v>89.644240746145186</c:v>
                      </c:pt>
                      <c:pt idx="96">
                        <c:v>89.520851175343125</c:v>
                      </c:pt>
                      <c:pt idx="97">
                        <c:v>89.404800974376116</c:v>
                      </c:pt>
                      <c:pt idx="98">
                        <c:v>89.295647135805197</c:v>
                      </c:pt>
                      <c:pt idx="99">
                        <c:v>89.192965394360954</c:v>
                      </c:pt>
                      <c:pt idx="100">
                        <c:v>89.096351847420635</c:v>
                      </c:pt>
                      <c:pt idx="101">
                        <c:v>89.005423663778885</c:v>
                      </c:pt>
                      <c:pt idx="102">
                        <c:v>88.91981915853215</c:v>
                      </c:pt>
                      <c:pt idx="103">
                        <c:v>88.839197434957171</c:v>
                      </c:pt>
                      <c:pt idx="104">
                        <c:v>88.763237738301967</c:v>
                      </c:pt>
                      <c:pt idx="105">
                        <c:v>88.691638625670222</c:v>
                      </c:pt>
                      <c:pt idx="106">
                        <c:v>88.62411702652733</c:v>
                      </c:pt>
                      <c:pt idx="107">
                        <c:v>88.560407246755318</c:v>
                      </c:pt>
                      <c:pt idx="108">
                        <c:v>88.500259953460045</c:v>
                      </c:pt>
                      <c:pt idx="109">
                        <c:v>88.443441166298527</c:v>
                      </c:pt>
                      <c:pt idx="110">
                        <c:v>88.389731272788126</c:v>
                      </c:pt>
                      <c:pt idx="111">
                        <c:v>88.338924079056383</c:v>
                      </c:pt>
                      <c:pt idx="112">
                        <c:v>88.290825903154499</c:v>
                      </c:pt>
                      <c:pt idx="113">
                        <c:v>88.24525471496672</c:v>
                      </c:pt>
                      <c:pt idx="114">
                        <c:v>88.202039324548181</c:v>
                      </c:pt>
                      <c:pt idx="115">
                        <c:v>88.161018619193271</c:v>
                      </c:pt>
                      <c:pt idx="116">
                        <c:v>88.12204084848311</c:v>
                      </c:pt>
                      <c:pt idx="117">
                        <c:v>88.084962955864</c:v>
                      </c:pt>
                      <c:pt idx="118">
                        <c:v>88.049649954864748</c:v>
                      </c:pt>
                      <c:pt idx="119">
                        <c:v>88.015974347803279</c:v>
                      </c:pt>
                      <c:pt idx="120">
                        <c:v>87.983815584702981</c:v>
                      </c:pt>
                      <c:pt idx="121">
                        <c:v>87.953059560111427</c:v>
                      </c:pt>
                      <c:pt idx="122">
                        <c:v>87.923598145536886</c:v>
                      </c:pt>
                      <c:pt idx="123">
                        <c:v>87.895328755298848</c:v>
                      </c:pt>
                      <c:pt idx="124">
                        <c:v>87.868153943683822</c:v>
                      </c:pt>
                      <c:pt idx="125">
                        <c:v>87.841981031418953</c:v>
                      </c:pt>
                      <c:pt idx="126">
                        <c:v>87.816721759596163</c:v>
                      </c:pt>
                      <c:pt idx="127">
                        <c:v>87.792291969308906</c:v>
                      </c:pt>
                      <c:pt idx="128">
                        <c:v>87.768611305380205</c:v>
                      </c:pt>
                      <c:pt idx="129">
                        <c:v>87.745602942678872</c:v>
                      </c:pt>
                      <c:pt idx="130">
                        <c:v>87.723193333620657</c:v>
                      </c:pt>
                      <c:pt idx="131">
                        <c:v>87.70131197554349</c:v>
                      </c:pt>
                      <c:pt idx="132">
                        <c:v>87.679891196721769</c:v>
                      </c:pt>
                      <c:pt idx="133">
                        <c:v>87.658865959843283</c:v>
                      </c:pt>
                      <c:pt idx="134">
                        <c:v>87.638173681815076</c:v>
                      </c:pt>
                      <c:pt idx="135">
                        <c:v>87.617754068782773</c:v>
                      </c:pt>
                      <c:pt idx="136">
                        <c:v>87.597548965253225</c:v>
                      </c:pt>
                      <c:pt idx="137">
                        <c:v>87.577502216180818</c:v>
                      </c:pt>
                      <c:pt idx="138">
                        <c:v>87.557559540836479</c:v>
                      </c:pt>
                      <c:pt idx="139">
                        <c:v>87.537668417199683</c:v>
                      </c:pt>
                      <c:pt idx="140">
                        <c:v>87.517777975517362</c:v>
                      </c:pt>
                      <c:pt idx="141">
                        <c:v>87.497838899541222</c:v>
                      </c:pt>
                      <c:pt idx="142">
                        <c:v>87.477803333798363</c:v>
                      </c:pt>
                      <c:pt idx="143">
                        <c:v>87.457624795063666</c:v>
                      </c:pt>
                      <c:pt idx="144">
                        <c:v>87.437258085985633</c:v>
                      </c:pt>
                      <c:pt idx="145">
                        <c:v>87.416659208577272</c:v>
                      </c:pt>
                      <c:pt idx="146">
                        <c:v>87.395785275017971</c:v>
                      </c:pt>
                      <c:pt idx="147">
                        <c:v>87.374594412930492</c:v>
                      </c:pt>
                      <c:pt idx="148">
                        <c:v>87.364889316035942</c:v>
                      </c:pt>
                      <c:pt idx="149">
                        <c:v>87.30601491630766</c:v>
                      </c:pt>
                      <c:pt idx="150">
                        <c:v>87.24372009945094</c:v>
                      </c:pt>
                      <c:pt idx="151">
                        <c:v>87.177271206226777</c:v>
                      </c:pt>
                      <c:pt idx="152">
                        <c:v>87.105916855752469</c:v>
                      </c:pt>
                      <c:pt idx="153">
                        <c:v>87.028841636557971</c:v>
                      </c:pt>
                      <c:pt idx="154">
                        <c:v>86.945103497753934</c:v>
                      </c:pt>
                      <c:pt idx="155">
                        <c:v>86.853556185300732</c:v>
                      </c:pt>
                      <c:pt idx="156">
                        <c:v>86.75276452534726</c:v>
                      </c:pt>
                      <c:pt idx="157">
                        <c:v>86.640929669148107</c:v>
                      </c:pt>
                      <c:pt idx="158">
                        <c:v>86.51585175495066</c:v>
                      </c:pt>
                      <c:pt idx="159">
                        <c:v>86.374963917759757</c:v>
                      </c:pt>
                      <c:pt idx="160">
                        <c:v>86.215466069306927</c:v>
                      </c:pt>
                      <c:pt idx="161">
                        <c:v>86.034561318231709</c:v>
                      </c:pt>
                      <c:pt idx="162">
                        <c:v>85.829752924154974</c:v>
                      </c:pt>
                      <c:pt idx="163">
                        <c:v>85.599115170061907</c:v>
                      </c:pt>
                      <c:pt idx="164">
                        <c:v>85.371183285842392</c:v>
                      </c:pt>
                      <c:pt idx="165">
                        <c:v>84.937659707249281</c:v>
                      </c:pt>
                      <c:pt idx="166">
                        <c:v>84.443130026991682</c:v>
                      </c:pt>
                      <c:pt idx="167">
                        <c:v>83.890473207290739</c:v>
                      </c:pt>
                      <c:pt idx="168">
                        <c:v>83.282765430303002</c:v>
                      </c:pt>
                      <c:pt idx="169">
                        <c:v>82.621548708978139</c:v>
                      </c:pt>
                      <c:pt idx="170">
                        <c:v>81.908953797535133</c:v>
                      </c:pt>
                      <c:pt idx="171">
                        <c:v>81.150373561331236</c:v>
                      </c:pt>
                      <c:pt idx="172">
                        <c:v>80.35220081573938</c:v>
                      </c:pt>
                      <c:pt idx="173">
                        <c:v>79.518615247582687</c:v>
                      </c:pt>
                      <c:pt idx="174">
                        <c:v>78.654639374959686</c:v>
                      </c:pt>
                      <c:pt idx="175">
                        <c:v>77.765367731219669</c:v>
                      </c:pt>
                      <c:pt idx="176">
                        <c:v>76.854531201794998</c:v>
                      </c:pt>
                      <c:pt idx="177">
                        <c:v>75.926101838892862</c:v>
                      </c:pt>
                      <c:pt idx="178">
                        <c:v>74.983106625483742</c:v>
                      </c:pt>
                      <c:pt idx="179">
                        <c:v>73.702860750320113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E8D-439D-8A11-4718DCC62FF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FRES!$AV$4</c15:sqref>
                        </c15:formulaRef>
                      </c:ext>
                    </c:extLst>
                    <c:strCache>
                      <c:ptCount val="1"/>
                      <c:pt idx="0">
                        <c:v>Phase1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FRES!$AV$5:$AV$184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119.40724135691123</c:v>
                      </c:pt>
                      <c:pt idx="1">
                        <c:v>119.3703797973487</c:v>
                      </c:pt>
                      <c:pt idx="2">
                        <c:v>119.33101694498421</c:v>
                      </c:pt>
                      <c:pt idx="3">
                        <c:v>119.28894428278338</c:v>
                      </c:pt>
                      <c:pt idx="4">
                        <c:v>119.24392920984778</c:v>
                      </c:pt>
                      <c:pt idx="5">
                        <c:v>119.19571129667303</c:v>
                      </c:pt>
                      <c:pt idx="6">
                        <c:v>119.14399785900983</c:v>
                      </c:pt>
                      <c:pt idx="7">
                        <c:v>119.08845872329285</c:v>
                      </c:pt>
                      <c:pt idx="8">
                        <c:v>119.0287200370652</c:v>
                      </c:pt>
                      <c:pt idx="9">
                        <c:v>118.96435695889488</c:v>
                      </c:pt>
                      <c:pt idx="10">
                        <c:v>118.8948850472226</c:v>
                      </c:pt>
                      <c:pt idx="11">
                        <c:v>118.81975016238935</c:v>
                      </c:pt>
                      <c:pt idx="12">
                        <c:v>118.73831671128944</c:v>
                      </c:pt>
                      <c:pt idx="13">
                        <c:v>118.69501383543623</c:v>
                      </c:pt>
                      <c:pt idx="14">
                        <c:v>118.64985411765537</c:v>
                      </c:pt>
                      <c:pt idx="15">
                        <c:v>118.6027288837597</c:v>
                      </c:pt>
                      <c:pt idx="16">
                        <c:v>118.55352152286983</c:v>
                      </c:pt>
                      <c:pt idx="17">
                        <c:v>118.50210693321571</c:v>
                      </c:pt>
                      <c:pt idx="18">
                        <c:v>118.44835096124478</c:v>
                      </c:pt>
                      <c:pt idx="19">
                        <c:v>118.39210984625673</c:v>
                      </c:pt>
                      <c:pt idx="20">
                        <c:v>118.3332296873732</c:v>
                      </c:pt>
                      <c:pt idx="21">
                        <c:v>118.27154595548565</c:v>
                      </c:pt>
                      <c:pt idx="22">
                        <c:v>118.20688308016963</c:v>
                      </c:pt>
                      <c:pt idx="23">
                        <c:v>118.13905415068969</c:v>
                      </c:pt>
                      <c:pt idx="24">
                        <c:v>118.0678607814321</c:v>
                      </c:pt>
                      <c:pt idx="25">
                        <c:v>117.99309320564679</c:v>
                      </c:pt>
                      <c:pt idx="26">
                        <c:v>117.91453067742066</c:v>
                      </c:pt>
                      <c:pt idx="27">
                        <c:v>117.83194228033182</c:v>
                      </c:pt>
                      <c:pt idx="28">
                        <c:v>117.74508826192471</c:v>
                      </c:pt>
                      <c:pt idx="29">
                        <c:v>117.65372203517954</c:v>
                      </c:pt>
                      <c:pt idx="30">
                        <c:v>117.55759300995496</c:v>
                      </c:pt>
                      <c:pt idx="31">
                        <c:v>117.45645043631846</c:v>
                      </c:pt>
                      <c:pt idx="32">
                        <c:v>117.35004845367735</c:v>
                      </c:pt>
                      <c:pt idx="33">
                        <c:v>117.23815253883933</c:v>
                      </c:pt>
                      <c:pt idx="34">
                        <c:v>117.12054752472058</c:v>
                      </c:pt>
                      <c:pt idx="35">
                        <c:v>116.99704730963872</c:v>
                      </c:pt>
                      <c:pt idx="36">
                        <c:v>116.86750628403436</c:v>
                      </c:pt>
                      <c:pt idx="37">
                        <c:v>116.7318323565966</c:v>
                      </c:pt>
                      <c:pt idx="38">
                        <c:v>116.59000125811332</c:v>
                      </c:pt>
                      <c:pt idx="39">
                        <c:v>116.44207153984489</c:v>
                      </c:pt>
                      <c:pt idx="40">
                        <c:v>116.28819937821834</c:v>
                      </c:pt>
                      <c:pt idx="41">
                        <c:v>116.12865198250627</c:v>
                      </c:pt>
                      <c:pt idx="42">
                        <c:v>115.96381813215946</c:v>
                      </c:pt>
                      <c:pt idx="43">
                        <c:v>115.79421422003047</c:v>
                      </c:pt>
                      <c:pt idx="44">
                        <c:v>115.62048422866967</c:v>
                      </c:pt>
                      <c:pt idx="45">
                        <c:v>115.44339238660221</c:v>
                      </c:pt>
                      <c:pt idx="46">
                        <c:v>115.26380786454455</c:v>
                      </c:pt>
                      <c:pt idx="47">
                        <c:v>115.08268173371486</c:v>
                      </c:pt>
                      <c:pt idx="48">
                        <c:v>114.90101739666702</c:v>
                      </c:pt>
                      <c:pt idx="49">
                        <c:v>114.7198366302146</c:v>
                      </c:pt>
                      <c:pt idx="50">
                        <c:v>114.54014404787503</c:v>
                      </c:pt>
                      <c:pt idx="51">
                        <c:v>114.36289303773896</c:v>
                      </c:pt>
                      <c:pt idx="52">
                        <c:v>114.18895599957914</c:v>
                      </c:pt>
                      <c:pt idx="53">
                        <c:v>114.01910104953834</c:v>
                      </c:pt>
                      <c:pt idx="54">
                        <c:v>113.8539764373763</c:v>
                      </c:pt>
                      <c:pt idx="55">
                        <c:v>113.69410293167256</c:v>
                      </c:pt>
                      <c:pt idx="56">
                        <c:v>113.5398735592801</c:v>
                      </c:pt>
                      <c:pt idx="57">
                        <c:v>113.39155946239835</c:v>
                      </c:pt>
                      <c:pt idx="58">
                        <c:v>113.24932030676713</c:v>
                      </c:pt>
                      <c:pt idx="59">
                        <c:v>113.11321761514358</c:v>
                      </c:pt>
                      <c:pt idx="60">
                        <c:v>112.98322954500681</c:v>
                      </c:pt>
                      <c:pt idx="61">
                        <c:v>112.85926589660346</c:v>
                      </c:pt>
                      <c:pt idx="62">
                        <c:v>112.74118245206576</c:v>
                      </c:pt>
                      <c:pt idx="63">
                        <c:v>112.62879405236976</c:v>
                      </c:pt>
                      <c:pt idx="64">
                        <c:v>112.52188608227821</c:v>
                      </c:pt>
                      <c:pt idx="65">
                        <c:v>112.42022423915706</c:v>
                      </c:pt>
                      <c:pt idx="66">
                        <c:v>112.32356260838608</c:v>
                      </c:pt>
                      <c:pt idx="67">
                        <c:v>112.23165016281385</c:v>
                      </c:pt>
                      <c:pt idx="68">
                        <c:v>112.14423585674032</c:v>
                      </c:pt>
                      <c:pt idx="69">
                        <c:v>112.0610725072046</c:v>
                      </c:pt>
                      <c:pt idx="70">
                        <c:v>111.98191965671454</c:v>
                      </c:pt>
                      <c:pt idx="71">
                        <c:v>111.90654559989144</c:v>
                      </c:pt>
                      <c:pt idx="72">
                        <c:v>111.83472873773148</c:v>
                      </c:pt>
                      <c:pt idx="73">
                        <c:v>111.76625840142729</c:v>
                      </c:pt>
                      <c:pt idx="74">
                        <c:v>111.70093526563673</c:v>
                      </c:pt>
                      <c:pt idx="75">
                        <c:v>111.63857145032917</c:v>
                      </c:pt>
                      <c:pt idx="76">
                        <c:v>111.57899039173047</c:v>
                      </c:pt>
                      <c:pt idx="77">
                        <c:v>111.5220265467569</c:v>
                      </c:pt>
                      <c:pt idx="78">
                        <c:v>111.4675249816995</c:v>
                      </c:pt>
                      <c:pt idx="79">
                        <c:v>111.41534088462878</c:v>
                      </c:pt>
                      <c:pt idx="80">
                        <c:v>111.36533903178626</c:v>
                      </c:pt>
                      <c:pt idx="81">
                        <c:v>111.31739323082522</c:v>
                      </c:pt>
                      <c:pt idx="82">
                        <c:v>111.27138575787966</c:v>
                      </c:pt>
                      <c:pt idx="83">
                        <c:v>111.22720680081207</c:v>
                      </c:pt>
                      <c:pt idx="84">
                        <c:v>111.18475391738735</c:v>
                      </c:pt>
                      <c:pt idx="85">
                        <c:v>111.14393151434271</c:v>
                      </c:pt>
                      <c:pt idx="86">
                        <c:v>111.10465035120453</c:v>
                      </c:pt>
                      <c:pt idx="87">
                        <c:v>111.06682707110451</c:v>
                      </c:pt>
                      <c:pt idx="88">
                        <c:v>111.03038375965812</c:v>
                      </c:pt>
                      <c:pt idx="89">
                        <c:v>110.9952475320959</c:v>
                      </c:pt>
                      <c:pt idx="90">
                        <c:v>110.96135014821259</c:v>
                      </c:pt>
                      <c:pt idx="91">
                        <c:v>110.92862765426072</c:v>
                      </c:pt>
                      <c:pt idx="92">
                        <c:v>110.89702005062165</c:v>
                      </c:pt>
                      <c:pt idx="93">
                        <c:v>110.86647098389994</c:v>
                      </c:pt>
                      <c:pt idx="94">
                        <c:v>110.83692746198197</c:v>
                      </c:pt>
                      <c:pt idx="95">
                        <c:v>110.80833959055225</c:v>
                      </c:pt>
                      <c:pt idx="96">
                        <c:v>110.78066032955888</c:v>
                      </c:pt>
                      <c:pt idx="97">
                        <c:v>110.75384526814481</c:v>
                      </c:pt>
                      <c:pt idx="98">
                        <c:v>110.7278524166105</c:v>
                      </c:pt>
                      <c:pt idx="99">
                        <c:v>110.70264201403478</c:v>
                      </c:pt>
                      <c:pt idx="100">
                        <c:v>110.67817635025025</c:v>
                      </c:pt>
                      <c:pt idx="101">
                        <c:v>110.65441960094394</c:v>
                      </c:pt>
                      <c:pt idx="102">
                        <c:v>110.63133767472944</c:v>
                      </c:pt>
                      <c:pt idx="103">
                        <c:v>110.60889807111155</c:v>
                      </c:pt>
                      <c:pt idx="104">
                        <c:v>110.58706974833758</c:v>
                      </c:pt>
                      <c:pt idx="105">
                        <c:v>110.56582300019872</c:v>
                      </c:pt>
                      <c:pt idx="106">
                        <c:v>110.54512934091153</c:v>
                      </c:pt>
                      <c:pt idx="107">
                        <c:v>110.52496139727097</c:v>
                      </c:pt>
                      <c:pt idx="108">
                        <c:v>110.50529280732484</c:v>
                      </c:pt>
                      <c:pt idx="109">
                        <c:v>110.48609812487261</c:v>
                      </c:pt>
                      <c:pt idx="110">
                        <c:v>110.46735272914121</c:v>
                      </c:pt>
                      <c:pt idx="111">
                        <c:v>110.44903273903618</c:v>
                      </c:pt>
                      <c:pt idx="112">
                        <c:v>110.43111493140805</c:v>
                      </c:pt>
                      <c:pt idx="113">
                        <c:v>110.41357666281247</c:v>
                      </c:pt>
                      <c:pt idx="114">
                        <c:v>110.39639579427795</c:v>
                      </c:pt>
                      <c:pt idx="115">
                        <c:v>110.37955061862712</c:v>
                      </c:pt>
                      <c:pt idx="116">
                        <c:v>110.36301978992826</c:v>
                      </c:pt>
                      <c:pt idx="117">
                        <c:v>110.34678225468041</c:v>
                      </c:pt>
                      <c:pt idx="118">
                        <c:v>110.33081718436293</c:v>
                      </c:pt>
                      <c:pt idx="119">
                        <c:v>110.31510390900357</c:v>
                      </c:pt>
                      <c:pt idx="120">
                        <c:v>110.29962185144373</c:v>
                      </c:pt>
                      <c:pt idx="121">
                        <c:v>110.28435046200217</c:v>
                      </c:pt>
                      <c:pt idx="122">
                        <c:v>110.26926915326077</c:v>
                      </c:pt>
                      <c:pt idx="123">
                        <c:v>110.25435723471966</c:v>
                      </c:pt>
                      <c:pt idx="124">
                        <c:v>110.2395938470918</c:v>
                      </c:pt>
                      <c:pt idx="125">
                        <c:v>110.22495789603204</c:v>
                      </c:pt>
                      <c:pt idx="126">
                        <c:v>110.21042798512231</c:v>
                      </c:pt>
                      <c:pt idx="127">
                        <c:v>110.19598234796256</c:v>
                      </c:pt>
                      <c:pt idx="128">
                        <c:v>110.18159877924889</c:v>
                      </c:pt>
                      <c:pt idx="129">
                        <c:v>110.16725456475456</c:v>
                      </c:pt>
                      <c:pt idx="130">
                        <c:v>110.1529264101688</c:v>
                      </c:pt>
                      <c:pt idx="131">
                        <c:v>110.13859036879164</c:v>
                      </c:pt>
                      <c:pt idx="132">
                        <c:v>110.12422176813251</c:v>
                      </c:pt>
                      <c:pt idx="133">
                        <c:v>110.10979513551575</c:v>
                      </c:pt>
                      <c:pt idx="134">
                        <c:v>110.09528412285935</c:v>
                      </c:pt>
                      <c:pt idx="135">
                        <c:v>110.08066143086474</c:v>
                      </c:pt>
                      <c:pt idx="136">
                        <c:v>110.06589873293564</c:v>
                      </c:pt>
                      <c:pt idx="137">
                        <c:v>110.05096659923524</c:v>
                      </c:pt>
                      <c:pt idx="138">
                        <c:v>110.0358344213937</c:v>
                      </c:pt>
                      <c:pt idx="139">
                        <c:v>110.0204703384925</c:v>
                      </c:pt>
                      <c:pt idx="140">
                        <c:v>110.00484116508174</c:v>
                      </c:pt>
                      <c:pt idx="141">
                        <c:v>109.98891232213057</c:v>
                      </c:pt>
                      <c:pt idx="142">
                        <c:v>109.97264777197103</c:v>
                      </c:pt>
                      <c:pt idx="143">
                        <c:v>109.95600995847389</c:v>
                      </c:pt>
                      <c:pt idx="144">
                        <c:v>109.93895975389225</c:v>
                      </c:pt>
                      <c:pt idx="145">
                        <c:v>109.92145641402414</c:v>
                      </c:pt>
                      <c:pt idx="146">
                        <c:v>109.903457543584</c:v>
                      </c:pt>
                      <c:pt idx="147">
                        <c:v>109.88491907393079</c:v>
                      </c:pt>
                      <c:pt idx="148">
                        <c:v>109.87633993280403</c:v>
                      </c:pt>
                      <c:pt idx="149">
                        <c:v>109.82311582278025</c:v>
                      </c:pt>
                      <c:pt idx="150">
                        <c:v>109.76463394516611</c:v>
                      </c:pt>
                      <c:pt idx="151">
                        <c:v>109.69988240547306</c:v>
                      </c:pt>
                      <c:pt idx="152">
                        <c:v>109.62779642817728</c:v>
                      </c:pt>
                      <c:pt idx="153">
                        <c:v>109.54729567014795</c:v>
                      </c:pt>
                      <c:pt idx="154">
                        <c:v>109.45734329133961</c:v>
                      </c:pt>
                      <c:pt idx="155">
                        <c:v>109.35703215419551</c:v>
                      </c:pt>
                      <c:pt idx="156">
                        <c:v>109.24570210736795</c:v>
                      </c:pt>
                      <c:pt idx="157">
                        <c:v>109.1230881007029</c:v>
                      </c:pt>
                      <c:pt idx="158">
                        <c:v>108.98949013716184</c:v>
                      </c:pt>
                      <c:pt idx="159">
                        <c:v>108.8459412210409</c:v>
                      </c:pt>
                      <c:pt idx="160">
                        <c:v>108.69432862474353</c:v>
                      </c:pt>
                      <c:pt idx="161">
                        <c:v>108.5374013288853</c:v>
                      </c:pt>
                      <c:pt idx="162">
                        <c:v>108.37858366227559</c:v>
                      </c:pt>
                      <c:pt idx="163">
                        <c:v>108.22153046062597</c:v>
                      </c:pt>
                      <c:pt idx="164">
                        <c:v>108.08586793368625</c:v>
                      </c:pt>
                      <c:pt idx="165">
                        <c:v>107.86938249076208</c:v>
                      </c:pt>
                      <c:pt idx="166">
                        <c:v>107.66601054091493</c:v>
                      </c:pt>
                      <c:pt idx="167">
                        <c:v>107.46574946791641</c:v>
                      </c:pt>
                      <c:pt idx="168">
                        <c:v>107.26093530982936</c:v>
                      </c:pt>
                      <c:pt idx="169">
                        <c:v>107.05857719257651</c:v>
                      </c:pt>
                      <c:pt idx="170">
                        <c:v>106.8732430006451</c:v>
                      </c:pt>
                      <c:pt idx="171">
                        <c:v>106.70326348664213</c:v>
                      </c:pt>
                      <c:pt idx="172">
                        <c:v>106.53788787434853</c:v>
                      </c:pt>
                      <c:pt idx="173">
                        <c:v>106.38629053939042</c:v>
                      </c:pt>
                      <c:pt idx="174">
                        <c:v>106.24911407902655</c:v>
                      </c:pt>
                      <c:pt idx="175">
                        <c:v>106.12040734459657</c:v>
                      </c:pt>
                      <c:pt idx="176">
                        <c:v>106.00588710621582</c:v>
                      </c:pt>
                      <c:pt idx="177">
                        <c:v>105.90044340332327</c:v>
                      </c:pt>
                      <c:pt idx="178">
                        <c:v>105.80546539624112</c:v>
                      </c:pt>
                      <c:pt idx="179">
                        <c:v>105.69317599536738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E8D-439D-8A11-4718DCC62FF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FRES!$AX$4</c15:sqref>
                        </c15:formulaRef>
                      </c:ext>
                    </c:extLst>
                    <c:strCache>
                      <c:ptCount val="1"/>
                      <c:pt idx="0">
                        <c:v>Phase3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FRES!$AX$5:$AX$184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119.84807033432885</c:v>
                      </c:pt>
                      <c:pt idx="1">
                        <c:v>119.83889314163783</c:v>
                      </c:pt>
                      <c:pt idx="2">
                        <c:v>119.8291428995112</c:v>
                      </c:pt>
                      <c:pt idx="3">
                        <c:v>119.81878026024847</c:v>
                      </c:pt>
                      <c:pt idx="4">
                        <c:v>119.80776250538911</c:v>
                      </c:pt>
                      <c:pt idx="5">
                        <c:v>119.79604313876747</c:v>
                      </c:pt>
                      <c:pt idx="6">
                        <c:v>119.78357141235084</c:v>
                      </c:pt>
                      <c:pt idx="7">
                        <c:v>119.77029177134322</c:v>
                      </c:pt>
                      <c:pt idx="8">
                        <c:v>119.75614320193947</c:v>
                      </c:pt>
                      <c:pt idx="9">
                        <c:v>119.74105846121675</c:v>
                      </c:pt>
                      <c:pt idx="10">
                        <c:v>119.72496316372147</c:v>
                      </c:pt>
                      <c:pt idx="11">
                        <c:v>119.70777469303914</c:v>
                      </c:pt>
                      <c:pt idx="12">
                        <c:v>119.68940089861073</c:v>
                      </c:pt>
                      <c:pt idx="13">
                        <c:v>119.67973772147714</c:v>
                      </c:pt>
                      <c:pt idx="14">
                        <c:v>119.66973852772355</c:v>
                      </c:pt>
                      <c:pt idx="15">
                        <c:v>119.6593883651943</c:v>
                      </c:pt>
                      <c:pt idx="16">
                        <c:v>119.6486713292046</c:v>
                      </c:pt>
                      <c:pt idx="17">
                        <c:v>119.63757047942141</c:v>
                      </c:pt>
                      <c:pt idx="18">
                        <c:v>119.62606774784373</c:v>
                      </c:pt>
                      <c:pt idx="19">
                        <c:v>119.61414383677852</c:v>
                      </c:pt>
                      <c:pt idx="20">
                        <c:v>119.60177810555379</c:v>
                      </c:pt>
                      <c:pt idx="21">
                        <c:v>119.58894844452874</c:v>
                      </c:pt>
                      <c:pt idx="22">
                        <c:v>119.57563113475254</c:v>
                      </c:pt>
                      <c:pt idx="23">
                        <c:v>119.56180069137895</c:v>
                      </c:pt>
                      <c:pt idx="24">
                        <c:v>119.54742968865955</c:v>
                      </c:pt>
                      <c:pt idx="25">
                        <c:v>119.53248856400623</c:v>
                      </c:pt>
                      <c:pt idx="26">
                        <c:v>119.51694539822398</c:v>
                      </c:pt>
                      <c:pt idx="27">
                        <c:v>119.50076566855763</c:v>
                      </c:pt>
                      <c:pt idx="28">
                        <c:v>119.48391197065777</c:v>
                      </c:pt>
                      <c:pt idx="29">
                        <c:v>119.46634370493661</c:v>
                      </c:pt>
                      <c:pt idx="30">
                        <c:v>119.44801672203303</c:v>
                      </c:pt>
                      <c:pt idx="31">
                        <c:v>119.42888292121731</c:v>
                      </c:pt>
                      <c:pt idx="32">
                        <c:v>119.4088897945085</c:v>
                      </c:pt>
                      <c:pt idx="33">
                        <c:v>119.38797990802053</c:v>
                      </c:pt>
                      <c:pt idx="34">
                        <c:v>119.36609031055283</c:v>
                      </c:pt>
                      <c:pt idx="35">
                        <c:v>119.34315185764807</c:v>
                      </c:pt>
                      <c:pt idx="36">
                        <c:v>119.31908843719272</c:v>
                      </c:pt>
                      <c:pt idx="37">
                        <c:v>119.29381608006173</c:v>
                      </c:pt>
                      <c:pt idx="38">
                        <c:v>119.26724193621368</c:v>
                      </c:pt>
                      <c:pt idx="39">
                        <c:v>119.23926309292445</c:v>
                      </c:pt>
                      <c:pt idx="40">
                        <c:v>119.20976520736993</c:v>
                      </c:pt>
                      <c:pt idx="41">
                        <c:v>119.17862092038202</c:v>
                      </c:pt>
                      <c:pt idx="42">
                        <c:v>119.14568801172351</c:v>
                      </c:pt>
                      <c:pt idx="43">
                        <c:v>119.11080724945097</c:v>
                      </c:pt>
                      <c:pt idx="44">
                        <c:v>119.07379987662917</c:v>
                      </c:pt>
                      <c:pt idx="45">
                        <c:v>119.03446466758423</c:v>
                      </c:pt>
                      <c:pt idx="46">
                        <c:v>118.99257447280606</c:v>
                      </c:pt>
                      <c:pt idx="47">
                        <c:v>118.94787215636151</c:v>
                      </c:pt>
                      <c:pt idx="48">
                        <c:v>118.90006581223763</c:v>
                      </c:pt>
                      <c:pt idx="49">
                        <c:v>118.84882312667187</c:v>
                      </c:pt>
                      <c:pt idx="50">
                        <c:v>118.79376473309276</c:v>
                      </c:pt>
                      <c:pt idx="51">
                        <c:v>118.73445638665336</c:v>
                      </c:pt>
                      <c:pt idx="52">
                        <c:v>118.67039977014579</c:v>
                      </c:pt>
                      <c:pt idx="53">
                        <c:v>118.60102173902644</c:v>
                      </c:pt>
                      <c:pt idx="54">
                        <c:v>118.525661832152</c:v>
                      </c:pt>
                      <c:pt idx="55">
                        <c:v>118.44355793679465</c:v>
                      </c:pt>
                      <c:pt idx="56">
                        <c:v>118.353830135268</c:v>
                      </c:pt>
                      <c:pt idx="57">
                        <c:v>118.25546303102026</c:v>
                      </c:pt>
                      <c:pt idx="58">
                        <c:v>118.14728734156395</c:v>
                      </c:pt>
                      <c:pt idx="59">
                        <c:v>118.02796238755872</c:v>
                      </c:pt>
                      <c:pt idx="60">
                        <c:v>117.89596249500609</c:v>
                      </c:pt>
                      <c:pt idx="61">
                        <c:v>117.74957251600543</c:v>
                      </c:pt>
                      <c:pt idx="62">
                        <c:v>117.58690094173031</c:v>
                      </c:pt>
                      <c:pt idx="63">
                        <c:v>117.40592359127362</c:v>
                      </c:pt>
                      <c:pt idx="64">
                        <c:v>117.20457630165809</c:v>
                      </c:pt>
                      <c:pt idx="65">
                        <c:v>116.98091991630233</c:v>
                      </c:pt>
                      <c:pt idx="66">
                        <c:v>116.73340134893002</c:v>
                      </c:pt>
                      <c:pt idx="67">
                        <c:v>116.46122339563792</c:v>
                      </c:pt>
                      <c:pt idx="68">
                        <c:v>116.16480360893142</c:v>
                      </c:pt>
                      <c:pt idx="69">
                        <c:v>115.84624323150042</c:v>
                      </c:pt>
                      <c:pt idx="70">
                        <c:v>115.50965363794839</c:v>
                      </c:pt>
                      <c:pt idx="71">
                        <c:v>115.1611454060302</c:v>
                      </c:pt>
                      <c:pt idx="72">
                        <c:v>114.80833981018705</c:v>
                      </c:pt>
                      <c:pt idx="73">
                        <c:v>114.45943946318597</c:v>
                      </c:pt>
                      <c:pt idx="74">
                        <c:v>114.12211262746918</c:v>
                      </c:pt>
                      <c:pt idx="75">
                        <c:v>113.80254911447508</c:v>
                      </c:pt>
                      <c:pt idx="76">
                        <c:v>113.50495025298889</c:v>
                      </c:pt>
                      <c:pt idx="77">
                        <c:v>113.23149927205695</c:v>
                      </c:pt>
                      <c:pt idx="78">
                        <c:v>112.98267718663647</c:v>
                      </c:pt>
                      <c:pt idx="79">
                        <c:v>112.75772922106239</c:v>
                      </c:pt>
                      <c:pt idx="80">
                        <c:v>112.55512627856262</c:v>
                      </c:pt>
                      <c:pt idx="81">
                        <c:v>112.37293935792876</c:v>
                      </c:pt>
                      <c:pt idx="82">
                        <c:v>112.20910521609605</c:v>
                      </c:pt>
                      <c:pt idx="83">
                        <c:v>112.06159505670601</c:v>
                      </c:pt>
                      <c:pt idx="84">
                        <c:v>111.92850984528167</c:v>
                      </c:pt>
                      <c:pt idx="85">
                        <c:v>111.80812569932206</c:v>
                      </c:pt>
                      <c:pt idx="86">
                        <c:v>111.69890801935796</c:v>
                      </c:pt>
                      <c:pt idx="87">
                        <c:v>111.59950756665833</c:v>
                      </c:pt>
                      <c:pt idx="88">
                        <c:v>111.50874713099729</c:v>
                      </c:pt>
                      <c:pt idx="89">
                        <c:v>111.42560411141982</c:v>
                      </c:pt>
                      <c:pt idx="90">
                        <c:v>111.34919210325762</c:v>
                      </c:pt>
                      <c:pt idx="91">
                        <c:v>111.27874316794183</c:v>
                      </c:pt>
                      <c:pt idx="92">
                        <c:v>111.21359160101343</c:v>
                      </c:pt>
                      <c:pt idx="93">
                        <c:v>111.15315951208272</c:v>
                      </c:pt>
                      <c:pt idx="94">
                        <c:v>111.09694425255179</c:v>
                      </c:pt>
                      <c:pt idx="95">
                        <c:v>111.044507583761</c:v>
                      </c:pt>
                      <c:pt idx="96">
                        <c:v>110.99546641373901</c:v>
                      </c:pt>
                      <c:pt idx="97">
                        <c:v>110.94948491048822</c:v>
                      </c:pt>
                      <c:pt idx="98">
                        <c:v>110.90626780308995</c:v>
                      </c:pt>
                      <c:pt idx="99">
                        <c:v>110.86555469678899</c:v>
                      </c:pt>
                      <c:pt idx="100">
                        <c:v>110.82711524775554</c:v>
                      </c:pt>
                      <c:pt idx="101">
                        <c:v>110.7907450636669</c:v>
                      </c:pt>
                      <c:pt idx="102">
                        <c:v>110.7562622156801</c:v>
                      </c:pt>
                      <c:pt idx="103">
                        <c:v>110.72350426489839</c:v>
                      </c:pt>
                      <c:pt idx="104">
                        <c:v>110.69232572177627</c:v>
                      </c:pt>
                      <c:pt idx="105">
                        <c:v>110.66259587007232</c:v>
                      </c:pt>
                      <c:pt idx="106">
                        <c:v>110.63419689811546</c:v>
                      </c:pt>
                      <c:pt idx="107">
                        <c:v>110.6070222895228</c:v>
                      </c:pt>
                      <c:pt idx="108">
                        <c:v>110.58097543334318</c:v>
                      </c:pt>
                      <c:pt idx="109">
                        <c:v>110.55596842012667</c:v>
                      </c:pt>
                      <c:pt idx="110">
                        <c:v>110.53192099584724</c:v>
                      </c:pt>
                      <c:pt idx="111">
                        <c:v>110.50875965011531</c:v>
                      </c:pt>
                      <c:pt idx="112">
                        <c:v>110.4864168188633</c:v>
                      </c:pt>
                      <c:pt idx="113">
                        <c:v>110.46483018480296</c:v>
                      </c:pt>
                      <c:pt idx="114">
                        <c:v>110.44394206154543</c:v>
                      </c:pt>
                      <c:pt idx="115">
                        <c:v>110.42369884943766</c:v>
                      </c:pt>
                      <c:pt idx="116">
                        <c:v>110.40405055297268</c:v>
                      </c:pt>
                      <c:pt idx="117">
                        <c:v>110.38495035114261</c:v>
                      </c:pt>
                      <c:pt idx="118">
                        <c:v>110.36635421336902</c:v>
                      </c:pt>
                      <c:pt idx="119">
                        <c:v>110.34822055471098</c:v>
                      </c:pt>
                      <c:pt idx="120">
                        <c:v>110.33050992494813</c:v>
                      </c:pt>
                      <c:pt idx="121">
                        <c:v>110.31318472689547</c:v>
                      </c:pt>
                      <c:pt idx="122">
                        <c:v>110.29620895995002</c:v>
                      </c:pt>
                      <c:pt idx="123">
                        <c:v>110.27954798541808</c:v>
                      </c:pt>
                      <c:pt idx="124">
                        <c:v>110.26316831064021</c:v>
                      </c:pt>
                      <c:pt idx="125">
                        <c:v>110.24703738933401</c:v>
                      </c:pt>
                      <c:pt idx="126">
                        <c:v>110.23112343592301</c:v>
                      </c:pt>
                      <c:pt idx="127">
                        <c:v>110.21539525192337</c:v>
                      </c:pt>
                      <c:pt idx="128">
                        <c:v>110.19982206272543</c:v>
                      </c:pt>
                      <c:pt idx="129">
                        <c:v>110.18437336334404</c:v>
                      </c:pt>
                      <c:pt idx="130">
                        <c:v>110.16901877192201</c:v>
                      </c:pt>
                      <c:pt idx="131">
                        <c:v>110.15372788996393</c:v>
                      </c:pt>
                      <c:pt idx="132">
                        <c:v>110.13847016845448</c:v>
                      </c:pt>
                      <c:pt idx="133">
                        <c:v>110.12321477918162</c:v>
                      </c:pt>
                      <c:pt idx="134">
                        <c:v>110.10793049074391</c:v>
                      </c:pt>
                      <c:pt idx="135">
                        <c:v>110.09258554887511</c:v>
                      </c:pt>
                      <c:pt idx="136">
                        <c:v>110.07714756087226</c:v>
                      </c:pt>
                      <c:pt idx="137">
                        <c:v>110.06158338406671</c:v>
                      </c:pt>
                      <c:pt idx="138">
                        <c:v>110.04585901843497</c:v>
                      </c:pt>
                      <c:pt idx="139">
                        <c:v>110.02993950360897</c:v>
                      </c:pt>
                      <c:pt idx="140">
                        <c:v>110.01378882071614</c:v>
                      </c:pt>
                      <c:pt idx="141">
                        <c:v>109.9973697996604</c:v>
                      </c:pt>
                      <c:pt idx="142">
                        <c:v>109.98064403264769</c:v>
                      </c:pt>
                      <c:pt idx="143">
                        <c:v>109.96357179496609</c:v>
                      </c:pt>
                      <c:pt idx="144">
                        <c:v>109.94611197425222</c:v>
                      </c:pt>
                      <c:pt idx="145">
                        <c:v>109.92822200971383</c:v>
                      </c:pt>
                      <c:pt idx="146">
                        <c:v>109.90985784303602</c:v>
                      </c:pt>
                      <c:pt idx="147">
                        <c:v>109.89097388297334</c:v>
                      </c:pt>
                      <c:pt idx="148">
                        <c:v>109.88224452129239</c:v>
                      </c:pt>
                      <c:pt idx="149">
                        <c:v>109.82820559998873</c:v>
                      </c:pt>
                      <c:pt idx="150">
                        <c:v>109.76901430434927</c:v>
                      </c:pt>
                      <c:pt idx="151">
                        <c:v>109.70364157417825</c:v>
                      </c:pt>
                      <c:pt idx="152">
                        <c:v>109.63100910850129</c:v>
                      </c:pt>
                      <c:pt idx="153">
                        <c:v>109.55002595075719</c:v>
                      </c:pt>
                      <c:pt idx="154">
                        <c:v>109.45964698858073</c:v>
                      </c:pt>
                      <c:pt idx="155">
                        <c:v>109.35895870336331</c:v>
                      </c:pt>
                      <c:pt idx="156">
                        <c:v>109.24729609368981</c:v>
                      </c:pt>
                      <c:pt idx="157">
                        <c:v>109.12439048856096</c:v>
                      </c:pt>
                      <c:pt idx="158">
                        <c:v>108.99053922248659</c:v>
                      </c:pt>
                      <c:pt idx="159">
                        <c:v>108.84677329611756</c:v>
                      </c:pt>
                      <c:pt idx="160">
                        <c:v>108.6949783137887</c:v>
                      </c:pt>
                      <c:pt idx="161">
                        <c:v>108.53790154164847</c:v>
                      </c:pt>
                      <c:pt idx="162">
                        <c:v>108.37896514078183</c:v>
                      </c:pt>
                      <c:pt idx="163">
                        <c:v>108.22182097240153</c:v>
                      </c:pt>
                      <c:pt idx="164">
                        <c:v>108.08609765919648</c:v>
                      </c:pt>
                      <c:pt idx="165">
                        <c:v>107.86954282007363</c:v>
                      </c:pt>
                      <c:pt idx="166">
                        <c:v>107.66612775955383</c:v>
                      </c:pt>
                      <c:pt idx="167">
                        <c:v>107.46583545354139</c:v>
                      </c:pt>
                      <c:pt idx="168">
                        <c:v>107.26099547428075</c:v>
                      </c:pt>
                      <c:pt idx="169">
                        <c:v>107.05861778078983</c:v>
                      </c:pt>
                      <c:pt idx="170">
                        <c:v>106.87327150451129</c:v>
                      </c:pt>
                      <c:pt idx="171">
                        <c:v>106.70328423500891</c:v>
                      </c:pt>
                      <c:pt idx="172">
                        <c:v>106.53790220392645</c:v>
                      </c:pt>
                      <c:pt idx="173">
                        <c:v>106.38630056456994</c:v>
                      </c:pt>
                      <c:pt idx="174">
                        <c:v>106.2491212744887</c:v>
                      </c:pt>
                      <c:pt idx="175">
                        <c:v>106.12041232009614</c:v>
                      </c:pt>
                      <c:pt idx="176">
                        <c:v>106.00589067094633</c:v>
                      </c:pt>
                      <c:pt idx="177">
                        <c:v>105.900445899003</c:v>
                      </c:pt>
                      <c:pt idx="178">
                        <c:v>105.80546715185359</c:v>
                      </c:pt>
                      <c:pt idx="179">
                        <c:v>105.69317709782699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E8D-439D-8A11-4718DCC62FF9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4"/>
          <c:tx>
            <c:strRef>
              <c:f>FRES!$AZ$4</c:f>
              <c:strCache>
                <c:ptCount val="1"/>
                <c:pt idx="0">
                  <c:v>Imp2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FRES!$AZ$5:$AZ$184</c:f>
              <c:numCache>
                <c:formatCode>General</c:formatCode>
                <c:ptCount val="180"/>
                <c:pt idx="0">
                  <c:v>7.2266623178939353</c:v>
                </c:pt>
                <c:pt idx="1">
                  <c:v>7.2300349480247492</c:v>
                </c:pt>
                <c:pt idx="2">
                  <c:v>7.2338492641673922</c:v>
                </c:pt>
                <c:pt idx="3">
                  <c:v>7.2381671138988279</c:v>
                </c:pt>
                <c:pt idx="4">
                  <c:v>7.2430600665139409</c:v>
                </c:pt>
                <c:pt idx="5">
                  <c:v>7.2486112187959515</c:v>
                </c:pt>
                <c:pt idx="6">
                  <c:v>7.2549174070242577</c:v>
                </c:pt>
                <c:pt idx="7">
                  <c:v>7.2620919344919708</c:v>
                </c:pt>
                <c:pt idx="8">
                  <c:v>7.2702679580012921</c:v>
                </c:pt>
                <c:pt idx="9">
                  <c:v>7.279602723205576</c:v>
                </c:pt>
                <c:pt idx="10">
                  <c:v>7.2902829021910591</c:v>
                </c:pt>
                <c:pt idx="11">
                  <c:v>7.3025313744794333</c:v>
                </c:pt>
                <c:pt idx="12">
                  <c:v>7.3166159151676311</c:v>
                </c:pt>
                <c:pt idx="13">
                  <c:v>7.3244453656623936</c:v>
                </c:pt>
                <c:pt idx="14">
                  <c:v>7.3328604267748556</c:v>
                </c:pt>
                <c:pt idx="15">
                  <c:v>7.341912757118763</c:v>
                </c:pt>
                <c:pt idx="16">
                  <c:v>7.3516595979470356</c:v>
                </c:pt>
                <c:pt idx="17">
                  <c:v>7.3621645103506523</c:v>
                </c:pt>
                <c:pt idx="18">
                  <c:v>7.3734982281294306</c:v>
                </c:pt>
                <c:pt idx="19">
                  <c:v>7.3857396473201149</c:v>
                </c:pt>
                <c:pt idx="20">
                  <c:v>7.3989769776875125</c:v>
                </c:pt>
                <c:pt idx="21">
                  <c:v>7.4133090868011449</c:v>
                </c:pt>
                <c:pt idx="22">
                  <c:v>7.4288470738875603</c:v>
                </c:pt>
                <c:pt idx="23">
                  <c:v>7.4457161187908181</c:v>
                </c:pt>
                <c:pt idx="24">
                  <c:v>7.4640576615109051</c:v>
                </c:pt>
                <c:pt idx="25">
                  <c:v>7.4840319804584974</c:v>
                </c:pt>
                <c:pt idx="26">
                  <c:v>7.5058212534644593</c:v>
                </c:pt>
                <c:pt idx="27">
                  <c:v>7.5296332056189375</c:v>
                </c:pt>
                <c:pt idx="28">
                  <c:v>7.5557054733729618</c:v>
                </c:pt>
                <c:pt idx="29">
                  <c:v>7.5843108465634339</c:v>
                </c:pt>
                <c:pt idx="30">
                  <c:v>7.6157635911576618</c:v>
                </c:pt>
                <c:pt idx="31">
                  <c:v>7.6504271082400299</c:v>
                </c:pt>
                <c:pt idx="32">
                  <c:v>7.6887232526277964</c:v>
                </c:pt>
                <c:pt idx="33">
                  <c:v>7.7311437222002279</c:v>
                </c:pt>
                <c:pt idx="34">
                  <c:v>7.7782640427754606</c:v>
                </c:pt>
                <c:pt idx="35">
                  <c:v>7.8307608214025732</c:v>
                </c:pt>
                <c:pt idx="36">
                  <c:v>7.8894331341126307</c:v>
                </c:pt>
                <c:pt idx="37">
                  <c:v>7.9552291667169115</c:v>
                </c:pt>
                <c:pt idx="38">
                  <c:v>8.029279557560093</c:v>
                </c:pt>
                <c:pt idx="39">
                  <c:v>8.1129393225161834</c:v>
                </c:pt>
                <c:pt idx="40">
                  <c:v>8.207840803254502</c:v>
                </c:pt>
                <c:pt idx="41">
                  <c:v>8.315960801693052</c:v>
                </c:pt>
                <c:pt idx="42">
                  <c:v>8.4397059763077493</c:v>
                </c:pt>
                <c:pt idx="43">
                  <c:v>8.5820216923140471</c:v>
                </c:pt>
                <c:pt idx="44">
                  <c:v>8.7465307978425226</c:v>
                </c:pt>
                <c:pt idx="45">
                  <c:v>8.9377100688343507</c:v>
                </c:pt>
                <c:pt idx="46">
                  <c:v>9.1611128407978075</c:v>
                </c:pt>
                <c:pt idx="47">
                  <c:v>9.4236454365102134</c:v>
                </c:pt>
                <c:pt idx="48">
                  <c:v>9.7338996644333982</c:v>
                </c:pt>
                <c:pt idx="49">
                  <c:v>10.102527789128208</c:v>
                </c:pt>
                <c:pt idx="50">
                  <c:v>10.542606628008471</c:v>
                </c:pt>
                <c:pt idx="51">
                  <c:v>11.069845432143028</c:v>
                </c:pt>
                <c:pt idx="52">
                  <c:v>11.702290011971643</c:v>
                </c:pt>
                <c:pt idx="53">
                  <c:v>12.458754676754582</c:v>
                </c:pt>
                <c:pt idx="54">
                  <c:v>13.354411762960069</c:v>
                </c:pt>
                <c:pt idx="55">
                  <c:v>14.390714046081321</c:v>
                </c:pt>
                <c:pt idx="56">
                  <c:v>15.535876305135863</c:v>
                </c:pt>
                <c:pt idx="57">
                  <c:v>16.695254449239453</c:v>
                </c:pt>
                <c:pt idx="58">
                  <c:v>17.686974479334069</c:v>
                </c:pt>
                <c:pt idx="59">
                  <c:v>18.268398117742731</c:v>
                </c:pt>
                <c:pt idx="60">
                  <c:v>18.253176488575622</c:v>
                </c:pt>
                <c:pt idx="61">
                  <c:v>17.645676726655193</c:v>
                </c:pt>
                <c:pt idx="62">
                  <c:v>16.63764348481244</c:v>
                </c:pt>
                <c:pt idx="63">
                  <c:v>15.471350191856361</c:v>
                </c:pt>
                <c:pt idx="64">
                  <c:v>14.325496321384367</c:v>
                </c:pt>
                <c:pt idx="65">
                  <c:v>13.291715948017705</c:v>
                </c:pt>
                <c:pt idx="66">
                  <c:v>12.399878389471965</c:v>
                </c:pt>
                <c:pt idx="67">
                  <c:v>11.64753225391425</c:v>
                </c:pt>
                <c:pt idx="68">
                  <c:v>11.019053989652447</c:v>
                </c:pt>
                <c:pt idx="69">
                  <c:v>10.495458356338112</c:v>
                </c:pt>
                <c:pt idx="70">
                  <c:v>10.058659144140385</c:v>
                </c:pt>
                <c:pt idx="71">
                  <c:v>9.6929621750588346</c:v>
                </c:pt>
                <c:pt idx="72">
                  <c:v>9.3853259200959904</c:v>
                </c:pt>
                <c:pt idx="73">
                  <c:v>9.1251379507790933</c:v>
                </c:pt>
                <c:pt idx="74">
                  <c:v>8.9038443979630415</c:v>
                </c:pt>
                <c:pt idx="75">
                  <c:v>8.7145727297022635</c:v>
                </c:pt>
                <c:pt idx="76">
                  <c:v>8.5517988244607412</c:v>
                </c:pt>
                <c:pt idx="77">
                  <c:v>8.4110708470241402</c:v>
                </c:pt>
                <c:pt idx="78">
                  <c:v>8.2887871629365204</c:v>
                </c:pt>
                <c:pt idx="79">
                  <c:v>8.182020472603142</c:v>
                </c:pt>
                <c:pt idx="80">
                  <c:v>8.0883795649740993</c:v>
                </c:pt>
                <c:pt idx="81">
                  <c:v>8.0059009230164229</c:v>
                </c:pt>
                <c:pt idx="82">
                  <c:v>7.9329637078094741</c:v>
                </c:pt>
                <c:pt idx="83">
                  <c:v>7.8682229372568644</c:v>
                </c:pt>
                <c:pt idx="84">
                  <c:v>7.8105567941971534</c:v>
                </c:pt>
                <c:pt idx="85">
                  <c:v>7.7590249111507505</c:v>
                </c:pt>
                <c:pt idx="86">
                  <c:v>7.712835199552055</c:v>
                </c:pt>
                <c:pt idx="87">
                  <c:v>7.6713173505654062</c:v>
                </c:pt>
                <c:pt idx="88">
                  <c:v>7.6339015645712545</c:v>
                </c:pt>
                <c:pt idx="89">
                  <c:v>7.6001013955375036</c:v>
                </c:pt>
                <c:pt idx="90">
                  <c:v>7.569499848059146</c:v>
                </c:pt>
                <c:pt idx="91">
                  <c:v>7.5417380572432471</c:v>
                </c:pt>
                <c:pt idx="92">
                  <c:v>7.5165060290303991</c:v>
                </c:pt>
                <c:pt idx="93">
                  <c:v>7.4935350318055587</c:v>
                </c:pt>
                <c:pt idx="94">
                  <c:v>7.4725913174655672</c:v>
                </c:pt>
                <c:pt idx="95">
                  <c:v>7.4534709176730489</c:v>
                </c:pt>
                <c:pt idx="96">
                  <c:v>7.4359953135153942</c:v>
                </c:pt>
                <c:pt idx="97">
                  <c:v>7.4200078177347493</c:v>
                </c:pt>
                <c:pt idx="98">
                  <c:v>7.4053705407742738</c:v>
                </c:pt>
                <c:pt idx="99">
                  <c:v>7.3919618371248186</c:v>
                </c:pt>
                <c:pt idx="100">
                  <c:v>7.3796741483983448</c:v>
                </c:pt>
                <c:pt idx="101">
                  <c:v>7.3684121753778191</c:v>
                </c:pt>
                <c:pt idx="102">
                  <c:v>7.3580913239014452</c:v>
                </c:pt>
                <c:pt idx="103">
                  <c:v>7.3486363795258738</c:v>
                </c:pt>
                <c:pt idx="104">
                  <c:v>7.3399803740165295</c:v>
                </c:pt>
                <c:pt idx="105">
                  <c:v>7.3320636132473878</c:v>
                </c:pt>
                <c:pt idx="106">
                  <c:v>7.3248328413832864</c:v>
                </c:pt>
                <c:pt idx="107">
                  <c:v>7.3182405205168992</c:v>
                </c:pt>
                <c:pt idx="108">
                  <c:v>7.3122442084387727</c:v>
                </c:pt>
                <c:pt idx="109">
                  <c:v>7.306806020089506</c:v>
                </c:pt>
                <c:pt idx="110">
                  <c:v>7.3018921606001097</c:v>
                </c:pt>
                <c:pt idx="111">
                  <c:v>7.2974725197705297</c:v>
                </c:pt>
                <c:pt idx="112">
                  <c:v>7.2935203194425808</c:v>
                </c:pt>
                <c:pt idx="113">
                  <c:v>7.2900118065571782</c:v>
                </c:pt>
                <c:pt idx="114">
                  <c:v>7.2869259857949524</c:v>
                </c:pt>
                <c:pt idx="115">
                  <c:v>7.2842443866258231</c:v>
                </c:pt>
                <c:pt idx="116">
                  <c:v>7.2819508603685987</c:v>
                </c:pt>
                <c:pt idx="117">
                  <c:v>7.2800314035128899</c:v>
                </c:pt>
                <c:pt idx="118">
                  <c:v>7.2784740041045408</c:v>
                </c:pt>
                <c:pt idx="119">
                  <c:v>7.2772685084586852</c:v>
                </c:pt>
                <c:pt idx="120">
                  <c:v>7.276406505857115</c:v>
                </c:pt>
                <c:pt idx="121">
                  <c:v>7.2758812292199151</c:v>
                </c:pt>
                <c:pt idx="122">
                  <c:v>7.2756874700247192</c:v>
                </c:pt>
                <c:pt idx="123">
                  <c:v>7.2758215059893852</c:v>
                </c:pt>
                <c:pt idx="124">
                  <c:v>7.2762810402408888</c:v>
                </c:pt>
                <c:pt idx="125">
                  <c:v>7.277065150870901</c:v>
                </c:pt>
                <c:pt idx="126">
                  <c:v>7.2781742499314683</c:v>
                </c:pt>
                <c:pt idx="127">
                  <c:v>7.2796100510556991</c:v>
                </c:pt>
                <c:pt idx="128">
                  <c:v>7.2813755450019348</c:v>
                </c:pt>
                <c:pt idx="129">
                  <c:v>7.2834749825183209</c:v>
                </c:pt>
                <c:pt idx="130">
                  <c:v>7.285913864009693</c:v>
                </c:pt>
                <c:pt idx="131">
                  <c:v>7.2886989355624028</c:v>
                </c:pt>
                <c:pt idx="132">
                  <c:v>7.2918381909472254</c:v>
                </c:pt>
                <c:pt idx="133">
                  <c:v>7.2953408792753791</c:v>
                </c:pt>
                <c:pt idx="134">
                  <c:v>7.2992175180319148</c:v>
                </c:pt>
                <c:pt idx="135">
                  <c:v>7.3034799112517828</c:v>
                </c:pt>
                <c:pt idx="136">
                  <c:v>7.3081411726406484</c:v>
                </c:pt>
                <c:pt idx="137">
                  <c:v>7.3132157534736155</c:v>
                </c:pt>
                <c:pt idx="138">
                  <c:v>7.3187194751315063</c:v>
                </c:pt>
                <c:pt idx="139">
                  <c:v>7.3246695661577368</c:v>
                </c:pt>
                <c:pt idx="140">
                  <c:v>7.3310847037371554</c:v>
                </c:pt>
                <c:pt idx="141">
                  <c:v>7.3379850595145886</c:v>
                </c:pt>
                <c:pt idx="142">
                  <c:v>7.3453923496832729</c:v>
                </c:pt>
                <c:pt idx="143">
                  <c:v>7.3533298892830627</c:v>
                </c:pt>
                <c:pt idx="144">
                  <c:v>7.3618226506555704</c:v>
                </c:pt>
                <c:pt idx="145">
                  <c:v>7.3708973260076158</c:v>
                </c:pt>
                <c:pt idx="146">
                  <c:v>7.3805823940363631</c:v>
                </c:pt>
                <c:pt idx="147">
                  <c:v>7.3909081905686582</c:v>
                </c:pt>
                <c:pt idx="148">
                  <c:v>7.3958003030817157</c:v>
                </c:pt>
                <c:pt idx="149">
                  <c:v>7.4275983601828726</c:v>
                </c:pt>
                <c:pt idx="150">
                  <c:v>7.465000680991082</c:v>
                </c:pt>
                <c:pt idx="151">
                  <c:v>7.5088253096512307</c:v>
                </c:pt>
                <c:pt idx="152">
                  <c:v>7.5600187439655642</c:v>
                </c:pt>
                <c:pt idx="153">
                  <c:v>7.6196700457626951</c:v>
                </c:pt>
                <c:pt idx="154">
                  <c:v>7.6890258018540276</c:v>
                </c:pt>
                <c:pt idx="155">
                  <c:v>7.7695055277353617</c:v>
                </c:pt>
                <c:pt idx="156">
                  <c:v>7.8627168788111232</c:v>
                </c:pt>
                <c:pt idx="157">
                  <c:v>7.97046971944983</c:v>
                </c:pt>
                <c:pt idx="158">
                  <c:v>8.0947877264690522</c:v>
                </c:pt>
                <c:pt idx="159">
                  <c:v>8.2379158874826039</c:v>
                </c:pt>
                <c:pt idx="160">
                  <c:v>8.4023222445062693</c:v>
                </c:pt>
                <c:pt idx="161">
                  <c:v>8.5906928730662599</c:v>
                </c:pt>
                <c:pt idx="162">
                  <c:v>8.8059206063714033</c:v>
                </c:pt>
                <c:pt idx="163">
                  <c:v>9.0510901717447982</c:v>
                </c:pt>
                <c:pt idx="164">
                  <c:v>9.2970586646236075</c:v>
                </c:pt>
                <c:pt idx="165">
                  <c:v>9.7779681031581998</c:v>
                </c:pt>
                <c:pt idx="166">
                  <c:v>10.352742775250297</c:v>
                </c:pt>
                <c:pt idx="167">
                  <c:v>11.034636747098402</c:v>
                </c:pt>
                <c:pt idx="168">
                  <c:v>11.838083289876936</c:v>
                </c:pt>
                <c:pt idx="169">
                  <c:v>12.778801640424751</c:v>
                </c:pt>
                <c:pt idx="170">
                  <c:v>13.873736296707321</c:v>
                </c:pt>
                <c:pt idx="171">
                  <c:v>15.141083864833604</c:v>
                </c:pt>
                <c:pt idx="172">
                  <c:v>16.600695775506924</c:v>
                </c:pt>
                <c:pt idx="173">
                  <c:v>18.274531387661682</c:v>
                </c:pt>
                <c:pt idx="174">
                  <c:v>20.18684668560136</c:v>
                </c:pt>
                <c:pt idx="175">
                  <c:v>22.364639750332895</c:v>
                </c:pt>
                <c:pt idx="176">
                  <c:v>24.838140748346657</c:v>
                </c:pt>
                <c:pt idx="177">
                  <c:v>27.641224982165504</c:v>
                </c:pt>
                <c:pt idx="178">
                  <c:v>30.811970450726701</c:v>
                </c:pt>
                <c:pt idx="179">
                  <c:v>35.706219427689454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E8D-439D-8A11-4718DCC62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63344"/>
        <c:axId val="59086177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FRES!$AS$4</c15:sqref>
                        </c15:formulaRef>
                      </c:ext>
                    </c:extLst>
                    <c:strCache>
                      <c:ptCount val="1"/>
                      <c:pt idx="0">
                        <c:v>Phase1</c:v>
                      </c:pt>
                    </c:strCache>
                  </c:strRef>
                </c:tx>
                <c:spPr>
                  <a:ln w="1587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FRES!$AY$5:$AY$184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7.3071393509374207</c:v>
                      </c:pt>
                      <c:pt idx="1">
                        <c:v>7.3210439009183208</c:v>
                      </c:pt>
                      <c:pt idx="2">
                        <c:v>7.3368637231288476</c:v>
                      </c:pt>
                      <c:pt idx="3">
                        <c:v>7.3548923245418436</c:v>
                      </c:pt>
                      <c:pt idx="4">
                        <c:v>7.375476098003781</c:v>
                      </c:pt>
                      <c:pt idx="5">
                        <c:v>7.3990259171555728</c:v>
                      </c:pt>
                      <c:pt idx="6">
                        <c:v>7.4260318049046266</c:v>
                      </c:pt>
                      <c:pt idx="7">
                        <c:v>7.4570816322403797</c:v>
                      </c:pt>
                      <c:pt idx="8">
                        <c:v>7.4928851449355562</c:v>
                      </c:pt>
                      <c:pt idx="9">
                        <c:v>7.5343050928300022</c:v>
                      </c:pt>
                      <c:pt idx="10">
                        <c:v>7.5823979103954979</c:v>
                      </c:pt>
                      <c:pt idx="11">
                        <c:v>7.6384673576596027</c:v>
                      </c:pt>
                      <c:pt idx="12">
                        <c:v>7.7041359106799785</c:v>
                      </c:pt>
                      <c:pt idx="13">
                        <c:v>7.7411869837838108</c:v>
                      </c:pt>
                      <c:pt idx="14">
                        <c:v>7.7814406899263853</c:v>
                      </c:pt>
                      <c:pt idx="15">
                        <c:v>7.8252377674075575</c:v>
                      </c:pt>
                      <c:pt idx="16">
                        <c:v>7.8729636309445388</c:v>
                      </c:pt>
                      <c:pt idx="17">
                        <c:v>7.9250553504062031</c:v>
                      </c:pt>
                      <c:pt idx="18">
                        <c:v>7.9820098763554475</c:v>
                      </c:pt>
                      <c:pt idx="19">
                        <c:v>8.0443937573625508</c:v>
                      </c:pt>
                      <c:pt idx="20">
                        <c:v>8.1128546443529199</c:v>
                      </c:pt>
                      <c:pt idx="21">
                        <c:v>8.1881349372421628</c:v>
                      </c:pt>
                      <c:pt idx="22">
                        <c:v>8.2710879998446689</c:v>
                      </c:pt>
                      <c:pt idx="23">
                        <c:v>8.3626974509793364</c:v>
                      </c:pt>
                      <c:pt idx="24">
                        <c:v>8.4641001319642601</c:v>
                      </c:pt>
                      <c:pt idx="25">
                        <c:v>8.5766134497475122</c:v>
                      </c:pt>
                      <c:pt idx="26">
                        <c:v>8.7017678921682915</c:v>
                      </c:pt>
                      <c:pt idx="27">
                        <c:v>8.8413455894097392</c:v>
                      </c:pt>
                      <c:pt idx="28">
                        <c:v>8.9974258190347509</c:v>
                      </c:pt>
                      <c:pt idx="29">
                        <c:v>9.1724382568347718</c:v>
                      </c:pt>
                      <c:pt idx="30">
                        <c:v>9.3692244454156182</c:v>
                      </c:pt>
                      <c:pt idx="31">
                        <c:v>9.5911071784071886</c:v>
                      </c:pt>
                      <c:pt idx="32">
                        <c:v>9.8419659115684937</c:v>
                      </c:pt>
                      <c:pt idx="33">
                        <c:v>10.126313267054032</c:v>
                      </c:pt>
                      <c:pt idx="34">
                        <c:v>10.449362076007157</c:v>
                      </c:pt>
                      <c:pt idx="35">
                        <c:v>10.817062305495291</c:v>
                      </c:pt>
                      <c:pt idx="36">
                        <c:v>11.236069491467708</c:v>
                      </c:pt>
                      <c:pt idx="37">
                        <c:v>11.713575997031624</c:v>
                      </c:pt>
                      <c:pt idx="38">
                        <c:v>12.256886474745363</c:v>
                      </c:pt>
                      <c:pt idx="39">
                        <c:v>12.872541421129906</c:v>
                      </c:pt>
                      <c:pt idx="40">
                        <c:v>13.564685445497942</c:v>
                      </c:pt>
                      <c:pt idx="41">
                        <c:v>14.332263964439878</c:v>
                      </c:pt>
                      <c:pt idx="42">
                        <c:v>15.164614549441772</c:v>
                      </c:pt>
                      <c:pt idx="43">
                        <c:v>16.035365517289861</c:v>
                      </c:pt>
                      <c:pt idx="44">
                        <c:v>16.895763389863834</c:v>
                      </c:pt>
                      <c:pt idx="45">
                        <c:v>17.67106245428872</c:v>
                      </c:pt>
                      <c:pt idx="46">
                        <c:v>18.26653541801921</c:v>
                      </c:pt>
                      <c:pt idx="47">
                        <c:v>18.588913768467286</c:v>
                      </c:pt>
                      <c:pt idx="48">
                        <c:v>18.579348353556231</c:v>
                      </c:pt>
                      <c:pt idx="49">
                        <c:v>18.239394337453852</c:v>
                      </c:pt>
                      <c:pt idx="50">
                        <c:v>17.630307156365983</c:v>
                      </c:pt>
                      <c:pt idx="51">
                        <c:v>16.846217523011301</c:v>
                      </c:pt>
                      <c:pt idx="52">
                        <c:v>15.981366371249049</c:v>
                      </c:pt>
                      <c:pt idx="53">
                        <c:v>15.109380338330112</c:v>
                      </c:pt>
                      <c:pt idx="54">
                        <c:v>14.277862813654739</c:v>
                      </c:pt>
                      <c:pt idx="55">
                        <c:v>13.512283134016743</c:v>
                      </c:pt>
                      <c:pt idx="56">
                        <c:v>12.822693434054067</c:v>
                      </c:pt>
                      <c:pt idx="57">
                        <c:v>12.209774672235493</c:v>
                      </c:pt>
                      <c:pt idx="58">
                        <c:v>11.669171672069114</c:v>
                      </c:pt>
                      <c:pt idx="59">
                        <c:v>11.194235831682635</c:v>
                      </c:pt>
                      <c:pt idx="60">
                        <c:v>10.777614901233781</c:v>
                      </c:pt>
                      <c:pt idx="61">
                        <c:v>10.412102846468159</c:v>
                      </c:pt>
                      <c:pt idx="62">
                        <c:v>10.091048420958334</c:v>
                      </c:pt>
                      <c:pt idx="63">
                        <c:v>9.8085146747639289</c:v>
                      </c:pt>
                      <c:pt idx="64">
                        <c:v>9.5593053570592215</c:v>
                      </c:pt>
                      <c:pt idx="65">
                        <c:v>9.3389252092105703</c:v>
                      </c:pt>
                      <c:pt idx="66">
                        <c:v>9.1435115076479878</c:v>
                      </c:pt>
                      <c:pt idx="67">
                        <c:v>8.9697569100487549</c:v>
                      </c:pt>
                      <c:pt idx="68">
                        <c:v>8.8148338120256753</c:v>
                      </c:pt>
                      <c:pt idx="69">
                        <c:v>8.6763249496471797</c:v>
                      </c:pt>
                      <c:pt idx="70">
                        <c:v>8.552162024947668</c:v>
                      </c:pt>
                      <c:pt idx="71">
                        <c:v>8.4405725949943218</c:v>
                      </c:pt>
                      <c:pt idx="72">
                        <c:v>8.3400347196001068</c:v>
                      </c:pt>
                      <c:pt idx="73">
                        <c:v>8.2492385486067388</c:v>
                      </c:pt>
                      <c:pt idx="74">
                        <c:v>8.1670539434944018</c:v>
                      </c:pt>
                      <c:pt idx="75">
                        <c:v>8.0925032563065962</c:v>
                      </c:pt>
                      <c:pt idx="76">
                        <c:v>8.0247384690243102</c:v>
                      </c:pt>
                      <c:pt idx="77">
                        <c:v>7.9630219950415784</c:v>
                      </c:pt>
                      <c:pt idx="78">
                        <c:v>7.9067105439991021</c:v>
                      </c:pt>
                      <c:pt idx="79">
                        <c:v>7.8552415436610419</c:v>
                      </c:pt>
                      <c:pt idx="80">
                        <c:v>7.8081216944197704</c:v>
                      </c:pt>
                      <c:pt idx="81">
                        <c:v>7.7649173026151548</c:v>
                      </c:pt>
                      <c:pt idx="82">
                        <c:v>7.7252460986783005</c:v>
                      </c:pt>
                      <c:pt idx="83">
                        <c:v>7.6887702962389968</c:v>
                      </c:pt>
                      <c:pt idx="84">
                        <c:v>7.6551906900447451</c:v>
                      </c:pt>
                      <c:pt idx="85">
                        <c:v>7.6242416250833154</c:v>
                      </c:pt>
                      <c:pt idx="86">
                        <c:v>7.5956866978366238</c:v>
                      </c:pt>
                      <c:pt idx="87">
                        <c:v>7.5693150741323141</c:v>
                      </c:pt>
                      <c:pt idx="88">
                        <c:v>7.5449383274686594</c:v>
                      </c:pt>
                      <c:pt idx="89">
                        <c:v>7.5223877176965024</c:v>
                      </c:pt>
                      <c:pt idx="90">
                        <c:v>7.5015118431559946</c:v>
                      </c:pt>
                      <c:pt idx="91">
                        <c:v>7.4821746102855462</c:v>
                      </c:pt>
                      <c:pt idx="92">
                        <c:v>7.4642534737581894</c:v>
                      </c:pt>
                      <c:pt idx="93">
                        <c:v>7.4476379076930668</c:v>
                      </c:pt>
                      <c:pt idx="94">
                        <c:v>7.4322280747127225</c:v>
                      </c:pt>
                      <c:pt idx="95">
                        <c:v>7.4179336647954877</c:v>
                      </c:pt>
                      <c:pt idx="96">
                        <c:v>7.4046728801914554</c:v>
                      </c:pt>
                      <c:pt idx="97">
                        <c:v>7.3923715462792456</c:v>
                      </c:pt>
                      <c:pt idx="98">
                        <c:v>7.3809623312637802</c:v>
                      </c:pt>
                      <c:pt idx="99">
                        <c:v>7.3703840601522739</c:v>
                      </c:pt>
                      <c:pt idx="100">
                        <c:v>7.3605811105800578</c:v>
                      </c:pt>
                      <c:pt idx="101">
                        <c:v>7.3515028798566</c:v>
                      </c:pt>
                      <c:pt idx="102">
                        <c:v>7.3431033141230744</c:v>
                      </c:pt>
                      <c:pt idx="103">
                        <c:v>7.3353404917992187</c:v>
                      </c:pt>
                      <c:pt idx="104">
                        <c:v>7.3281762545903728</c:v>
                      </c:pt>
                      <c:pt idx="105">
                        <c:v>7.3215758802539144</c:v>
                      </c:pt>
                      <c:pt idx="106">
                        <c:v>7.3155077921166418</c:v>
                      </c:pt>
                      <c:pt idx="107">
                        <c:v>7.309943301010394</c:v>
                      </c:pt>
                      <c:pt idx="108">
                        <c:v>7.3048563758721556</c:v>
                      </c:pt>
                      <c:pt idx="109">
                        <c:v>7.3002234397512868</c:v>
                      </c:pt>
                      <c:pt idx="110">
                        <c:v>7.2960231883928559</c:v>
                      </c:pt>
                      <c:pt idx="111">
                        <c:v>7.2922364289336867</c:v>
                      </c:pt>
                      <c:pt idx="112">
                        <c:v>7.2888459365643889</c:v>
                      </c:pt>
                      <c:pt idx="113">
                        <c:v>7.2858363272850335</c:v>
                      </c:pt>
                      <c:pt idx="114">
                        <c:v>7.2831939451192165</c:v>
                      </c:pt>
                      <c:pt idx="115">
                        <c:v>7.2809067623578674</c:v>
                      </c:pt>
                      <c:pt idx="116">
                        <c:v>7.2789642915828718</c:v>
                      </c:pt>
                      <c:pt idx="117">
                        <c:v>7.2773575083773645</c:v>
                      </c:pt>
                      <c:pt idx="118">
                        <c:v>7.2760787837655725</c:v>
                      </c:pt>
                      <c:pt idx="119">
                        <c:v>7.2751218255448666</c:v>
                      </c:pt>
                      <c:pt idx="120">
                        <c:v>7.2744816277769546</c:v>
                      </c:pt>
                      <c:pt idx="121">
                        <c:v>7.274154427797348</c:v>
                      </c:pt>
                      <c:pt idx="122">
                        <c:v>7.2741376701829967</c:v>
                      </c:pt>
                      <c:pt idx="123">
                        <c:v>7.274429977189337</c:v>
                      </c:pt>
                      <c:pt idx="124">
                        <c:v>7.2750311252309157</c:v>
                      </c:pt>
                      <c:pt idx="125">
                        <c:v>7.2759420270354411</c:v>
                      </c:pt>
                      <c:pt idx="126">
                        <c:v>7.2771647191506315</c:v>
                      </c:pt>
                      <c:pt idx="127">
                        <c:v>7.2787023545265574</c:v>
                      </c:pt>
                      <c:pt idx="128">
                        <c:v>7.2805591999355501</c:v>
                      </c:pt>
                      <c:pt idx="129">
                        <c:v>7.2827406380258406</c:v>
                      </c:pt>
                      <c:pt idx="130">
                        <c:v>7.2852531738358728</c:v>
                      </c:pt>
                      <c:pt idx="131">
                        <c:v>7.2881044456235502</c:v>
                      </c:pt>
                      <c:pt idx="132">
                        <c:v>7.2913032398885385</c:v>
                      </c:pt>
                      <c:pt idx="133">
                        <c:v>7.2948595104874814</c:v>
                      </c:pt>
                      <c:pt idx="134">
                        <c:v>7.298784401760253</c:v>
                      </c:pt>
                      <c:pt idx="135">
                        <c:v>7.3030902756024405</c:v>
                      </c:pt>
                      <c:pt idx="136">
                        <c:v>7.3077907424330872</c:v>
                      </c:pt>
                      <c:pt idx="137">
                        <c:v>7.3129006960191605</c:v>
                      </c:pt>
                      <c:pt idx="138">
                        <c:v>7.3184363521288311</c:v>
                      </c:pt>
                      <c:pt idx="139">
                        <c:v>7.324415290993799</c:v>
                      </c:pt>
                      <c:pt idx="140">
                        <c:v>7.3308565035680697</c:v>
                      </c:pt>
                      <c:pt idx="141">
                        <c:v>7.3377804415753758</c:v>
                      </c:pt>
                      <c:pt idx="142">
                        <c:v>7.3452090713411806</c:v>
                      </c:pt>
                      <c:pt idx="143">
                        <c:v>7.3531659314063855</c:v>
                      </c:pt>
                      <c:pt idx="144">
                        <c:v>7.361676193920526</c:v>
                      </c:pt>
                      <c:pt idx="145">
                        <c:v>7.3707667298097848</c:v>
                      </c:pt>
                      <c:pt idx="146">
                        <c:v>7.3804661777123259</c:v>
                      </c:pt>
                      <c:pt idx="147">
                        <c:v>7.3908050166674508</c:v>
                      </c:pt>
                      <c:pt idx="148">
                        <c:v>7.3957026269049901</c:v>
                      </c:pt>
                      <c:pt idx="149">
                        <c:v>7.4275286073313245</c:v>
                      </c:pt>
                      <c:pt idx="150">
                        <c:v>7.4649525027945804</c:v>
                      </c:pt>
                      <c:pt idx="151">
                        <c:v>7.5087937939556317</c:v>
                      </c:pt>
                      <c:pt idx="152">
                        <c:v>7.5600000611399816</c:v>
                      </c:pt>
                      <c:pt idx="153">
                        <c:v>7.6196611853942962</c:v>
                      </c:pt>
                      <c:pt idx="154">
                        <c:v>7.6890243760812229</c:v>
                      </c:pt>
                      <c:pt idx="155">
                        <c:v>7.7695096238489176</c:v>
                      </c:pt>
                      <c:pt idx="156">
                        <c:v>7.8627249487732644</c:v>
                      </c:pt>
                      <c:pt idx="157">
                        <c:v>7.9704804978115389</c:v>
                      </c:pt>
                      <c:pt idx="158">
                        <c:v>8.0948001710307302</c:v>
                      </c:pt>
                      <c:pt idx="159">
                        <c:v>8.2379291389382363</c:v>
                      </c:pt>
                      <c:pt idx="160">
                        <c:v>8.4023356020670317</c:v>
                      </c:pt>
                      <c:pt idx="161">
                        <c:v>8.5907057825669177</c:v>
                      </c:pt>
                      <c:pt idx="162">
                        <c:v>8.8059326559386513</c:v>
                      </c:pt>
                      <c:pt idx="163">
                        <c:v>9.0511010887598253</c:v>
                      </c:pt>
                      <c:pt idx="164">
                        <c:v>9.2970684513731818</c:v>
                      </c:pt>
                      <c:pt idx="165">
                        <c:v>9.7779759521879299</c:v>
                      </c:pt>
                      <c:pt idx="166">
                        <c:v>10.352748879637964</c:v>
                      </c:pt>
                      <c:pt idx="167">
                        <c:v>11.034641427049429</c:v>
                      </c:pt>
                      <c:pt idx="168">
                        <c:v>11.83808685612928</c:v>
                      </c:pt>
                      <c:pt idx="169">
                        <c:v>12.778804331963709</c:v>
                      </c:pt>
                      <c:pt idx="170">
                        <c:v>13.873738297571562</c:v>
                      </c:pt>
                      <c:pt idx="171">
                        <c:v>15.141085336319343</c:v>
                      </c:pt>
                      <c:pt idx="172">
                        <c:v>16.600696853006546</c:v>
                      </c:pt>
                      <c:pt idx="173">
                        <c:v>18.274532171106404</c:v>
                      </c:pt>
                      <c:pt idx="174">
                        <c:v>20.186847251864211</c:v>
                      </c:pt>
                      <c:pt idx="175">
                        <c:v>22.364640158277915</c:v>
                      </c:pt>
                      <c:pt idx="176">
                        <c:v>24.83814104098273</c:v>
                      </c:pt>
                      <c:pt idx="177">
                        <c:v>27.641225191571575</c:v>
                      </c:pt>
                      <c:pt idx="178">
                        <c:v>30.811970600211431</c:v>
                      </c:pt>
                      <c:pt idx="179">
                        <c:v>35.706219522617019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5E8D-439D-8A11-4718DCC62FF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FRES!$AU$4</c15:sqref>
                        </c15:formulaRef>
                      </c:ext>
                    </c:extLst>
                    <c:strCache>
                      <c:ptCount val="1"/>
                      <c:pt idx="0">
                        <c:v>Phase3</c:v>
                      </c:pt>
                    </c:strCache>
                  </c:strRef>
                </c:tx>
                <c:spPr>
                  <a:ln w="15875">
                    <a:solidFill>
                      <a:srgbClr val="FF0000">
                        <a:alpha val="81000"/>
                      </a:srgbClr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FRES!$BA$5:$BA$184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7.2068345244033445</c:v>
                      </c:pt>
                      <c:pt idx="1">
                        <c:v>7.2076857753760315</c:v>
                      </c:pt>
                      <c:pt idx="2">
                        <c:v>7.2086450361825403</c:v>
                      </c:pt>
                      <c:pt idx="3">
                        <c:v>7.2097265340453767</c:v>
                      </c:pt>
                      <c:pt idx="4">
                        <c:v>7.2109465076361596</c:v>
                      </c:pt>
                      <c:pt idx="5">
                        <c:v>7.2123235272756308</c:v>
                      </c:pt>
                      <c:pt idx="6">
                        <c:v>7.2138788752311314</c:v>
                      </c:pt>
                      <c:pt idx="7">
                        <c:v>7.2156369996347252</c:v>
                      </c:pt>
                      <c:pt idx="8">
                        <c:v>7.217626059130458</c:v>
                      </c:pt>
                      <c:pt idx="9">
                        <c:v>7.2198785800357612</c:v>
                      </c:pt>
                      <c:pt idx="10">
                        <c:v>7.2224322539423733</c:v>
                      </c:pt>
                      <c:pt idx="11">
                        <c:v>7.2253309118051385</c:v>
                      </c:pt>
                      <c:pt idx="12">
                        <c:v>7.2286257213941782</c:v>
                      </c:pt>
                      <c:pt idx="13">
                        <c:v>7.2304400368711201</c:v>
                      </c:pt>
                      <c:pt idx="14">
                        <c:v>7.2323766695368823</c:v>
                      </c:pt>
                      <c:pt idx="15">
                        <c:v>7.2344447985909994</c:v>
                      </c:pt>
                      <c:pt idx="16">
                        <c:v>7.2366544102983781</c:v>
                      </c:pt>
                      <c:pt idx="17">
                        <c:v>7.2390163836965797</c:v>
                      </c:pt>
                      <c:pt idx="18">
                        <c:v>7.2415425872283921</c:v>
                      </c:pt>
                      <c:pt idx="19">
                        <c:v>7.2442459879282648</c:v>
                      </c:pt>
                      <c:pt idx="20">
                        <c:v>7.2471407750682815</c:v>
                      </c:pt>
                      <c:pt idx="21">
                        <c:v>7.2502425005000433</c:v>
                      </c:pt>
                      <c:pt idx="22">
                        <c:v>7.2535682383239095</c:v>
                      </c:pt>
                      <c:pt idx="23">
                        <c:v>7.2571367669906666</c:v>
                      </c:pt>
                      <c:pt idx="24">
                        <c:v>7.2609687775107234</c:v>
                      </c:pt>
                      <c:pt idx="25">
                        <c:v>7.2650871121338376</c:v>
                      </c:pt>
                      <c:pt idx="26">
                        <c:v>7.2695170386951888</c:v>
                      </c:pt>
                      <c:pt idx="27">
                        <c:v>7.2742865668365404</c:v>
                      </c:pt>
                      <c:pt idx="28">
                        <c:v>7.2794268135461335</c:v>
                      </c:pt>
                      <c:pt idx="29">
                        <c:v>7.2849724269736518</c:v>
                      </c:pt>
                      <c:pt idx="30">
                        <c:v>7.2909620793366008</c:v>
                      </c:pt>
                      <c:pt idx="31">
                        <c:v>7.2974390420298914</c:v>
                      </c:pt>
                      <c:pt idx="32">
                        <c:v>7.3044518588970409</c:v>
                      </c:pt>
                      <c:pt idx="33">
                        <c:v>7.3120551371661193</c:v>
                      </c:pt>
                      <c:pt idx="34">
                        <c:v>7.3203104799873682</c:v>
                      </c:pt>
                      <c:pt idx="35">
                        <c:v>7.3292875900840313</c:v>
                      </c:pt>
                      <c:pt idx="36">
                        <c:v>7.339065581068378</c:v>
                      </c:pt>
                      <c:pt idx="37">
                        <c:v>7.3497345419162112</c:v>
                      </c:pt>
                      <c:pt idx="38">
                        <c:v>7.3613974115058793</c:v>
                      </c:pt>
                      <c:pt idx="39">
                        <c:v>7.3741722347792074</c:v>
                      </c:pt>
                      <c:pt idx="40">
                        <c:v>7.3881948909979558</c:v>
                      </c:pt>
                      <c:pt idx="41">
                        <c:v>7.4036224091397207</c:v>
                      </c:pt>
                      <c:pt idx="42">
                        <c:v>7.4206370175910221</c:v>
                      </c:pt>
                      <c:pt idx="43">
                        <c:v>7.4394511175414779</c:v>
                      </c:pt>
                      <c:pt idx="44">
                        <c:v>7.4603134254324512</c:v>
                      </c:pt>
                      <c:pt idx="45">
                        <c:v>7.4835166044284378</c:v>
                      </c:pt>
                      <c:pt idx="46">
                        <c:v>7.5094068051053666</c:v>
                      </c:pt>
                      <c:pt idx="47">
                        <c:v>7.5383956711783906</c:v>
                      </c:pt>
                      <c:pt idx="48">
                        <c:v>7.570975551031828</c:v>
                      </c:pt>
                      <c:pt idx="49">
                        <c:v>7.6077389099619861</c:v>
                      </c:pt>
                      <c:pt idx="50">
                        <c:v>7.6494032900624633</c:v>
                      </c:pt>
                      <c:pt idx="51">
                        <c:v>7.6968436561239892</c:v>
                      </c:pt>
                      <c:pt idx="52">
                        <c:v>7.7511346573511579</c:v>
                      </c:pt>
                      <c:pt idx="53">
                        <c:v>7.8136063147363322</c:v>
                      </c:pt>
                      <c:pt idx="54">
                        <c:v>7.8859180423963</c:v>
                      </c:pt>
                      <c:pt idx="55">
                        <c:v>7.9701579176612398</c:v>
                      </c:pt>
                      <c:pt idx="56">
                        <c:v>8.0689770031230896</c:v>
                      </c:pt>
                      <c:pt idx="57">
                        <c:v>8.1857726802180704</c:v>
                      </c:pt>
                      <c:pt idx="58">
                        <c:v>8.3249408933643245</c:v>
                      </c:pt>
                      <c:pt idx="59">
                        <c:v>8.4922255294216615</c:v>
                      </c:pt>
                      <c:pt idx="60">
                        <c:v>8.6952043191668693</c:v>
                      </c:pt>
                      <c:pt idx="61">
                        <c:v>8.9439640903943172</c:v>
                      </c:pt>
                      <c:pt idx="62">
                        <c:v>9.2520297424831917</c:v>
                      </c:pt>
                      <c:pt idx="63">
                        <c:v>9.637605468612076</c:v>
                      </c:pt>
                      <c:pt idx="64">
                        <c:v>10.125114865847353</c:v>
                      </c:pt>
                      <c:pt idx="65">
                        <c:v>10.746745767750122</c:v>
                      </c:pt>
                      <c:pt idx="66">
                        <c:v>11.542816781645499</c:v>
                      </c:pt>
                      <c:pt idx="67">
                        <c:v>12.557259747933202</c:v>
                      </c:pt>
                      <c:pt idx="68">
                        <c:v>13.818266469207126</c:v>
                      </c:pt>
                      <c:pt idx="69">
                        <c:v>15.283261118392877</c:v>
                      </c:pt>
                      <c:pt idx="70">
                        <c:v>16.730914728795746</c:v>
                      </c:pt>
                      <c:pt idx="71">
                        <c:v>17.685226726460044</c:v>
                      </c:pt>
                      <c:pt idx="72">
                        <c:v>17.657987793989108</c:v>
                      </c:pt>
                      <c:pt idx="73">
                        <c:v>16.66230089007324</c:v>
                      </c:pt>
                      <c:pt idx="74">
                        <c:v>15.197248278695433</c:v>
                      </c:pt>
                      <c:pt idx="75">
                        <c:v>13.731147747733848</c:v>
                      </c:pt>
                      <c:pt idx="76">
                        <c:v>12.475865053636261</c:v>
                      </c:pt>
                      <c:pt idx="77">
                        <c:v>11.468888862743848</c:v>
                      </c:pt>
                      <c:pt idx="78">
                        <c:v>10.680063407172534</c:v>
                      </c:pt>
                      <c:pt idx="79">
                        <c:v>10.06488479156282</c:v>
                      </c:pt>
                      <c:pt idx="80">
                        <c:v>9.582970369749555</c:v>
                      </c:pt>
                      <c:pt idx="81">
                        <c:v>9.202224033466667</c:v>
                      </c:pt>
                      <c:pt idx="82">
                        <c:v>8.8983447615667668</c:v>
                      </c:pt>
                      <c:pt idx="83">
                        <c:v>8.6532423018633757</c:v>
                      </c:pt>
                      <c:pt idx="84">
                        <c:v>8.4534875444236146</c:v>
                      </c:pt>
                      <c:pt idx="85">
                        <c:v>8.2890714887434775</c:v>
                      </c:pt>
                      <c:pt idx="86">
                        <c:v>8.1524790609729969</c:v>
                      </c:pt>
                      <c:pt idx="87">
                        <c:v>8.0380169057261561</c:v>
                      </c:pt>
                      <c:pt idx="88">
                        <c:v>7.941330107982167</c:v>
                      </c:pt>
                      <c:pt idx="89">
                        <c:v>7.8590549050997058</c:v>
                      </c:pt>
                      <c:pt idx="90">
                        <c:v>7.7885680621288813</c:v>
                      </c:pt>
                      <c:pt idx="91">
                        <c:v>7.7278047807432033</c:v>
                      </c:pt>
                      <c:pt idx="92">
                        <c:v>7.6751253307552965</c:v>
                      </c:pt>
                      <c:pt idx="93">
                        <c:v>7.6292165154742619</c:v>
                      </c:pt>
                      <c:pt idx="94">
                        <c:v>7.5890182217536406</c:v>
                      </c:pt>
                      <c:pt idx="95">
                        <c:v>7.5536681803131138</c:v>
                      </c:pt>
                      <c:pt idx="96">
                        <c:v>7.5224600579704912</c:v>
                      </c:pt>
                      <c:pt idx="97">
                        <c:v>7.4948113941594006</c:v>
                      </c:pt>
                      <c:pt idx="98">
                        <c:v>7.4702388684832748</c:v>
                      </c:pt>
                      <c:pt idx="99">
                        <c:v>7.4483390733472401</c:v>
                      </c:pt>
                      <c:pt idx="100">
                        <c:v>7.4287734541159196</c:v>
                      </c:pt>
                      <c:pt idx="101">
                        <c:v>7.4112564290274214</c:v>
                      </c:pt>
                      <c:pt idx="102">
                        <c:v>7.3955459535823334</c:v>
                      </c:pt>
                      <c:pt idx="103">
                        <c:v>7.3814359778267145</c:v>
                      </c:pt>
                      <c:pt idx="104">
                        <c:v>7.3687503796430658</c:v>
                      </c:pt>
                      <c:pt idx="105">
                        <c:v>7.3573380566813871</c:v>
                      </c:pt>
                      <c:pt idx="106">
                        <c:v>7.3470689336364243</c:v>
                      </c:pt>
                      <c:pt idx="107">
                        <c:v>7.3378306971107667</c:v>
                      </c:pt>
                      <c:pt idx="108">
                        <c:v>7.3295261122278719</c:v>
                      </c:pt>
                      <c:pt idx="109">
                        <c:v>7.3220708070213503</c:v>
                      </c:pt>
                      <c:pt idx="110">
                        <c:v>7.3153914350008717</c:v>
                      </c:pt>
                      <c:pt idx="111">
                        <c:v>7.3094241450564263</c:v>
                      </c:pt>
                      <c:pt idx="112">
                        <c:v>7.3041133023905331</c:v>
                      </c:pt>
                      <c:pt idx="113">
                        <c:v>7.2994104154842265</c:v>
                      </c:pt>
                      <c:pt idx="114">
                        <c:v>7.2952732329647336</c:v>
                      </c:pt>
                      <c:pt idx="115">
                        <c:v>7.2916649812216674</c:v>
                      </c:pt>
                      <c:pt idx="116">
                        <c:v>7.2885537191422642</c:v>
                      </c:pt>
                      <c:pt idx="117">
                        <c:v>7.2859117907297968</c:v>
                      </c:pt>
                      <c:pt idx="118">
                        <c:v>7.283715359881195</c:v>
                      </c:pt>
                      <c:pt idx="119">
                        <c:v>7.281944014420076</c:v>
                      </c:pt>
                      <c:pt idx="120">
                        <c:v>7.2805804287554068</c:v>
                      </c:pt>
                      <c:pt idx="121">
                        <c:v>7.2796100763789671</c:v>
                      </c:pt>
                      <c:pt idx="122">
                        <c:v>7.2790209849131218</c:v>
                      </c:pt>
                      <c:pt idx="123">
                        <c:v>7.2788035276445626</c:v>
                      </c:pt>
                      <c:pt idx="124">
                        <c:v>7.2789502464830518</c:v>
                      </c:pt>
                      <c:pt idx="125">
                        <c:v>7.2794557021102655</c:v>
                      </c:pt>
                      <c:pt idx="126">
                        <c:v>7.2803163477655684</c:v>
                      </c:pt>
                      <c:pt idx="127">
                        <c:v>7.281530423681132</c:v>
                      </c:pt>
                      <c:pt idx="128">
                        <c:v>7.2830978696488868</c:v>
                      </c:pt>
                      <c:pt idx="129">
                        <c:v>7.2850202535936894</c:v>
                      </c:pt>
                      <c:pt idx="130">
                        <c:v>7.2873007143556663</c:v>
                      </c:pt>
                      <c:pt idx="131">
                        <c:v>7.2899439171596958</c:v>
                      </c:pt>
                      <c:pt idx="132">
                        <c:v>7.2929560204818227</c:v>
                      </c:pt>
                      <c:pt idx="133">
                        <c:v>7.2963446532178979</c:v>
                      </c:pt>
                      <c:pt idx="134">
                        <c:v>7.3001189012246606</c:v>
                      </c:pt>
                      <c:pt idx="135">
                        <c:v>7.3042893024434754</c:v>
                      </c:pt>
                      <c:pt idx="136">
                        <c:v>7.308867849935301</c:v>
                      </c:pt>
                      <c:pt idx="137">
                        <c:v>7.3138680022560827</c:v>
                      </c:pt>
                      <c:pt idx="138">
                        <c:v>7.319304700686823</c:v>
                      </c:pt>
                      <c:pt idx="139">
                        <c:v>7.3251943929051437</c:v>
                      </c:pt>
                      <c:pt idx="140">
                        <c:v>7.3315550627457107</c:v>
                      </c:pt>
                      <c:pt idx="141">
                        <c:v>7.3384062657486915</c:v>
                      </c:pt>
                      <c:pt idx="142">
                        <c:v>7.3457691702382526</c:v>
                      </c:pt>
                      <c:pt idx="143">
                        <c:v>7.3536666037087111</c:v>
                      </c:pt>
                      <c:pt idx="144">
                        <c:v>7.3621231043251463</c:v>
                      </c:pt>
                      <c:pt idx="145">
                        <c:v>7.3711649773685499</c:v>
                      </c:pt>
                      <c:pt idx="146">
                        <c:v>7.3808203564738726</c:v>
                      </c:pt>
                      <c:pt idx="147">
                        <c:v>7.3911192695221368</c:v>
                      </c:pt>
                      <c:pt idx="148">
                        <c:v>7.396000063019331</c:v>
                      </c:pt>
                      <c:pt idx="149">
                        <c:v>7.4277407576018701</c:v>
                      </c:pt>
                      <c:pt idx="150">
                        <c:v>7.4650989170277224</c:v>
                      </c:pt>
                      <c:pt idx="151">
                        <c:v>7.5088895464771621</c:v>
                      </c:pt>
                      <c:pt idx="152">
                        <c:v>7.5600568678634641</c:v>
                      </c:pt>
                      <c:pt idx="153">
                        <c:v>7.6196882302198388</c:v>
                      </c:pt>
                      <c:pt idx="154">
                        <c:v>7.6890289251976913</c:v>
                      </c:pt>
                      <c:pt idx="155">
                        <c:v>7.769497484203816</c:v>
                      </c:pt>
                      <c:pt idx="156">
                        <c:v>7.8627008104592875</c:v>
                      </c:pt>
                      <c:pt idx="157">
                        <c:v>7.9704481876965865</c:v>
                      </c:pt>
                      <c:pt idx="158">
                        <c:v>8.094762835761669</c:v>
                      </c:pt>
                      <c:pt idx="159">
                        <c:v>8.2378893693759139</c:v>
                      </c:pt>
                      <c:pt idx="160">
                        <c:v>8.4022955086907825</c:v>
                      </c:pt>
                      <c:pt idx="161">
                        <c:v>8.5906670327010044</c:v>
                      </c:pt>
                      <c:pt idx="162">
                        <c:v>8.8058964878133779</c:v>
                      </c:pt>
                      <c:pt idx="163">
                        <c:v>9.0510683213789349</c:v>
                      </c:pt>
                      <c:pt idx="164">
                        <c:v>9.297039077751359</c:v>
                      </c:pt>
                      <c:pt idx="165">
                        <c:v>9.7779523961820622</c:v>
                      </c:pt>
                      <c:pt idx="166">
                        <c:v>10.352730560828951</c:v>
                      </c:pt>
                      <c:pt idx="167">
                        <c:v>11.034627383694593</c:v>
                      </c:pt>
                      <c:pt idx="168">
                        <c:v>11.838076155213903</c:v>
                      </c:pt>
                      <c:pt idx="169">
                        <c:v>12.778796256033125</c:v>
                      </c:pt>
                      <c:pt idx="170">
                        <c:v>13.873732294196138</c:v>
                      </c:pt>
                      <c:pt idx="171">
                        <c:v>15.141080921402258</c:v>
                      </c:pt>
                      <c:pt idx="172">
                        <c:v>16.600693620238527</c:v>
                      </c:pt>
                      <c:pt idx="173">
                        <c:v>18.27452982061634</c:v>
                      </c:pt>
                      <c:pt idx="174">
                        <c:v>20.186845552986046</c:v>
                      </c:pt>
                      <c:pt idx="175">
                        <c:v>22.364638934391532</c:v>
                      </c:pt>
                      <c:pt idx="176">
                        <c:v>24.838140163045054</c:v>
                      </c:pt>
                      <c:pt idx="177">
                        <c:v>27.641224563336738</c:v>
                      </c:pt>
                      <c:pt idx="178">
                        <c:v>30.811970151747829</c:v>
                      </c:pt>
                      <c:pt idx="179">
                        <c:v>35.706219237829941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E8D-439D-8A11-4718DCC62FF9}"/>
                  </c:ext>
                </c:extLst>
              </c15:ser>
            </c15:filteredScatterSeries>
          </c:ext>
        </c:extLst>
      </c:scatterChart>
      <c:valAx>
        <c:axId val="630018040"/>
        <c:scaling>
          <c:logBase val="10"/>
          <c:orientation val="minMax"/>
          <c:max val="10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Freq.[Hz]</a:t>
                </a:r>
              </a:p>
            </c:rich>
          </c:tx>
          <c:layout>
            <c:manualLayout>
              <c:xMode val="edge"/>
              <c:yMode val="edge"/>
              <c:x val="0.44146322219888162"/>
              <c:y val="0.935091443569553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ysDash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590860600"/>
        <c:crosses val="autoZero"/>
        <c:crossBetween val="midCat"/>
      </c:valAx>
      <c:valAx>
        <c:axId val="590860600"/>
        <c:scaling>
          <c:orientation val="minMax"/>
          <c:max val="12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SPL[dB]</a:t>
                </a:r>
              </a:p>
            </c:rich>
          </c:tx>
          <c:layout>
            <c:manualLayout>
              <c:xMode val="edge"/>
              <c:yMode val="edge"/>
              <c:x val="1.8179807919084623E-3"/>
              <c:y val="0.3949378783708577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630018040"/>
        <c:crosses val="autoZero"/>
        <c:crossBetween val="midCat"/>
        <c:majorUnit val="10"/>
        <c:minorUnit val="2"/>
      </c:valAx>
      <c:valAx>
        <c:axId val="590861776"/>
        <c:scaling>
          <c:logBase val="10"/>
          <c:orientation val="minMax"/>
          <c:max val="2528.8220000000001"/>
          <c:min val="0.8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noFill/>
              </a:defRPr>
            </a:pPr>
            <a:endParaRPr lang="ja-JP"/>
          </a:p>
        </c:txPr>
        <c:crossAx val="590863344"/>
        <c:crosses val="max"/>
        <c:crossBetween val="midCat"/>
      </c:valAx>
      <c:valAx>
        <c:axId val="59086334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0861776"/>
        <c:crosses val="autoZero"/>
        <c:crossBetween val="midCat"/>
      </c:valAx>
      <c:spPr>
        <a:noFill/>
        <a:ln w="25400">
          <a:solidFill>
            <a:srgbClr val="808080">
              <a:alpha val="99000"/>
            </a:srgbClr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68568757011777648"/>
          <c:y val="0"/>
          <c:w val="0.19306701019933711"/>
          <c:h val="0.164052265205979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0"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ja-JP"/>
        </a:p>
      </c:txPr>
    </c:legend>
    <c:plotVisOnly val="1"/>
    <c:dispBlanksAs val="gap"/>
    <c:showDLblsOverMax val="0"/>
  </c:chart>
  <c:spPr>
    <a:pattFill prst="pct5">
      <a:fgClr>
        <a:srgbClr val="FFFFFF"/>
      </a:fgClr>
      <a:bgClr>
        <a:sysClr val="window" lastClr="FFFFFF"/>
      </a:bgClr>
    </a:pattFill>
    <a:ln w="25400">
      <a:solidFill>
        <a:sysClr val="windowText" lastClr="000000"/>
      </a:solidFill>
      <a:prstDash val="solid"/>
      <a:round/>
    </a:ln>
    <a:effectLst/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Times New Roman" panose="02020603050405020304" pitchFamily="18" charset="0"/>
          <a:ea typeface="Arial"/>
          <a:cs typeface="Times New Roman" panose="02020603050405020304" pitchFamily="18" charset="0"/>
        </a:defRPr>
      </a:pPr>
      <a:endParaRPr lang="ja-JP"/>
    </a:p>
  </c:txPr>
  <c:printSettings>
    <c:headerFooter alignWithMargins="0">
      <c:oddHeader>&amp;A</c:oddHeader>
      <c:oddFooter>- &amp;P -</c:oddFooter>
    </c:headerFooter>
    <c:pageMargins b="1" l="0.75" r="0.75" t="1" header="0.5" footer="0.5"/>
    <c:pageSetup paperSize="9" orientation="landscape" horizontalDpi="300" verticalDpi="300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 b="0"/>
            </a:pPr>
            <a:r>
              <a:rPr lang="en-US" sz="1600" b="0"/>
              <a:t>SPL &amp; IMP.</a:t>
            </a:r>
          </a:p>
        </c:rich>
      </c:tx>
      <c:layout>
        <c:manualLayout>
          <c:xMode val="edge"/>
          <c:yMode val="edge"/>
          <c:x val="0.290645360815947"/>
          <c:y val="6.1185667009015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06363174890265"/>
          <c:y val="0.1642257217847769"/>
          <c:w val="0.74772155084525249"/>
          <c:h val="0.69716307200730354"/>
        </c:manualLayout>
      </c:layout>
      <c:scatterChart>
        <c:scatterStyle val="lineMarker"/>
        <c:varyColors val="0"/>
        <c:ser>
          <c:idx val="2"/>
          <c:order val="2"/>
          <c:tx>
            <c:strRef>
              <c:f>FRES!$AI$4</c:f>
              <c:strCache>
                <c:ptCount val="1"/>
                <c:pt idx="0">
                  <c:v>SPL3</c:v>
                </c:pt>
              </c:strCache>
            </c:strRef>
          </c:tx>
          <c:spPr>
            <a:ln w="28575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FRES!$AI$5:$AI$184</c:f>
              <c:numCache>
                <c:formatCode>General</c:formatCode>
                <c:ptCount val="180"/>
                <c:pt idx="0">
                  <c:v>45.750805856448835</c:v>
                </c:pt>
                <c:pt idx="1">
                  <c:v>46.761651080495604</c:v>
                </c:pt>
                <c:pt idx="2">
                  <c:v>47.773408910804534</c:v>
                </c:pt>
                <c:pt idx="3">
                  <c:v>48.786192387428294</c:v>
                </c:pt>
                <c:pt idx="4">
                  <c:v>49.800128725946102</c:v>
                </c:pt>
                <c:pt idx="5">
                  <c:v>50.815361139616343</c:v>
                </c:pt>
                <c:pt idx="6">
                  <c:v>51.832050906961172</c:v>
                </c:pt>
                <c:pt idx="7">
                  <c:v>52.850379720566011</c:v>
                </c:pt>
                <c:pt idx="8">
                  <c:v>53.87055235871108</c:v>
                </c:pt>
                <c:pt idx="9">
                  <c:v>54.892799728355762</c:v>
                </c:pt>
                <c:pt idx="10">
                  <c:v>55.917382336176551</c:v>
                </c:pt>
                <c:pt idx="11">
                  <c:v>56.944594254070381</c:v>
                </c:pt>
                <c:pt idx="12">
                  <c:v>57.974767657055253</c:v>
                </c:pt>
                <c:pt idx="13">
                  <c:v>58.491080403828093</c:v>
                </c:pt>
                <c:pt idx="14">
                  <c:v>59.00827802516821</c:v>
                </c:pt>
                <c:pt idx="15">
                  <c:v>59.526415202148755</c:v>
                </c:pt>
                <c:pt idx="16">
                  <c:v>60.045550117119426</c:v>
                </c:pt>
                <c:pt idx="17">
                  <c:v>60.565744691718564</c:v>
                </c:pt>
                <c:pt idx="18">
                  <c:v>61.087064842483471</c:v>
                </c:pt>
                <c:pt idx="19">
                  <c:v>61.609580755470496</c:v>
                </c:pt>
                <c:pt idx="20">
                  <c:v>62.133367181409305</c:v>
                </c:pt>
                <c:pt idx="21">
                  <c:v>62.658503753035966</c:v>
                </c:pt>
                <c:pt idx="22">
                  <c:v>63.185075326370409</c:v>
                </c:pt>
                <c:pt idx="23">
                  <c:v>63.713172347831261</c:v>
                </c:pt>
                <c:pt idx="24">
                  <c:v>64.242891249207105</c:v>
                </c:pt>
                <c:pt idx="25">
                  <c:v>64.774334872624578</c:v>
                </c:pt>
                <c:pt idx="26">
                  <c:v>65.307612927767522</c:v>
                </c:pt>
                <c:pt idx="27">
                  <c:v>65.842842483696302</c:v>
                </c:pt>
                <c:pt idx="28">
                  <c:v>66.380148497683493</c:v>
                </c:pt>
                <c:pt idx="29">
                  <c:v>66.919664383508277</c:v>
                </c:pt>
                <c:pt idx="30">
                  <c:v>67.461532621607546</c:v>
                </c:pt>
                <c:pt idx="31">
                  <c:v>68.005905413356246</c:v>
                </c:pt>
                <c:pt idx="32">
                  <c:v>68.552945381482672</c:v>
                </c:pt>
                <c:pt idx="33">
                  <c:v>69.10282631818599</c:v>
                </c:pt>
                <c:pt idx="34">
                  <c:v>69.655733981823218</c:v>
                </c:pt>
                <c:pt idx="35">
                  <c:v>70.211866941996021</c:v>
                </c:pt>
                <c:pt idx="36">
                  <c:v>70.771437471346403</c:v>
                </c:pt>
                <c:pt idx="37">
                  <c:v>71.334672480200396</c:v>
                </c:pt>
                <c:pt idx="38">
                  <c:v>71.901814487143582</c:v>
                </c:pt>
                <c:pt idx="39">
                  <c:v>72.473122614331345</c:v>
                </c:pt>
                <c:pt idx="40">
                  <c:v>73.048873590413322</c:v>
                </c:pt>
                <c:pt idx="41">
                  <c:v>73.629362735752522</c:v>
                </c:pt>
                <c:pt idx="42">
                  <c:v>74.21490489333722</c:v>
                </c:pt>
                <c:pt idx="43">
                  <c:v>74.805835253269152</c:v>
                </c:pt>
                <c:pt idx="44">
                  <c:v>75.402509997404621</c:v>
                </c:pt>
                <c:pt idx="45">
                  <c:v>76.005306661467444</c:v>
                </c:pt>
                <c:pt idx="46">
                  <c:v>76.614624071775978</c:v>
                </c:pt>
                <c:pt idx="47">
                  <c:v>77.230881658523543</c:v>
                </c:pt>
                <c:pt idx="48">
                  <c:v>77.85451787166609</c:v>
                </c:pt>
                <c:pt idx="49">
                  <c:v>78.485987321105469</c:v>
                </c:pt>
                <c:pt idx="50">
                  <c:v>79.125756119315739</c:v>
                </c:pt>
                <c:pt idx="51">
                  <c:v>79.774294707273057</c:v>
                </c:pt>
                <c:pt idx="52">
                  <c:v>80.432067173867551</c:v>
                </c:pt>
                <c:pt idx="53">
                  <c:v>81.099515708930085</c:v>
                </c:pt>
                <c:pt idx="54">
                  <c:v>81.777038327229889</c:v>
                </c:pt>
                <c:pt idx="55">
                  <c:v>82.46495732464119</c:v>
                </c:pt>
                <c:pt idx="56">
                  <c:v>83.163475033150007</c:v>
                </c:pt>
                <c:pt idx="57">
                  <c:v>83.872612288962898</c:v>
                </c:pt>
                <c:pt idx="58">
                  <c:v>84.592123607517806</c:v>
                </c:pt>
                <c:pt idx="59">
                  <c:v>85.321381441690548</c:v>
                </c:pt>
                <c:pt idx="60">
                  <c:v>86.059220339981621</c:v>
                </c:pt>
                <c:pt idx="61">
                  <c:v>86.803730948268083</c:v>
                </c:pt>
                <c:pt idx="62">
                  <c:v>87.551994929327833</c:v>
                </c:pt>
                <c:pt idx="63">
                  <c:v>88.299757468498967</c:v>
                </c:pt>
                <c:pt idx="64">
                  <c:v>89.041048153852728</c:v>
                </c:pt>
                <c:pt idx="65">
                  <c:v>89.767789275989401</c:v>
                </c:pt>
                <c:pt idx="66">
                  <c:v>90.469478256241786</c:v>
                </c:pt>
                <c:pt idx="67">
                  <c:v>91.133096873859699</c:v>
                </c:pt>
                <c:pt idx="68">
                  <c:v>91.743464683569456</c:v>
                </c:pt>
                <c:pt idx="69">
                  <c:v>92.284265751310471</c:v>
                </c:pt>
                <c:pt idx="70">
                  <c:v>92.739857122818307</c:v>
                </c:pt>
                <c:pt idx="71">
                  <c:v>93.097663005728037</c:v>
                </c:pt>
                <c:pt idx="72">
                  <c:v>93.350553955956542</c:v>
                </c:pt>
                <c:pt idx="73">
                  <c:v>93.49837150257089</c:v>
                </c:pt>
                <c:pt idx="74">
                  <c:v>93.547963267245549</c:v>
                </c:pt>
                <c:pt idx="75">
                  <c:v>93.511713167466084</c:v>
                </c:pt>
                <c:pt idx="76">
                  <c:v>93.405181523419969</c:v>
                </c:pt>
                <c:pt idx="77">
                  <c:v>93.244696255949989</c:v>
                </c:pt>
                <c:pt idx="78">
                  <c:v>93.045512096522117</c:v>
                </c:pt>
                <c:pt idx="79">
                  <c:v>92.820750637406348</c:v>
                </c:pt>
                <c:pt idx="80">
                  <c:v>92.581022165439236</c:v>
                </c:pt>
                <c:pt idx="81">
                  <c:v>92.334502040259082</c:v>
                </c:pt>
                <c:pt idx="82">
                  <c:v>92.08724210717773</c:v>
                </c:pt>
                <c:pt idx="83">
                  <c:v>91.843561396111937</c:v>
                </c:pt>
                <c:pt idx="84">
                  <c:v>91.606426861122387</c:v>
                </c:pt>
                <c:pt idx="85">
                  <c:v>91.377783477424316</c:v>
                </c:pt>
                <c:pt idx="86">
                  <c:v>91.158822018927196</c:v>
                </c:pt>
                <c:pt idx="87">
                  <c:v>90.950187448065407</c:v>
                </c:pt>
                <c:pt idx="88">
                  <c:v>90.752136716716606</c:v>
                </c:pt>
                <c:pt idx="89">
                  <c:v>90.564656040125143</c:v>
                </c:pt>
                <c:pt idx="90">
                  <c:v>90.387546885678631</c:v>
                </c:pt>
                <c:pt idx="91">
                  <c:v>90.220488371971356</c:v>
                </c:pt>
                <c:pt idx="92">
                  <c:v>90.063082151427437</c:v>
                </c:pt>
                <c:pt idx="93">
                  <c:v>89.914884418411759</c:v>
                </c:pt>
                <c:pt idx="94">
                  <c:v>89.775428520569278</c:v>
                </c:pt>
                <c:pt idx="95">
                  <c:v>89.644240746145186</c:v>
                </c:pt>
                <c:pt idx="96">
                  <c:v>89.520851175343125</c:v>
                </c:pt>
                <c:pt idx="97">
                  <c:v>89.404800974376116</c:v>
                </c:pt>
                <c:pt idx="98">
                  <c:v>89.295647135805197</c:v>
                </c:pt>
                <c:pt idx="99">
                  <c:v>89.192965394360954</c:v>
                </c:pt>
                <c:pt idx="100">
                  <c:v>89.096351847420635</c:v>
                </c:pt>
                <c:pt idx="101">
                  <c:v>89.005423663778885</c:v>
                </c:pt>
                <c:pt idx="102">
                  <c:v>88.91981915853215</c:v>
                </c:pt>
                <c:pt idx="103">
                  <c:v>88.839197434957171</c:v>
                </c:pt>
                <c:pt idx="104">
                  <c:v>88.763237738301967</c:v>
                </c:pt>
                <c:pt idx="105">
                  <c:v>88.691638625670222</c:v>
                </c:pt>
                <c:pt idx="106">
                  <c:v>88.62411702652733</c:v>
                </c:pt>
                <c:pt idx="107">
                  <c:v>88.560407246755318</c:v>
                </c:pt>
                <c:pt idx="108">
                  <c:v>88.500259953460045</c:v>
                </c:pt>
                <c:pt idx="109">
                  <c:v>88.443441166298527</c:v>
                </c:pt>
                <c:pt idx="110">
                  <c:v>88.389731272788126</c:v>
                </c:pt>
                <c:pt idx="111">
                  <c:v>88.338924079056383</c:v>
                </c:pt>
                <c:pt idx="112">
                  <c:v>88.290825903154499</c:v>
                </c:pt>
                <c:pt idx="113">
                  <c:v>88.24525471496672</c:v>
                </c:pt>
                <c:pt idx="114">
                  <c:v>88.202039324548181</c:v>
                </c:pt>
                <c:pt idx="115">
                  <c:v>88.161018619193271</c:v>
                </c:pt>
                <c:pt idx="116">
                  <c:v>88.12204084848311</c:v>
                </c:pt>
                <c:pt idx="117">
                  <c:v>88.084962955864</c:v>
                </c:pt>
                <c:pt idx="118">
                  <c:v>88.049649954864748</c:v>
                </c:pt>
                <c:pt idx="119">
                  <c:v>88.015974347803279</c:v>
                </c:pt>
                <c:pt idx="120">
                  <c:v>87.983815584702981</c:v>
                </c:pt>
                <c:pt idx="121">
                  <c:v>87.953059560111427</c:v>
                </c:pt>
                <c:pt idx="122">
                  <c:v>87.923598145536886</c:v>
                </c:pt>
                <c:pt idx="123">
                  <c:v>87.895328755298848</c:v>
                </c:pt>
                <c:pt idx="124">
                  <c:v>87.868153943683822</c:v>
                </c:pt>
                <c:pt idx="125">
                  <c:v>87.841981031418953</c:v>
                </c:pt>
                <c:pt idx="126">
                  <c:v>87.816721759596163</c:v>
                </c:pt>
                <c:pt idx="127">
                  <c:v>87.792291969308906</c:v>
                </c:pt>
                <c:pt idx="128">
                  <c:v>87.768611305380205</c:v>
                </c:pt>
                <c:pt idx="129">
                  <c:v>87.745602942678872</c:v>
                </c:pt>
                <c:pt idx="130">
                  <c:v>87.723193333620657</c:v>
                </c:pt>
                <c:pt idx="131">
                  <c:v>87.70131197554349</c:v>
                </c:pt>
                <c:pt idx="132">
                  <c:v>87.679891196721769</c:v>
                </c:pt>
                <c:pt idx="133">
                  <c:v>87.658865959843283</c:v>
                </c:pt>
                <c:pt idx="134">
                  <c:v>87.638173681815076</c:v>
                </c:pt>
                <c:pt idx="135">
                  <c:v>87.617754068782773</c:v>
                </c:pt>
                <c:pt idx="136">
                  <c:v>87.597548965253225</c:v>
                </c:pt>
                <c:pt idx="137">
                  <c:v>87.577502216180818</c:v>
                </c:pt>
                <c:pt idx="138">
                  <c:v>87.557559540836479</c:v>
                </c:pt>
                <c:pt idx="139">
                  <c:v>87.537668417199683</c:v>
                </c:pt>
                <c:pt idx="140">
                  <c:v>87.517777975517362</c:v>
                </c:pt>
                <c:pt idx="141">
                  <c:v>87.497838899541222</c:v>
                </c:pt>
                <c:pt idx="142">
                  <c:v>87.477803333798363</c:v>
                </c:pt>
                <c:pt idx="143">
                  <c:v>87.457624795063666</c:v>
                </c:pt>
                <c:pt idx="144">
                  <c:v>87.437258085985633</c:v>
                </c:pt>
                <c:pt idx="145">
                  <c:v>87.416659208577272</c:v>
                </c:pt>
                <c:pt idx="146">
                  <c:v>87.395785275017971</c:v>
                </c:pt>
                <c:pt idx="147">
                  <c:v>87.374594412930492</c:v>
                </c:pt>
                <c:pt idx="148">
                  <c:v>87.364889316035942</c:v>
                </c:pt>
                <c:pt idx="149">
                  <c:v>87.30601491630766</c:v>
                </c:pt>
                <c:pt idx="150">
                  <c:v>87.24372009945094</c:v>
                </c:pt>
                <c:pt idx="151">
                  <c:v>87.177271206226777</c:v>
                </c:pt>
                <c:pt idx="152">
                  <c:v>87.105916855752469</c:v>
                </c:pt>
                <c:pt idx="153">
                  <c:v>87.028841636557971</c:v>
                </c:pt>
                <c:pt idx="154">
                  <c:v>86.945103497753934</c:v>
                </c:pt>
                <c:pt idx="155">
                  <c:v>86.853556185300732</c:v>
                </c:pt>
                <c:pt idx="156">
                  <c:v>86.75276452534726</c:v>
                </c:pt>
                <c:pt idx="157">
                  <c:v>86.640929669148107</c:v>
                </c:pt>
                <c:pt idx="158">
                  <c:v>86.51585175495066</c:v>
                </c:pt>
                <c:pt idx="159">
                  <c:v>86.374963917759757</c:v>
                </c:pt>
                <c:pt idx="160">
                  <c:v>86.215466069306927</c:v>
                </c:pt>
                <c:pt idx="161">
                  <c:v>86.034561318231709</c:v>
                </c:pt>
                <c:pt idx="162">
                  <c:v>85.829752924154974</c:v>
                </c:pt>
                <c:pt idx="163">
                  <c:v>85.599115170061907</c:v>
                </c:pt>
                <c:pt idx="164">
                  <c:v>85.371183285842392</c:v>
                </c:pt>
                <c:pt idx="165">
                  <c:v>84.937659707249281</c:v>
                </c:pt>
                <c:pt idx="166">
                  <c:v>84.443130026991682</c:v>
                </c:pt>
                <c:pt idx="167">
                  <c:v>83.890473207290739</c:v>
                </c:pt>
                <c:pt idx="168">
                  <c:v>83.282765430303002</c:v>
                </c:pt>
                <c:pt idx="169">
                  <c:v>82.621548708978139</c:v>
                </c:pt>
                <c:pt idx="170">
                  <c:v>81.908953797535133</c:v>
                </c:pt>
                <c:pt idx="171">
                  <c:v>81.150373561331236</c:v>
                </c:pt>
                <c:pt idx="172">
                  <c:v>80.35220081573938</c:v>
                </c:pt>
                <c:pt idx="173">
                  <c:v>79.518615247582687</c:v>
                </c:pt>
                <c:pt idx="174">
                  <c:v>78.654639374959686</c:v>
                </c:pt>
                <c:pt idx="175">
                  <c:v>77.765367731219669</c:v>
                </c:pt>
                <c:pt idx="176">
                  <c:v>76.854531201794998</c:v>
                </c:pt>
                <c:pt idx="177">
                  <c:v>75.926101838892862</c:v>
                </c:pt>
                <c:pt idx="178">
                  <c:v>74.983106625483742</c:v>
                </c:pt>
                <c:pt idx="179">
                  <c:v>73.702860750320113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0-4611-A361-F2460FE07A0E}"/>
            </c:ext>
          </c:extLst>
        </c:ser>
        <c:ser>
          <c:idx val="8"/>
          <c:order val="8"/>
          <c:tx>
            <c:strRef>
              <c:f>FRES!$AU$4</c:f>
              <c:strCache>
                <c:ptCount val="1"/>
                <c:pt idx="0">
                  <c:v>Phase3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FRES!$AU$5:$AU$184</c:f>
              <c:numCache>
                <c:formatCode>General</c:formatCode>
                <c:ptCount val="180"/>
                <c:pt idx="0">
                  <c:v>119.84807033432885</c:v>
                </c:pt>
                <c:pt idx="1">
                  <c:v>119.83889314163783</c:v>
                </c:pt>
                <c:pt idx="2">
                  <c:v>119.8291428995112</c:v>
                </c:pt>
                <c:pt idx="3">
                  <c:v>119.81878026024847</c:v>
                </c:pt>
                <c:pt idx="4">
                  <c:v>119.80776250538911</c:v>
                </c:pt>
                <c:pt idx="5">
                  <c:v>119.79604313876747</c:v>
                </c:pt>
                <c:pt idx="6">
                  <c:v>119.78357141235084</c:v>
                </c:pt>
                <c:pt idx="7">
                  <c:v>119.77029177134322</c:v>
                </c:pt>
                <c:pt idx="8">
                  <c:v>119.75614320193947</c:v>
                </c:pt>
                <c:pt idx="9">
                  <c:v>119.74105846121675</c:v>
                </c:pt>
                <c:pt idx="10">
                  <c:v>119.72496316372147</c:v>
                </c:pt>
                <c:pt idx="11">
                  <c:v>119.70777469303914</c:v>
                </c:pt>
                <c:pt idx="12">
                  <c:v>119.68940089861073</c:v>
                </c:pt>
                <c:pt idx="13">
                  <c:v>119.67973772147714</c:v>
                </c:pt>
                <c:pt idx="14">
                  <c:v>119.66973852772355</c:v>
                </c:pt>
                <c:pt idx="15">
                  <c:v>119.6593883651943</c:v>
                </c:pt>
                <c:pt idx="16">
                  <c:v>119.6486713292046</c:v>
                </c:pt>
                <c:pt idx="17">
                  <c:v>119.63757047942141</c:v>
                </c:pt>
                <c:pt idx="18">
                  <c:v>119.62606774784373</c:v>
                </c:pt>
                <c:pt idx="19">
                  <c:v>119.61414383677852</c:v>
                </c:pt>
                <c:pt idx="20">
                  <c:v>119.60177810555379</c:v>
                </c:pt>
                <c:pt idx="21">
                  <c:v>119.58894844452874</c:v>
                </c:pt>
                <c:pt idx="22">
                  <c:v>119.57563113475254</c:v>
                </c:pt>
                <c:pt idx="23">
                  <c:v>119.56180069137895</c:v>
                </c:pt>
                <c:pt idx="24">
                  <c:v>119.54742968865955</c:v>
                </c:pt>
                <c:pt idx="25">
                  <c:v>119.53248856400623</c:v>
                </c:pt>
                <c:pt idx="26">
                  <c:v>119.51694539822398</c:v>
                </c:pt>
                <c:pt idx="27">
                  <c:v>119.50076566855763</c:v>
                </c:pt>
                <c:pt idx="28">
                  <c:v>119.48391197065777</c:v>
                </c:pt>
                <c:pt idx="29">
                  <c:v>119.46634370493661</c:v>
                </c:pt>
                <c:pt idx="30">
                  <c:v>119.44801672203303</c:v>
                </c:pt>
                <c:pt idx="31">
                  <c:v>119.42888292121731</c:v>
                </c:pt>
                <c:pt idx="32">
                  <c:v>119.4088897945085</c:v>
                </c:pt>
                <c:pt idx="33">
                  <c:v>119.38797990802053</c:v>
                </c:pt>
                <c:pt idx="34">
                  <c:v>119.36609031055283</c:v>
                </c:pt>
                <c:pt idx="35">
                  <c:v>119.34315185764807</c:v>
                </c:pt>
                <c:pt idx="36">
                  <c:v>119.31908843719272</c:v>
                </c:pt>
                <c:pt idx="37">
                  <c:v>119.29381608006173</c:v>
                </c:pt>
                <c:pt idx="38">
                  <c:v>119.26724193621368</c:v>
                </c:pt>
                <c:pt idx="39">
                  <c:v>119.23926309292445</c:v>
                </c:pt>
                <c:pt idx="40">
                  <c:v>119.20976520736993</c:v>
                </c:pt>
                <c:pt idx="41">
                  <c:v>119.17862092038202</c:v>
                </c:pt>
                <c:pt idx="42">
                  <c:v>119.14568801172351</c:v>
                </c:pt>
                <c:pt idx="43">
                  <c:v>119.11080724945097</c:v>
                </c:pt>
                <c:pt idx="44">
                  <c:v>119.07379987662917</c:v>
                </c:pt>
                <c:pt idx="45">
                  <c:v>119.03446466758423</c:v>
                </c:pt>
                <c:pt idx="46">
                  <c:v>118.99257447280606</c:v>
                </c:pt>
                <c:pt idx="47">
                  <c:v>118.94787215636151</c:v>
                </c:pt>
                <c:pt idx="48">
                  <c:v>118.90006581223763</c:v>
                </c:pt>
                <c:pt idx="49">
                  <c:v>118.84882312667187</c:v>
                </c:pt>
                <c:pt idx="50">
                  <c:v>118.79376473309276</c:v>
                </c:pt>
                <c:pt idx="51">
                  <c:v>118.73445638665336</c:v>
                </c:pt>
                <c:pt idx="52">
                  <c:v>118.67039977014579</c:v>
                </c:pt>
                <c:pt idx="53">
                  <c:v>118.60102173902644</c:v>
                </c:pt>
                <c:pt idx="54">
                  <c:v>118.525661832152</c:v>
                </c:pt>
                <c:pt idx="55">
                  <c:v>118.44355793679465</c:v>
                </c:pt>
                <c:pt idx="56">
                  <c:v>118.353830135268</c:v>
                </c:pt>
                <c:pt idx="57">
                  <c:v>118.25546303102026</c:v>
                </c:pt>
                <c:pt idx="58">
                  <c:v>118.14728734156395</c:v>
                </c:pt>
                <c:pt idx="59">
                  <c:v>118.02796238755872</c:v>
                </c:pt>
                <c:pt idx="60">
                  <c:v>117.89596249500609</c:v>
                </c:pt>
                <c:pt idx="61">
                  <c:v>117.74957251600543</c:v>
                </c:pt>
                <c:pt idx="62">
                  <c:v>117.58690094173031</c:v>
                </c:pt>
                <c:pt idx="63">
                  <c:v>117.40592359127362</c:v>
                </c:pt>
                <c:pt idx="64">
                  <c:v>117.20457630165809</c:v>
                </c:pt>
                <c:pt idx="65">
                  <c:v>116.98091991630233</c:v>
                </c:pt>
                <c:pt idx="66">
                  <c:v>116.73340134893002</c:v>
                </c:pt>
                <c:pt idx="67">
                  <c:v>116.46122339563792</c:v>
                </c:pt>
                <c:pt idx="68">
                  <c:v>116.16480360893142</c:v>
                </c:pt>
                <c:pt idx="69">
                  <c:v>115.84624323150042</c:v>
                </c:pt>
                <c:pt idx="70">
                  <c:v>115.50965363794839</c:v>
                </c:pt>
                <c:pt idx="71">
                  <c:v>115.1611454060302</c:v>
                </c:pt>
                <c:pt idx="72">
                  <c:v>114.80833981018705</c:v>
                </c:pt>
                <c:pt idx="73">
                  <c:v>114.45943946318597</c:v>
                </c:pt>
                <c:pt idx="74">
                  <c:v>114.12211262746918</c:v>
                </c:pt>
                <c:pt idx="75">
                  <c:v>113.80254911447508</c:v>
                </c:pt>
                <c:pt idx="76">
                  <c:v>113.50495025298889</c:v>
                </c:pt>
                <c:pt idx="77">
                  <c:v>113.23149927205695</c:v>
                </c:pt>
                <c:pt idx="78">
                  <c:v>112.98267718663647</c:v>
                </c:pt>
                <c:pt idx="79">
                  <c:v>112.75772922106239</c:v>
                </c:pt>
                <c:pt idx="80">
                  <c:v>112.55512627856262</c:v>
                </c:pt>
                <c:pt idx="81">
                  <c:v>112.37293935792876</c:v>
                </c:pt>
                <c:pt idx="82">
                  <c:v>112.20910521609605</c:v>
                </c:pt>
                <c:pt idx="83">
                  <c:v>112.06159505670601</c:v>
                </c:pt>
                <c:pt idx="84">
                  <c:v>111.92850984528167</c:v>
                </c:pt>
                <c:pt idx="85">
                  <c:v>111.80812569932206</c:v>
                </c:pt>
                <c:pt idx="86">
                  <c:v>111.69890801935796</c:v>
                </c:pt>
                <c:pt idx="87">
                  <c:v>111.59950756665833</c:v>
                </c:pt>
                <c:pt idx="88">
                  <c:v>111.50874713099729</c:v>
                </c:pt>
                <c:pt idx="89">
                  <c:v>111.42560411141982</c:v>
                </c:pt>
                <c:pt idx="90">
                  <c:v>111.34919210325762</c:v>
                </c:pt>
                <c:pt idx="91">
                  <c:v>111.27874316794183</c:v>
                </c:pt>
                <c:pt idx="92">
                  <c:v>111.21359160101343</c:v>
                </c:pt>
                <c:pt idx="93">
                  <c:v>111.15315951208272</c:v>
                </c:pt>
                <c:pt idx="94">
                  <c:v>111.09694425255179</c:v>
                </c:pt>
                <c:pt idx="95">
                  <c:v>111.044507583761</c:v>
                </c:pt>
                <c:pt idx="96">
                  <c:v>110.99546641373901</c:v>
                </c:pt>
                <c:pt idx="97">
                  <c:v>110.94948491048822</c:v>
                </c:pt>
                <c:pt idx="98">
                  <c:v>110.90626780308995</c:v>
                </c:pt>
                <c:pt idx="99">
                  <c:v>110.86555469678899</c:v>
                </c:pt>
                <c:pt idx="100">
                  <c:v>110.82711524775554</c:v>
                </c:pt>
                <c:pt idx="101">
                  <c:v>110.7907450636669</c:v>
                </c:pt>
                <c:pt idx="102">
                  <c:v>110.7562622156801</c:v>
                </c:pt>
                <c:pt idx="103">
                  <c:v>110.72350426489839</c:v>
                </c:pt>
                <c:pt idx="104">
                  <c:v>110.69232572177627</c:v>
                </c:pt>
                <c:pt idx="105">
                  <c:v>110.66259587007232</c:v>
                </c:pt>
                <c:pt idx="106">
                  <c:v>110.63419689811546</c:v>
                </c:pt>
                <c:pt idx="107">
                  <c:v>110.6070222895228</c:v>
                </c:pt>
                <c:pt idx="108">
                  <c:v>110.58097543334318</c:v>
                </c:pt>
                <c:pt idx="109">
                  <c:v>110.55596842012667</c:v>
                </c:pt>
                <c:pt idx="110">
                  <c:v>110.53192099584724</c:v>
                </c:pt>
                <c:pt idx="111">
                  <c:v>110.50875965011531</c:v>
                </c:pt>
                <c:pt idx="112">
                  <c:v>110.4864168188633</c:v>
                </c:pt>
                <c:pt idx="113">
                  <c:v>110.46483018480296</c:v>
                </c:pt>
                <c:pt idx="114">
                  <c:v>110.44394206154543</c:v>
                </c:pt>
                <c:pt idx="115">
                  <c:v>110.42369884943766</c:v>
                </c:pt>
                <c:pt idx="116">
                  <c:v>110.40405055297268</c:v>
                </c:pt>
                <c:pt idx="117">
                  <c:v>110.38495035114261</c:v>
                </c:pt>
                <c:pt idx="118">
                  <c:v>110.36635421336902</c:v>
                </c:pt>
                <c:pt idx="119">
                  <c:v>110.34822055471098</c:v>
                </c:pt>
                <c:pt idx="120">
                  <c:v>110.33050992494813</c:v>
                </c:pt>
                <c:pt idx="121">
                  <c:v>110.31318472689547</c:v>
                </c:pt>
                <c:pt idx="122">
                  <c:v>110.29620895995002</c:v>
                </c:pt>
                <c:pt idx="123">
                  <c:v>110.27954798541808</c:v>
                </c:pt>
                <c:pt idx="124">
                  <c:v>110.26316831064021</c:v>
                </c:pt>
                <c:pt idx="125">
                  <c:v>110.24703738933401</c:v>
                </c:pt>
                <c:pt idx="126">
                  <c:v>110.23112343592301</c:v>
                </c:pt>
                <c:pt idx="127">
                  <c:v>110.21539525192337</c:v>
                </c:pt>
                <c:pt idx="128">
                  <c:v>110.19982206272543</c:v>
                </c:pt>
                <c:pt idx="129">
                  <c:v>110.18437336334404</c:v>
                </c:pt>
                <c:pt idx="130">
                  <c:v>110.16901877192201</c:v>
                </c:pt>
                <c:pt idx="131">
                  <c:v>110.15372788996393</c:v>
                </c:pt>
                <c:pt idx="132">
                  <c:v>110.13847016845448</c:v>
                </c:pt>
                <c:pt idx="133">
                  <c:v>110.12321477918162</c:v>
                </c:pt>
                <c:pt idx="134">
                  <c:v>110.10793049074391</c:v>
                </c:pt>
                <c:pt idx="135">
                  <c:v>110.09258554887511</c:v>
                </c:pt>
                <c:pt idx="136">
                  <c:v>110.07714756087226</c:v>
                </c:pt>
                <c:pt idx="137">
                  <c:v>110.06158338406671</c:v>
                </c:pt>
                <c:pt idx="138">
                  <c:v>110.04585901843497</c:v>
                </c:pt>
                <c:pt idx="139">
                  <c:v>110.02993950360897</c:v>
                </c:pt>
                <c:pt idx="140">
                  <c:v>110.01378882071614</c:v>
                </c:pt>
                <c:pt idx="141">
                  <c:v>109.9973697996604</c:v>
                </c:pt>
                <c:pt idx="142">
                  <c:v>109.98064403264769</c:v>
                </c:pt>
                <c:pt idx="143">
                  <c:v>109.96357179496609</c:v>
                </c:pt>
                <c:pt idx="144">
                  <c:v>109.94611197425222</c:v>
                </c:pt>
                <c:pt idx="145">
                  <c:v>109.92822200971383</c:v>
                </c:pt>
                <c:pt idx="146">
                  <c:v>109.90985784303602</c:v>
                </c:pt>
                <c:pt idx="147">
                  <c:v>109.89097388297334</c:v>
                </c:pt>
                <c:pt idx="148">
                  <c:v>109.88224452129239</c:v>
                </c:pt>
                <c:pt idx="149">
                  <c:v>109.82820559998873</c:v>
                </c:pt>
                <c:pt idx="150">
                  <c:v>109.76901430434927</c:v>
                </c:pt>
                <c:pt idx="151">
                  <c:v>109.70364157417825</c:v>
                </c:pt>
                <c:pt idx="152">
                  <c:v>109.63100910850129</c:v>
                </c:pt>
                <c:pt idx="153">
                  <c:v>109.55002595075719</c:v>
                </c:pt>
                <c:pt idx="154">
                  <c:v>109.45964698858073</c:v>
                </c:pt>
                <c:pt idx="155">
                  <c:v>109.35895870336331</c:v>
                </c:pt>
                <c:pt idx="156">
                  <c:v>109.24729609368981</c:v>
                </c:pt>
                <c:pt idx="157">
                  <c:v>109.12439048856096</c:v>
                </c:pt>
                <c:pt idx="158">
                  <c:v>108.99053922248659</c:v>
                </c:pt>
                <c:pt idx="159">
                  <c:v>108.84677329611756</c:v>
                </c:pt>
                <c:pt idx="160">
                  <c:v>108.6949783137887</c:v>
                </c:pt>
                <c:pt idx="161">
                  <c:v>108.53790154164847</c:v>
                </c:pt>
                <c:pt idx="162">
                  <c:v>108.37896514078183</c:v>
                </c:pt>
                <c:pt idx="163">
                  <c:v>108.22182097240153</c:v>
                </c:pt>
                <c:pt idx="164">
                  <c:v>108.08609765919648</c:v>
                </c:pt>
                <c:pt idx="165">
                  <c:v>107.86954282007363</c:v>
                </c:pt>
                <c:pt idx="166">
                  <c:v>107.66612775955383</c:v>
                </c:pt>
                <c:pt idx="167">
                  <c:v>107.46583545354139</c:v>
                </c:pt>
                <c:pt idx="168">
                  <c:v>107.26099547428075</c:v>
                </c:pt>
                <c:pt idx="169">
                  <c:v>107.05861778078983</c:v>
                </c:pt>
                <c:pt idx="170">
                  <c:v>106.87327150451129</c:v>
                </c:pt>
                <c:pt idx="171">
                  <c:v>106.70328423500891</c:v>
                </c:pt>
                <c:pt idx="172">
                  <c:v>106.53790220392645</c:v>
                </c:pt>
                <c:pt idx="173">
                  <c:v>106.38630056456994</c:v>
                </c:pt>
                <c:pt idx="174">
                  <c:v>106.2491212744887</c:v>
                </c:pt>
                <c:pt idx="175">
                  <c:v>106.12041232009614</c:v>
                </c:pt>
                <c:pt idx="176">
                  <c:v>106.00589067094633</c:v>
                </c:pt>
                <c:pt idx="177">
                  <c:v>105.900445899003</c:v>
                </c:pt>
                <c:pt idx="178">
                  <c:v>105.80546715185359</c:v>
                </c:pt>
                <c:pt idx="179">
                  <c:v>105.69317709782699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0-4611-A361-F2460FE07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8040"/>
        <c:axId val="5908606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FRES!$AG$4</c15:sqref>
                        </c15:formulaRef>
                      </c:ext>
                    </c:extLst>
                    <c:strCache>
                      <c:ptCount val="1"/>
                      <c:pt idx="0">
                        <c:v>SPL1</c:v>
                      </c:pt>
                    </c:strCache>
                  </c:strRef>
                </c:tx>
                <c:spPr>
                  <a:ln w="254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FRES!$AG$5:$AG$184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57.869234030299083</c:v>
                      </c:pt>
                      <c:pt idx="1">
                        <c:v>58.888626676431542</c:v>
                      </c:pt>
                      <c:pt idx="2">
                        <c:v>59.909877410983448</c:v>
                      </c:pt>
                      <c:pt idx="3">
                        <c:v>60.933186871760668</c:v>
                      </c:pt>
                      <c:pt idx="4">
                        <c:v>61.958772486293334</c:v>
                      </c:pt>
                      <c:pt idx="5">
                        <c:v>62.986868173454269</c:v>
                      </c:pt>
                      <c:pt idx="6">
                        <c:v>64.017723256171976</c:v>
                      </c:pt>
                      <c:pt idx="7">
                        <c:v>65.051600233922215</c:v>
                      </c:pt>
                      <c:pt idx="8">
                        <c:v>66.088770929941518</c:v>
                      </c:pt>
                      <c:pt idx="9">
                        <c:v>67.129510344760718</c:v>
                      </c:pt>
                      <c:pt idx="10">
                        <c:v>68.174087296733958</c:v>
                      </c:pt>
                      <c:pt idx="11">
                        <c:v>69.222750588005837</c:v>
                      </c:pt>
                      <c:pt idx="12">
                        <c:v>70.275708970293493</c:v>
                      </c:pt>
                      <c:pt idx="13">
                        <c:v>70.803846293481456</c:v>
                      </c:pt>
                      <c:pt idx="14">
                        <c:v>71.333102561616428</c:v>
                      </c:pt>
                      <c:pt idx="15">
                        <c:v>71.863477966497811</c:v>
                      </c:pt>
                      <c:pt idx="16">
                        <c:v>72.39496254091344</c:v>
                      </c:pt>
                      <c:pt idx="17">
                        <c:v>72.927533947538777</c:v>
                      </c:pt>
                      <c:pt idx="18">
                        <c:v>73.461154884287609</c:v>
                      </c:pt>
                      <c:pt idx="19">
                        <c:v>73.995770047784248</c:v>
                      </c:pt>
                      <c:pt idx="20">
                        <c:v>74.531302590284866</c:v>
                      </c:pt>
                      <c:pt idx="21">
                        <c:v>75.067649999483564</c:v>
                      </c:pt>
                      <c:pt idx="22">
                        <c:v>75.604679325844927</c:v>
                      </c:pt>
                      <c:pt idx="23">
                        <c:v>76.142221679387404</c:v>
                      </c:pt>
                      <c:pt idx="24">
                        <c:v>76.6800659185607</c:v>
                      </c:pt>
                      <c:pt idx="25">
                        <c:v>77.217951459932351</c:v>
                      </c:pt>
                      <c:pt idx="26">
                        <c:v>77.755560151381985</c:v>
                      </c:pt>
                      <c:pt idx="27">
                        <c:v>78.292507176760921</c:v>
                      </c:pt>
                      <c:pt idx="28">
                        <c:v>78.828331000784374</c:v>
                      </c:pt>
                      <c:pt idx="29">
                        <c:v>79.362482424470045</c:v>
                      </c:pt>
                      <c:pt idx="30">
                        <c:v>79.894312909703032</c:v>
                      </c:pt>
                      <c:pt idx="31">
                        <c:v>80.423062452835396</c:v>
                      </c:pt>
                      <c:pt idx="32">
                        <c:v>80.947847447430092</c:v>
                      </c:pt>
                      <c:pt idx="33">
                        <c:v>81.467649179070264</c:v>
                      </c:pt>
                      <c:pt idx="34">
                        <c:v>81.981303839790513</c:v>
                      </c:pt>
                      <c:pt idx="35">
                        <c:v>82.48749522741592</c:v>
                      </c:pt>
                      <c:pt idx="36">
                        <c:v>82.984751584866672</c:v>
                      </c:pt>
                      <c:pt idx="37">
                        <c:v>83.471448298304296</c:v>
                      </c:pt>
                      <c:pt idx="38">
                        <c:v>83.945818352222972</c:v>
                      </c:pt>
                      <c:pt idx="39">
                        <c:v>84.405972454711844</c:v>
                      </c:pt>
                      <c:pt idx="40">
                        <c:v>84.849930502982801</c:v>
                      </c:pt>
                      <c:pt idx="41">
                        <c:v>85.275665465433661</c:v>
                      </c:pt>
                      <c:pt idx="42">
                        <c:v>85.681159749430435</c:v>
                      </c:pt>
                      <c:pt idx="43">
                        <c:v>86.064472708700833</c:v>
                      </c:pt>
                      <c:pt idx="44">
                        <c:v>86.423816231523901</c:v>
                      </c:pt>
                      <c:pt idx="45">
                        <c:v>86.757633579011198</c:v>
                      </c:pt>
                      <c:pt idx="46">
                        <c:v>87.064675162309882</c:v>
                      </c:pt>
                      <c:pt idx="47">
                        <c:v>87.344064155660533</c:v>
                      </c:pt>
                      <c:pt idx="48">
                        <c:v>87.595345070745509</c:v>
                      </c:pt>
                      <c:pt idx="49">
                        <c:v>87.818509807396211</c:v>
                      </c:pt>
                      <c:pt idx="50">
                        <c:v>88.013998108296519</c:v>
                      </c:pt>
                      <c:pt idx="51">
                        <c:v>88.182672363179151</c:v>
                      </c:pt>
                      <c:pt idx="52">
                        <c:v>88.325769736799472</c:v>
                      </c:pt>
                      <c:pt idx="53">
                        <c:v>88.444837037081953</c:v>
                      </c:pt>
                      <c:pt idx="54">
                        <c:v>88.541655169161487</c:v>
                      </c:pt>
                      <c:pt idx="55">
                        <c:v>88.618160289075547</c:v>
                      </c:pt>
                      <c:pt idx="56">
                        <c:v>88.676368009691345</c:v>
                      </c:pt>
                      <c:pt idx="57">
                        <c:v>88.71830554831989</c:v>
                      </c:pt>
                      <c:pt idx="58">
                        <c:v>88.745954937314465</c:v>
                      </c:pt>
                      <c:pt idx="59">
                        <c:v>88.761208699428451</c:v>
                      </c:pt>
                      <c:pt idx="60">
                        <c:v>88.76583796148681</c:v>
                      </c:pt>
                      <c:pt idx="61">
                        <c:v>88.761471958019598</c:v>
                      </c:pt>
                      <c:pt idx="62">
                        <c:v>88.749587269060655</c:v>
                      </c:pt>
                      <c:pt idx="63">
                        <c:v>88.731504882442522</c:v>
                      </c:pt>
                      <c:pt idx="64">
                        <c:v>88.708393178674285</c:v>
                      </c:pt>
                      <c:pt idx="65">
                        <c:v>88.681275111452322</c:v>
                      </c:pt>
                      <c:pt idx="66">
                        <c:v>88.651038118834663</c:v>
                      </c:pt>
                      <c:pt idx="67">
                        <c:v>88.618445589727656</c:v>
                      </c:pt>
                      <c:pt idx="68">
                        <c:v>88.584148988922635</c:v>
                      </c:pt>
                      <c:pt idx="69">
                        <c:v>88.548699989912492</c:v>
                      </c:pt>
                      <c:pt idx="70">
                        <c:v>88.512562169034425</c:v>
                      </c:pt>
                      <c:pt idx="71">
                        <c:v>88.476121976125512</c:v>
                      </c:pt>
                      <c:pt idx="72">
                        <c:v>88.43969881947163</c:v>
                      </c:pt>
                      <c:pt idx="73">
                        <c:v>88.403554192136511</c:v>
                      </c:pt>
                      <c:pt idx="74">
                        <c:v>88.367899829136434</c:v>
                      </c:pt>
                      <c:pt idx="75">
                        <c:v>88.332904926359262</c:v>
                      </c:pt>
                      <c:pt idx="76">
                        <c:v>88.298702477854647</c:v>
                      </c:pt>
                      <c:pt idx="77">
                        <c:v>88.265394802434528</c:v>
                      </c:pt>
                      <c:pt idx="78">
                        <c:v>88.233058336822992</c:v>
                      </c:pt>
                      <c:pt idx="79">
                        <c:v>88.201747773464504</c:v>
                      </c:pt>
                      <c:pt idx="80">
                        <c:v>88.171499618475849</c:v>
                      </c:pt>
                      <c:pt idx="81">
                        <c:v>88.142335240487569</c:v>
                      </c:pt>
                      <c:pt idx="82">
                        <c:v>88.114263475252713</c:v>
                      </c:pt>
                      <c:pt idx="83">
                        <c:v>88.087282844566886</c:v>
                      </c:pt>
                      <c:pt idx="84">
                        <c:v>88.061383441687283</c:v>
                      </c:pt>
                      <c:pt idx="85">
                        <c:v>88.036548529332137</c:v>
                      </c:pt>
                      <c:pt idx="86">
                        <c:v>88.012755890651221</c:v>
                      </c:pt>
                      <c:pt idx="87">
                        <c:v>87.989978968365094</c:v>
                      </c:pt>
                      <c:pt idx="88">
                        <c:v>87.968187822596761</c:v>
                      </c:pt>
                      <c:pt idx="89">
                        <c:v>87.947349933775669</c:v>
                      </c:pt>
                      <c:pt idx="90">
                        <c:v>87.927430873337769</c:v>
                      </c:pt>
                      <c:pt idx="91">
                        <c:v>87.908394861754743</c:v>
                      </c:pt>
                      <c:pt idx="92">
                        <c:v>87.890205230645918</c:v>
                      </c:pt>
                      <c:pt idx="93">
                        <c:v>87.872824803324846</c:v>
                      </c:pt>
                      <c:pt idx="94">
                        <c:v>87.856216206057169</c:v>
                      </c:pt>
                      <c:pt idx="95">
                        <c:v>87.840342120522081</c:v>
                      </c:pt>
                      <c:pt idx="96">
                        <c:v>87.825165486437754</c:v>
                      </c:pt>
                      <c:pt idx="97">
                        <c:v>87.810649661997857</c:v>
                      </c:pt>
                      <c:pt idx="98">
                        <c:v>87.796758548643155</c:v>
                      </c:pt>
                      <c:pt idx="99">
                        <c:v>87.783456685730727</c:v>
                      </c:pt>
                      <c:pt idx="100">
                        <c:v>87.770709319840918</c:v>
                      </c:pt>
                      <c:pt idx="101">
                        <c:v>87.758482452766003</c:v>
                      </c:pt>
                      <c:pt idx="102">
                        <c:v>87.746742871621308</c:v>
                      </c:pt>
                      <c:pt idx="103">
                        <c:v>87.735458164013437</c:v>
                      </c:pt>
                      <c:pt idx="104">
                        <c:v>87.724596720765859</c:v>
                      </c:pt>
                      <c:pt idx="105">
                        <c:v>87.714127728328734</c:v>
                      </c:pt>
                      <c:pt idx="106">
                        <c:v>87.704021152690501</c:v>
                      </c:pt>
                      <c:pt idx="107">
                        <c:v>87.694247716335411</c:v>
                      </c:pt>
                      <c:pt idx="108">
                        <c:v>87.684778869567253</c:v>
                      </c:pt>
                      <c:pt idx="109">
                        <c:v>87.675586757326442</c:v>
                      </c:pt>
                      <c:pt idx="110">
                        <c:v>87.666644182460601</c:v>
                      </c:pt>
                      <c:pt idx="111">
                        <c:v>87.657924566276421</c:v>
                      </c:pt>
                      <c:pt idx="112">
                        <c:v>87.649401907077703</c:v>
                      </c:pt>
                      <c:pt idx="113">
                        <c:v>87.641050737302322</c:v>
                      </c:pt>
                      <c:pt idx="114">
                        <c:v>87.632846079784116</c:v>
                      </c:pt>
                      <c:pt idx="115">
                        <c:v>87.624763403601406</c:v>
                      </c:pt>
                      <c:pt idx="116">
                        <c:v>87.61677857991458</c:v>
                      </c:pt>
                      <c:pt idx="117">
                        <c:v>87.60886783814891</c:v>
                      </c:pt>
                      <c:pt idx="118">
                        <c:v>87.60100772284396</c:v>
                      </c:pt>
                      <c:pt idx="119">
                        <c:v>87.593175051454736</c:v>
                      </c:pt>
                      <c:pt idx="120">
                        <c:v>87.585346873369488</c:v>
                      </c:pt>
                      <c:pt idx="121">
                        <c:v>87.577500430387829</c:v>
                      </c:pt>
                      <c:pt idx="122">
                        <c:v>87.56961311888503</c:v>
                      </c:pt>
                      <c:pt idx="123">
                        <c:v>87.561662453878384</c:v>
                      </c:pt>
                      <c:pt idx="124">
                        <c:v>87.553626035197837</c:v>
                      </c:pt>
                      <c:pt idx="125">
                        <c:v>87.545481515953554</c:v>
                      </c:pt>
                      <c:pt idx="126">
                        <c:v>87.537206573483743</c:v>
                      </c:pt>
                      <c:pt idx="127">
                        <c:v>87.528778882954043</c:v>
                      </c:pt>
                      <c:pt idx="128">
                        <c:v>87.520176093765954</c:v>
                      </c:pt>
                      <c:pt idx="129">
                        <c:v>87.511375808916156</c:v>
                      </c:pt>
                      <c:pt idx="130">
                        <c:v>87.50235556742652</c:v>
                      </c:pt>
                      <c:pt idx="131">
                        <c:v>87.493092829937581</c:v>
                      </c:pt>
                      <c:pt idx="132">
                        <c:v>87.483564967522938</c:v>
                      </c:pt>
                      <c:pt idx="133">
                        <c:v>87.473749253739456</c:v>
                      </c:pt>
                      <c:pt idx="134">
                        <c:v>87.463622859871762</c:v>
                      </c:pt>
                      <c:pt idx="135">
                        <c:v>87.45316285326426</c:v>
                      </c:pt>
                      <c:pt idx="136">
                        <c:v>87.442346198549856</c:v>
                      </c:pt>
                      <c:pt idx="137">
                        <c:v>87.431149761487973</c:v>
                      </c:pt>
                      <c:pt idx="138">
                        <c:v>87.419550315007712</c:v>
                      </c:pt>
                      <c:pt idx="139">
                        <c:v>87.407524546913208</c:v>
                      </c:pt>
                      <c:pt idx="140">
                        <c:v>87.395049068551231</c:v>
                      </c:pt>
                      <c:pt idx="141">
                        <c:v>87.382100423557347</c:v>
                      </c:pt>
                      <c:pt idx="142">
                        <c:v>87.368655095589816</c:v>
                      </c:pt>
                      <c:pt idx="143">
                        <c:v>87.35468951372934</c:v>
                      </c:pt>
                      <c:pt idx="144">
                        <c:v>87.340180053965057</c:v>
                      </c:pt>
                      <c:pt idx="145">
                        <c:v>87.325103034908551</c:v>
                      </c:pt>
                      <c:pt idx="146">
                        <c:v>87.30943470557817</c:v>
                      </c:pt>
                      <c:pt idx="147">
                        <c:v>87.293151222780892</c:v>
                      </c:pt>
                      <c:pt idx="148">
                        <c:v>87.285573535921529</c:v>
                      </c:pt>
                      <c:pt idx="149">
                        <c:v>87.238143642082363</c:v>
                      </c:pt>
                      <c:pt idx="150">
                        <c:v>87.185624616909394</c:v>
                      </c:pt>
                      <c:pt idx="151">
                        <c:v>87.127524264468065</c:v>
                      </c:pt>
                      <c:pt idx="152">
                        <c:v>87.063298113637288</c:v>
                      </c:pt>
                      <c:pt idx="153">
                        <c:v>86.992308362860626</c:v>
                      </c:pt>
                      <c:pt idx="154">
                        <c:v>86.913765672961532</c:v>
                      </c:pt>
                      <c:pt idx="155">
                        <c:v>86.826655260551121</c:v>
                      </c:pt>
                      <c:pt idx="156">
                        <c:v>86.72965517960391</c:v>
                      </c:pt>
                      <c:pt idx="157">
                        <c:v>86.621063980531147</c:v>
                      </c:pt>
                      <c:pt idx="158">
                        <c:v>86.498765281341917</c:v>
                      </c:pt>
                      <c:pt idx="159">
                        <c:v>86.360263283865081</c:v>
                      </c:pt>
                      <c:pt idx="160">
                        <c:v>86.202817797688283</c:v>
                      </c:pt>
                      <c:pt idx="161">
                        <c:v>86.023681817845059</c:v>
                      </c:pt>
                      <c:pt idx="162">
                        <c:v>85.820399722790512</c:v>
                      </c:pt>
                      <c:pt idx="163">
                        <c:v>85.591079569470082</c:v>
                      </c:pt>
                      <c:pt idx="164">
                        <c:v>85.364167386315458</c:v>
                      </c:pt>
                      <c:pt idx="165">
                        <c:v>84.932084546343731</c:v>
                      </c:pt>
                      <c:pt idx="166">
                        <c:v>84.438703555105917</c:v>
                      </c:pt>
                      <c:pt idx="167">
                        <c:v>83.886959257788831</c:v>
                      </c:pt>
                      <c:pt idx="168">
                        <c:v>83.279975136199496</c:v>
                      </c:pt>
                      <c:pt idx="169">
                        <c:v>82.61933302036303</c:v>
                      </c:pt>
                      <c:pt idx="170">
                        <c:v>81.907195038923561</c:v>
                      </c:pt>
                      <c:pt idx="171">
                        <c:v>81.148977755958299</c:v>
                      </c:pt>
                      <c:pt idx="172">
                        <c:v>80.3510929066546</c:v>
                      </c:pt>
                      <c:pt idx="173">
                        <c:v>79.51773591801026</c:v>
                      </c:pt>
                      <c:pt idx="174">
                        <c:v>78.653941504392463</c:v>
                      </c:pt>
                      <c:pt idx="175">
                        <c:v>77.764813842977247</c:v>
                      </c:pt>
                      <c:pt idx="176">
                        <c:v>76.85409160901122</c:v>
                      </c:pt>
                      <c:pt idx="177">
                        <c:v>75.925752946587394</c:v>
                      </c:pt>
                      <c:pt idx="178">
                        <c:v>74.982829719700632</c:v>
                      </c:pt>
                      <c:pt idx="179">
                        <c:v>73.702657506566126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1E0-4611-A361-F2460FE07A0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FRES!$AH$4</c15:sqref>
                        </c15:formulaRef>
                      </c:ext>
                    </c:extLst>
                    <c:strCache>
                      <c:ptCount val="1"/>
                      <c:pt idx="0">
                        <c:v>SPL2</c:v>
                      </c:pt>
                    </c:strCache>
                  </c:strRef>
                </c:tx>
                <c:spPr>
                  <a:ln w="25400">
                    <a:solidFill>
                      <a:srgbClr val="0000FF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FRES!$AH$5:$AH$184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51.815537179952216</c:v>
                      </c:pt>
                      <c:pt idx="1">
                        <c:v>52.831600264545678</c:v>
                      </c:pt>
                      <c:pt idx="2">
                        <c:v>53.849212687573456</c:v>
                      </c:pt>
                      <c:pt idx="3">
                        <c:v>54.868564729884646</c:v>
                      </c:pt>
                      <c:pt idx="4">
                        <c:v>55.889870052403452</c:v>
                      </c:pt>
                      <c:pt idx="5">
                        <c:v>56.913368551641071</c:v>
                      </c:pt>
                      <c:pt idx="6">
                        <c:v>57.939329550494875</c:v>
                      </c:pt>
                      <c:pt idx="7">
                        <c:v>58.968055355981249</c:v>
                      </c:pt>
                      <c:pt idx="8">
                        <c:v>59.999885214313416</c:v>
                      </c:pt>
                      <c:pt idx="9">
                        <c:v>61.035199689707085</c:v>
                      </c:pt>
                      <c:pt idx="10">
                        <c:v>62.074425484783745</c:v>
                      </c:pt>
                      <c:pt idx="11">
                        <c:v>63.118040704832048</c:v>
                      </c:pt>
                      <c:pt idx="12">
                        <c:v>64.166580541443267</c:v>
                      </c:pt>
                      <c:pt idx="13">
                        <c:v>64.692881527661314</c:v>
                      </c:pt>
                      <c:pt idx="14">
                        <c:v>65.220643306922199</c:v>
                      </c:pt>
                      <c:pt idx="15">
                        <c:v>65.749951556395999</c:v>
                      </c:pt>
                      <c:pt idx="16">
                        <c:v>66.280896679723497</c:v>
                      </c:pt>
                      <c:pt idx="17">
                        <c:v>66.813573994411684</c:v>
                      </c:pt>
                      <c:pt idx="18">
                        <c:v>67.348083907928441</c:v>
                      </c:pt>
                      <c:pt idx="19">
                        <c:v>67.884532076499809</c:v>
                      </c:pt>
                      <c:pt idx="20">
                        <c:v>68.4230295389698</c:v>
                      </c:pt>
                      <c:pt idx="21">
                        <c:v>68.963692816028413</c:v>
                      </c:pt>
                      <c:pt idx="22">
                        <c:v>69.50664396253822</c:v>
                      </c:pt>
                      <c:pt idx="23">
                        <c:v>70.052010557460264</c:v>
                      </c:pt>
                      <c:pt idx="24">
                        <c:v>70.599925611830429</c:v>
                      </c:pt>
                      <c:pt idx="25">
                        <c:v>71.150527370160418</c:v>
                      </c:pt>
                      <c:pt idx="26">
                        <c:v>71.70395897426117</c:v>
                      </c:pt>
                      <c:pt idx="27">
                        <c:v>72.260367950490632</c:v>
                      </c:pt>
                      <c:pt idx="28">
                        <c:v>72.819905471387841</c:v>
                      </c:pt>
                      <c:pt idx="29">
                        <c:v>73.382725330065355</c:v>
                      </c:pt>
                      <c:pt idx="30">
                        <c:v>73.948982549944276</c:v>
                      </c:pt>
                      <c:pt idx="31">
                        <c:v>74.518831532650694</c:v>
                      </c:pt>
                      <c:pt idx="32">
                        <c:v>75.092423622196065</c:v>
                      </c:pt>
                      <c:pt idx="33">
                        <c:v>75.669903932788216</c:v>
                      </c:pt>
                      <c:pt idx="34">
                        <c:v>76.251407249446444</c:v>
                      </c:pt>
                      <c:pt idx="35">
                        <c:v>76.837052763509391</c:v>
                      </c:pt>
                      <c:pt idx="36">
                        <c:v>77.426937347549355</c:v>
                      </c:pt>
                      <c:pt idx="37">
                        <c:v>78.021127004621874</c:v>
                      </c:pt>
                      <c:pt idx="38">
                        <c:v>78.619646044079289</c:v>
                      </c:pt>
                      <c:pt idx="39">
                        <c:v>79.222463440258167</c:v>
                      </c:pt>
                      <c:pt idx="40">
                        <c:v>79.829475723116943</c:v>
                      </c:pt>
                      <c:pt idx="41">
                        <c:v>80.440485636940963</c:v>
                      </c:pt>
                      <c:pt idx="42">
                        <c:v>81.055175696455009</c:v>
                      </c:pt>
                      <c:pt idx="43">
                        <c:v>81.673075691306451</c:v>
                      </c:pt>
                      <c:pt idx="44">
                        <c:v>82.293523178244797</c:v>
                      </c:pt>
                      <c:pt idx="45">
                        <c:v>82.915616117685559</c:v>
                      </c:pt>
                      <c:pt idx="46">
                        <c:v>83.538157153347242</c:v>
                      </c:pt>
                      <c:pt idx="47">
                        <c:v>84.159589738473116</c:v>
                      </c:pt>
                      <c:pt idx="48">
                        <c:v>84.77792756428488</c:v>
                      </c:pt>
                      <c:pt idx="49">
                        <c:v>85.390680764313288</c:v>
                      </c:pt>
                      <c:pt idx="50">
                        <c:v>85.99478535775259</c:v>
                      </c:pt>
                      <c:pt idx="51">
                        <c:v>86.58654644000093</c:v>
                      </c:pt>
                      <c:pt idx="52">
                        <c:v>87.161610493498927</c:v>
                      </c:pt>
                      <c:pt idx="53">
                        <c:v>87.714987032814406</c:v>
                      </c:pt>
                      <c:pt idx="54">
                        <c:v>88.241142859444807</c:v>
                      </c:pt>
                      <c:pt idx="55">
                        <c:v>88.734190727782561</c:v>
                      </c:pt>
                      <c:pt idx="56">
                        <c:v>89.188184976303972</c:v>
                      </c:pt>
                      <c:pt idx="57">
                        <c:v>89.597517462650259</c:v>
                      </c:pt>
                      <c:pt idx="58">
                        <c:v>89.957379241846311</c:v>
                      </c:pt>
                      <c:pt idx="59">
                        <c:v>90.264223738126489</c:v>
                      </c:pt>
                      <c:pt idx="60">
                        <c:v>90.516147706328155</c:v>
                      </c:pt>
                      <c:pt idx="61">
                        <c:v>90.713109331965455</c:v>
                      </c:pt>
                      <c:pt idx="62">
                        <c:v>90.856933076473723</c:v>
                      </c:pt>
                      <c:pt idx="63">
                        <c:v>90.951100114973812</c:v>
                      </c:pt>
                      <c:pt idx="64">
                        <c:v>91.000372904329808</c:v>
                      </c:pt>
                      <c:pt idx="65">
                        <c:v>91.010333771215898</c:v>
                      </c:pt>
                      <c:pt idx="66">
                        <c:v>90.986921632166087</c:v>
                      </c:pt>
                      <c:pt idx="67">
                        <c:v>90.936032252856961</c:v>
                      </c:pt>
                      <c:pt idx="68">
                        <c:v>90.863217934414735</c:v>
                      </c:pt>
                      <c:pt idx="69">
                        <c:v>90.773494349292662</c:v>
                      </c:pt>
                      <c:pt idx="70">
                        <c:v>90.67124259435964</c:v>
                      </c:pt>
                      <c:pt idx="71">
                        <c:v>90.560184877716807</c:v>
                      </c:pt>
                      <c:pt idx="72">
                        <c:v>90.443410510394244</c:v>
                      </c:pt>
                      <c:pt idx="73">
                        <c:v>90.323431802166766</c:v>
                      </c:pt>
                      <c:pt idx="74">
                        <c:v>90.202254268149147</c:v>
                      </c:pt>
                      <c:pt idx="75">
                        <c:v>90.081450439911137</c:v>
                      </c:pt>
                      <c:pt idx="76">
                        <c:v>89.962230663710315</c:v>
                      </c:pt>
                      <c:pt idx="77">
                        <c:v>89.845507303589045</c:v>
                      </c:pt>
                      <c:pt idx="78">
                        <c:v>89.731950823451839</c:v>
                      </c:pt>
                      <c:pt idx="79">
                        <c:v>89.622037503007604</c:v>
                      </c:pt>
                      <c:pt idx="80">
                        <c:v>89.516089266935452</c:v>
                      </c:pt>
                      <c:pt idx="81">
                        <c:v>89.414306461206593</c:v>
                      </c:pt>
                      <c:pt idx="82">
                        <c:v>89.316794535365148</c:v>
                      </c:pt>
                      <c:pt idx="83">
                        <c:v>89.223585582039661</c:v>
                      </c:pt>
                      <c:pt idx="84">
                        <c:v>89.134655608549096</c:v>
                      </c:pt>
                      <c:pt idx="85">
                        <c:v>89.049938309364833</c:v>
                      </c:pt>
                      <c:pt idx="86">
                        <c:v>88.969335995195536</c:v>
                      </c:pt>
                      <c:pt idx="87">
                        <c:v>88.892728226831906</c:v>
                      </c:pt>
                      <c:pt idx="88">
                        <c:v>88.81997860541162</c:v>
                      </c:pt>
                      <c:pt idx="89">
                        <c:v>88.750940087486399</c:v>
                      </c:pt>
                      <c:pt idx="90">
                        <c:v>88.685459123135104</c:v>
                      </c:pt>
                      <c:pt idx="91">
                        <c:v>88.623378857298846</c:v>
                      </c:pt>
                      <c:pt idx="92">
                        <c:v>88.564541587006886</c:v>
                      </c:pt>
                      <c:pt idx="93">
                        <c:v>88.508790628634998</c:v>
                      </c:pt>
                      <c:pt idx="94">
                        <c:v>88.455971718267406</c:v>
                      </c:pt>
                      <c:pt idx="95">
                        <c:v>88.405934043302892</c:v>
                      </c:pt>
                      <c:pt idx="96">
                        <c:v>88.358530983482012</c:v>
                      </c:pt>
                      <c:pt idx="97">
                        <c:v>88.313620623576014</c:v>
                      </c:pt>
                      <c:pt idx="98">
                        <c:v>88.271066087260891</c:v>
                      </c:pt>
                      <c:pt idx="99">
                        <c:v>88.230735731563186</c:v>
                      </c:pt>
                      <c:pt idx="100">
                        <c:v>88.192503233190095</c:v>
                      </c:pt>
                      <c:pt idx="101">
                        <c:v>88.156247591621479</c:v>
                      </c:pt>
                      <c:pt idx="102">
                        <c:v>88.121853068712923</c:v>
                      </c:pt>
                      <c:pt idx="103">
                        <c:v>88.089209080472898</c:v>
                      </c:pt>
                      <c:pt idx="104">
                        <c:v>88.058210053422073</c:v>
                      </c:pt>
                      <c:pt idx="105">
                        <c:v>88.028755255340059</c:v>
                      </c:pt>
                      <c:pt idx="106">
                        <c:v>88.00074860813838</c:v>
                      </c:pt>
                      <c:pt idx="107">
                        <c:v>87.974098488943127</c:v>
                      </c:pt>
                      <c:pt idx="108">
                        <c:v>87.948717524155796</c:v>
                      </c:pt>
                      <c:pt idx="109">
                        <c:v>87.92452238020951</c:v>
                      </c:pt>
                      <c:pt idx="110">
                        <c:v>87.901433553903487</c:v>
                      </c:pt>
                      <c:pt idx="111">
                        <c:v>87.87937516453475</c:v>
                      </c:pt>
                      <c:pt idx="112">
                        <c:v>87.858274749516454</c:v>
                      </c:pt>
                      <c:pt idx="113">
                        <c:v>87.83806306475924</c:v>
                      </c:pt>
                      <c:pt idx="114">
                        <c:v>87.818673890757168</c:v>
                      </c:pt>
                      <c:pt idx="115">
                        <c:v>87.800043845068984</c:v>
                      </c:pt>
                      <c:pt idx="116">
                        <c:v>87.782112201676782</c:v>
                      </c:pt>
                      <c:pt idx="117">
                        <c:v>87.764820717553562</c:v>
                      </c:pt>
                      <c:pt idx="118">
                        <c:v>87.748113466649187</c:v>
                      </c:pt>
                      <c:pt idx="119">
                        <c:v>87.731936681415021</c:v>
                      </c:pt>
                      <c:pt idx="120">
                        <c:v>87.716238601919798</c:v>
                      </c:pt>
                      <c:pt idx="121">
                        <c:v>87.700969332562408</c:v>
                      </c:pt>
                      <c:pt idx="122">
                        <c:v>87.686080706349031</c:v>
                      </c:pt>
                      <c:pt idx="123">
                        <c:v>87.671526156683825</c:v>
                      </c:pt>
                      <c:pt idx="124">
                        <c:v>87.65726059660183</c:v>
                      </c:pt>
                      <c:pt idx="125">
                        <c:v>87.643240305366277</c:v>
                      </c:pt>
                      <c:pt idx="126">
                        <c:v>87.629422822344466</c:v>
                      </c:pt>
                      <c:pt idx="127">
                        <c:v>87.615766848073164</c:v>
                      </c:pt>
                      <c:pt idx="128">
                        <c:v>87.602232152415539</c:v>
                      </c:pt>
                      <c:pt idx="129">
                        <c:v>87.588779489710447</c:v>
                      </c:pt>
                      <c:pt idx="130">
                        <c:v>87.575370520796923</c:v>
                      </c:pt>
                      <c:pt idx="131">
                        <c:v>87.561967741786177</c:v>
                      </c:pt>
                      <c:pt idx="132">
                        <c:v>87.548534419424612</c:v>
                      </c:pt>
                      <c:pt idx="133">
                        <c:v>87.535034532862539</c:v>
                      </c:pt>
                      <c:pt idx="134">
                        <c:v>87.521432721596625</c:v>
                      </c:pt>
                      <c:pt idx="135">
                        <c:v>87.507694239298317</c:v>
                      </c:pt>
                      <c:pt idx="136">
                        <c:v>87.493784913169762</c:v>
                      </c:pt>
                      <c:pt idx="137">
                        <c:v>87.479671108377886</c:v>
                      </c:pt>
                      <c:pt idx="138">
                        <c:v>87.465319697013911</c:v>
                      </c:pt>
                      <c:pt idx="139">
                        <c:v>87.450698030893022</c:v>
                      </c:pt>
                      <c:pt idx="140">
                        <c:v>87.435773917362098</c:v>
                      </c:pt>
                      <c:pt idx="141">
                        <c:v>87.42051559710734</c:v>
                      </c:pt>
                      <c:pt idx="142">
                        <c:v>87.404891722754087</c:v>
                      </c:pt>
                      <c:pt idx="143">
                        <c:v>87.388871336827734</c:v>
                      </c:pt>
                      <c:pt idx="144">
                        <c:v>87.372423847394188</c:v>
                      </c:pt>
                      <c:pt idx="145">
                        <c:v>87.355518999425328</c:v>
                      </c:pt>
                      <c:pt idx="146">
                        <c:v>87.338126839642882</c:v>
                      </c:pt>
                      <c:pt idx="147">
                        <c:v>87.320217672283917</c:v>
                      </c:pt>
                      <c:pt idx="148">
                        <c:v>87.31193504657945</c:v>
                      </c:pt>
                      <c:pt idx="149">
                        <c:v>87.2607109854182</c:v>
                      </c:pt>
                      <c:pt idx="150">
                        <c:v>87.2049484588902</c:v>
                      </c:pt>
                      <c:pt idx="151">
                        <c:v>87.144076284564576</c:v>
                      </c:pt>
                      <c:pt idx="152">
                        <c:v>87.077482120105941</c:v>
                      </c:pt>
                      <c:pt idx="153">
                        <c:v>87.004469764381298</c:v>
                      </c:pt>
                      <c:pt idx="154">
                        <c:v>86.92419956185293</c:v>
                      </c:pt>
                      <c:pt idx="155">
                        <c:v>86.835613334668139</c:v>
                      </c:pt>
                      <c:pt idx="156">
                        <c:v>86.737351707133868</c:v>
                      </c:pt>
                      <c:pt idx="157">
                        <c:v>86.627680991102679</c:v>
                      </c:pt>
                      <c:pt idx="158">
                        <c:v>86.504457143490413</c:v>
                      </c:pt>
                      <c:pt idx="159">
                        <c:v>86.365160797101609</c:v>
                      </c:pt>
                      <c:pt idx="160">
                        <c:v>86.207031882273981</c:v>
                      </c:pt>
                      <c:pt idx="161">
                        <c:v>86.027306827885127</c:v>
                      </c:pt>
                      <c:pt idx="162">
                        <c:v>85.823516351482397</c:v>
                      </c:pt>
                      <c:pt idx="163">
                        <c:v>85.593757285122379</c:v>
                      </c:pt>
                      <c:pt idx="164">
                        <c:v>85.366505394907534</c:v>
                      </c:pt>
                      <c:pt idx="165">
                        <c:v>84.933942538177902</c:v>
                      </c:pt>
                      <c:pt idx="166">
                        <c:v>84.440178796412454</c:v>
                      </c:pt>
                      <c:pt idx="167">
                        <c:v>83.888130417045403</c:v>
                      </c:pt>
                      <c:pt idx="168">
                        <c:v>83.280905134986</c:v>
                      </c:pt>
                      <c:pt idx="169">
                        <c:v>82.620071520593271</c:v>
                      </c:pt>
                      <c:pt idx="170">
                        <c:v>81.907781252303295</c:v>
                      </c:pt>
                      <c:pt idx="171">
                        <c:v>81.149442999534855</c:v>
                      </c:pt>
                      <c:pt idx="172">
                        <c:v>80.351462194000788</c:v>
                      </c:pt>
                      <c:pt idx="173">
                        <c:v>79.518029017986279</c:v>
                      </c:pt>
                      <c:pt idx="174">
                        <c:v>78.654174121689749</c:v>
                      </c:pt>
                      <c:pt idx="175">
                        <c:v>77.764998468469258</c:v>
                      </c:pt>
                      <c:pt idx="176">
                        <c:v>76.854238137468386</c:v>
                      </c:pt>
                      <c:pt idx="177">
                        <c:v>75.925869242466007</c:v>
                      </c:pt>
                      <c:pt idx="178">
                        <c:v>74.982922020647749</c:v>
                      </c:pt>
                      <c:pt idx="179">
                        <c:v>73.702725253955833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1E0-4611-A361-F2460FE07A0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FRES!$AV$4</c15:sqref>
                        </c15:formulaRef>
                      </c:ext>
                    </c:extLst>
                    <c:strCache>
                      <c:ptCount val="1"/>
                      <c:pt idx="0">
                        <c:v>Phase1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FRES!$AV$5:$AV$184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119.40724135691123</c:v>
                      </c:pt>
                      <c:pt idx="1">
                        <c:v>119.3703797973487</c:v>
                      </c:pt>
                      <c:pt idx="2">
                        <c:v>119.33101694498421</c:v>
                      </c:pt>
                      <c:pt idx="3">
                        <c:v>119.28894428278338</c:v>
                      </c:pt>
                      <c:pt idx="4">
                        <c:v>119.24392920984778</c:v>
                      </c:pt>
                      <c:pt idx="5">
                        <c:v>119.19571129667303</c:v>
                      </c:pt>
                      <c:pt idx="6">
                        <c:v>119.14399785900983</c:v>
                      </c:pt>
                      <c:pt idx="7">
                        <c:v>119.08845872329285</c:v>
                      </c:pt>
                      <c:pt idx="8">
                        <c:v>119.0287200370652</c:v>
                      </c:pt>
                      <c:pt idx="9">
                        <c:v>118.96435695889488</c:v>
                      </c:pt>
                      <c:pt idx="10">
                        <c:v>118.8948850472226</c:v>
                      </c:pt>
                      <c:pt idx="11">
                        <c:v>118.81975016238935</c:v>
                      </c:pt>
                      <c:pt idx="12">
                        <c:v>118.73831671128944</c:v>
                      </c:pt>
                      <c:pt idx="13">
                        <c:v>118.69501383543623</c:v>
                      </c:pt>
                      <c:pt idx="14">
                        <c:v>118.64985411765537</c:v>
                      </c:pt>
                      <c:pt idx="15">
                        <c:v>118.6027288837597</c:v>
                      </c:pt>
                      <c:pt idx="16">
                        <c:v>118.55352152286983</c:v>
                      </c:pt>
                      <c:pt idx="17">
                        <c:v>118.50210693321571</c:v>
                      </c:pt>
                      <c:pt idx="18">
                        <c:v>118.44835096124478</c:v>
                      </c:pt>
                      <c:pt idx="19">
                        <c:v>118.39210984625673</c:v>
                      </c:pt>
                      <c:pt idx="20">
                        <c:v>118.3332296873732</c:v>
                      </c:pt>
                      <c:pt idx="21">
                        <c:v>118.27154595548565</c:v>
                      </c:pt>
                      <c:pt idx="22">
                        <c:v>118.20688308016963</c:v>
                      </c:pt>
                      <c:pt idx="23">
                        <c:v>118.13905415068969</c:v>
                      </c:pt>
                      <c:pt idx="24">
                        <c:v>118.0678607814321</c:v>
                      </c:pt>
                      <c:pt idx="25">
                        <c:v>117.99309320564679</c:v>
                      </c:pt>
                      <c:pt idx="26">
                        <c:v>117.91453067742066</c:v>
                      </c:pt>
                      <c:pt idx="27">
                        <c:v>117.83194228033182</c:v>
                      </c:pt>
                      <c:pt idx="28">
                        <c:v>117.74508826192471</c:v>
                      </c:pt>
                      <c:pt idx="29">
                        <c:v>117.65372203517954</c:v>
                      </c:pt>
                      <c:pt idx="30">
                        <c:v>117.55759300995496</c:v>
                      </c:pt>
                      <c:pt idx="31">
                        <c:v>117.45645043631846</c:v>
                      </c:pt>
                      <c:pt idx="32">
                        <c:v>117.35004845367735</c:v>
                      </c:pt>
                      <c:pt idx="33">
                        <c:v>117.23815253883933</c:v>
                      </c:pt>
                      <c:pt idx="34">
                        <c:v>117.12054752472058</c:v>
                      </c:pt>
                      <c:pt idx="35">
                        <c:v>116.99704730963872</c:v>
                      </c:pt>
                      <c:pt idx="36">
                        <c:v>116.86750628403436</c:v>
                      </c:pt>
                      <c:pt idx="37">
                        <c:v>116.7318323565966</c:v>
                      </c:pt>
                      <c:pt idx="38">
                        <c:v>116.59000125811332</c:v>
                      </c:pt>
                      <c:pt idx="39">
                        <c:v>116.44207153984489</c:v>
                      </c:pt>
                      <c:pt idx="40">
                        <c:v>116.28819937821834</c:v>
                      </c:pt>
                      <c:pt idx="41">
                        <c:v>116.12865198250627</c:v>
                      </c:pt>
                      <c:pt idx="42">
                        <c:v>115.96381813215946</c:v>
                      </c:pt>
                      <c:pt idx="43">
                        <c:v>115.79421422003047</c:v>
                      </c:pt>
                      <c:pt idx="44">
                        <c:v>115.62048422866967</c:v>
                      </c:pt>
                      <c:pt idx="45">
                        <c:v>115.44339238660221</c:v>
                      </c:pt>
                      <c:pt idx="46">
                        <c:v>115.26380786454455</c:v>
                      </c:pt>
                      <c:pt idx="47">
                        <c:v>115.08268173371486</c:v>
                      </c:pt>
                      <c:pt idx="48">
                        <c:v>114.90101739666702</c:v>
                      </c:pt>
                      <c:pt idx="49">
                        <c:v>114.7198366302146</c:v>
                      </c:pt>
                      <c:pt idx="50">
                        <c:v>114.54014404787503</c:v>
                      </c:pt>
                      <c:pt idx="51">
                        <c:v>114.36289303773896</c:v>
                      </c:pt>
                      <c:pt idx="52">
                        <c:v>114.18895599957914</c:v>
                      </c:pt>
                      <c:pt idx="53">
                        <c:v>114.01910104953834</c:v>
                      </c:pt>
                      <c:pt idx="54">
                        <c:v>113.8539764373763</c:v>
                      </c:pt>
                      <c:pt idx="55">
                        <c:v>113.69410293167256</c:v>
                      </c:pt>
                      <c:pt idx="56">
                        <c:v>113.5398735592801</c:v>
                      </c:pt>
                      <c:pt idx="57">
                        <c:v>113.39155946239835</c:v>
                      </c:pt>
                      <c:pt idx="58">
                        <c:v>113.24932030676713</c:v>
                      </c:pt>
                      <c:pt idx="59">
                        <c:v>113.11321761514358</c:v>
                      </c:pt>
                      <c:pt idx="60">
                        <c:v>112.98322954500681</c:v>
                      </c:pt>
                      <c:pt idx="61">
                        <c:v>112.85926589660346</c:v>
                      </c:pt>
                      <c:pt idx="62">
                        <c:v>112.74118245206576</c:v>
                      </c:pt>
                      <c:pt idx="63">
                        <c:v>112.62879405236976</c:v>
                      </c:pt>
                      <c:pt idx="64">
                        <c:v>112.52188608227821</c:v>
                      </c:pt>
                      <c:pt idx="65">
                        <c:v>112.42022423915706</c:v>
                      </c:pt>
                      <c:pt idx="66">
                        <c:v>112.32356260838608</c:v>
                      </c:pt>
                      <c:pt idx="67">
                        <c:v>112.23165016281385</c:v>
                      </c:pt>
                      <c:pt idx="68">
                        <c:v>112.14423585674032</c:v>
                      </c:pt>
                      <c:pt idx="69">
                        <c:v>112.0610725072046</c:v>
                      </c:pt>
                      <c:pt idx="70">
                        <c:v>111.98191965671454</c:v>
                      </c:pt>
                      <c:pt idx="71">
                        <c:v>111.90654559989144</c:v>
                      </c:pt>
                      <c:pt idx="72">
                        <c:v>111.83472873773148</c:v>
                      </c:pt>
                      <c:pt idx="73">
                        <c:v>111.76625840142729</c:v>
                      </c:pt>
                      <c:pt idx="74">
                        <c:v>111.70093526563673</c:v>
                      </c:pt>
                      <c:pt idx="75">
                        <c:v>111.63857145032917</c:v>
                      </c:pt>
                      <c:pt idx="76">
                        <c:v>111.57899039173047</c:v>
                      </c:pt>
                      <c:pt idx="77">
                        <c:v>111.5220265467569</c:v>
                      </c:pt>
                      <c:pt idx="78">
                        <c:v>111.4675249816995</c:v>
                      </c:pt>
                      <c:pt idx="79">
                        <c:v>111.41534088462878</c:v>
                      </c:pt>
                      <c:pt idx="80">
                        <c:v>111.36533903178626</c:v>
                      </c:pt>
                      <c:pt idx="81">
                        <c:v>111.31739323082522</c:v>
                      </c:pt>
                      <c:pt idx="82">
                        <c:v>111.27138575787966</c:v>
                      </c:pt>
                      <c:pt idx="83">
                        <c:v>111.22720680081207</c:v>
                      </c:pt>
                      <c:pt idx="84">
                        <c:v>111.18475391738735</c:v>
                      </c:pt>
                      <c:pt idx="85">
                        <c:v>111.14393151434271</c:v>
                      </c:pt>
                      <c:pt idx="86">
                        <c:v>111.10465035120453</c:v>
                      </c:pt>
                      <c:pt idx="87">
                        <c:v>111.06682707110451</c:v>
                      </c:pt>
                      <c:pt idx="88">
                        <c:v>111.03038375965812</c:v>
                      </c:pt>
                      <c:pt idx="89">
                        <c:v>110.9952475320959</c:v>
                      </c:pt>
                      <c:pt idx="90">
                        <c:v>110.96135014821259</c:v>
                      </c:pt>
                      <c:pt idx="91">
                        <c:v>110.92862765426072</c:v>
                      </c:pt>
                      <c:pt idx="92">
                        <c:v>110.89702005062165</c:v>
                      </c:pt>
                      <c:pt idx="93">
                        <c:v>110.86647098389994</c:v>
                      </c:pt>
                      <c:pt idx="94">
                        <c:v>110.83692746198197</c:v>
                      </c:pt>
                      <c:pt idx="95">
                        <c:v>110.80833959055225</c:v>
                      </c:pt>
                      <c:pt idx="96">
                        <c:v>110.78066032955888</c:v>
                      </c:pt>
                      <c:pt idx="97">
                        <c:v>110.75384526814481</c:v>
                      </c:pt>
                      <c:pt idx="98">
                        <c:v>110.7278524166105</c:v>
                      </c:pt>
                      <c:pt idx="99">
                        <c:v>110.70264201403478</c:v>
                      </c:pt>
                      <c:pt idx="100">
                        <c:v>110.67817635025025</c:v>
                      </c:pt>
                      <c:pt idx="101">
                        <c:v>110.65441960094394</c:v>
                      </c:pt>
                      <c:pt idx="102">
                        <c:v>110.63133767472944</c:v>
                      </c:pt>
                      <c:pt idx="103">
                        <c:v>110.60889807111155</c:v>
                      </c:pt>
                      <c:pt idx="104">
                        <c:v>110.58706974833758</c:v>
                      </c:pt>
                      <c:pt idx="105">
                        <c:v>110.56582300019872</c:v>
                      </c:pt>
                      <c:pt idx="106">
                        <c:v>110.54512934091153</c:v>
                      </c:pt>
                      <c:pt idx="107">
                        <c:v>110.52496139727097</c:v>
                      </c:pt>
                      <c:pt idx="108">
                        <c:v>110.50529280732484</c:v>
                      </c:pt>
                      <c:pt idx="109">
                        <c:v>110.48609812487261</c:v>
                      </c:pt>
                      <c:pt idx="110">
                        <c:v>110.46735272914121</c:v>
                      </c:pt>
                      <c:pt idx="111">
                        <c:v>110.44903273903618</c:v>
                      </c:pt>
                      <c:pt idx="112">
                        <c:v>110.43111493140805</c:v>
                      </c:pt>
                      <c:pt idx="113">
                        <c:v>110.41357666281247</c:v>
                      </c:pt>
                      <c:pt idx="114">
                        <c:v>110.39639579427795</c:v>
                      </c:pt>
                      <c:pt idx="115">
                        <c:v>110.37955061862712</c:v>
                      </c:pt>
                      <c:pt idx="116">
                        <c:v>110.36301978992826</c:v>
                      </c:pt>
                      <c:pt idx="117">
                        <c:v>110.34678225468041</c:v>
                      </c:pt>
                      <c:pt idx="118">
                        <c:v>110.33081718436293</c:v>
                      </c:pt>
                      <c:pt idx="119">
                        <c:v>110.31510390900357</c:v>
                      </c:pt>
                      <c:pt idx="120">
                        <c:v>110.29962185144373</c:v>
                      </c:pt>
                      <c:pt idx="121">
                        <c:v>110.28435046200217</c:v>
                      </c:pt>
                      <c:pt idx="122">
                        <c:v>110.26926915326077</c:v>
                      </c:pt>
                      <c:pt idx="123">
                        <c:v>110.25435723471966</c:v>
                      </c:pt>
                      <c:pt idx="124">
                        <c:v>110.2395938470918</c:v>
                      </c:pt>
                      <c:pt idx="125">
                        <c:v>110.22495789603204</c:v>
                      </c:pt>
                      <c:pt idx="126">
                        <c:v>110.21042798512231</c:v>
                      </c:pt>
                      <c:pt idx="127">
                        <c:v>110.19598234796256</c:v>
                      </c:pt>
                      <c:pt idx="128">
                        <c:v>110.18159877924889</c:v>
                      </c:pt>
                      <c:pt idx="129">
                        <c:v>110.16725456475456</c:v>
                      </c:pt>
                      <c:pt idx="130">
                        <c:v>110.1529264101688</c:v>
                      </c:pt>
                      <c:pt idx="131">
                        <c:v>110.13859036879164</c:v>
                      </c:pt>
                      <c:pt idx="132">
                        <c:v>110.12422176813251</c:v>
                      </c:pt>
                      <c:pt idx="133">
                        <c:v>110.10979513551575</c:v>
                      </c:pt>
                      <c:pt idx="134">
                        <c:v>110.09528412285935</c:v>
                      </c:pt>
                      <c:pt idx="135">
                        <c:v>110.08066143086474</c:v>
                      </c:pt>
                      <c:pt idx="136">
                        <c:v>110.06589873293564</c:v>
                      </c:pt>
                      <c:pt idx="137">
                        <c:v>110.05096659923524</c:v>
                      </c:pt>
                      <c:pt idx="138">
                        <c:v>110.0358344213937</c:v>
                      </c:pt>
                      <c:pt idx="139">
                        <c:v>110.0204703384925</c:v>
                      </c:pt>
                      <c:pt idx="140">
                        <c:v>110.00484116508174</c:v>
                      </c:pt>
                      <c:pt idx="141">
                        <c:v>109.98891232213057</c:v>
                      </c:pt>
                      <c:pt idx="142">
                        <c:v>109.97264777197103</c:v>
                      </c:pt>
                      <c:pt idx="143">
                        <c:v>109.95600995847389</c:v>
                      </c:pt>
                      <c:pt idx="144">
                        <c:v>109.93895975389225</c:v>
                      </c:pt>
                      <c:pt idx="145">
                        <c:v>109.92145641402414</c:v>
                      </c:pt>
                      <c:pt idx="146">
                        <c:v>109.903457543584</c:v>
                      </c:pt>
                      <c:pt idx="147">
                        <c:v>109.88491907393079</c:v>
                      </c:pt>
                      <c:pt idx="148">
                        <c:v>109.87633993280403</c:v>
                      </c:pt>
                      <c:pt idx="149">
                        <c:v>109.82311582278025</c:v>
                      </c:pt>
                      <c:pt idx="150">
                        <c:v>109.76463394516611</c:v>
                      </c:pt>
                      <c:pt idx="151">
                        <c:v>109.69988240547306</c:v>
                      </c:pt>
                      <c:pt idx="152">
                        <c:v>109.62779642817728</c:v>
                      </c:pt>
                      <c:pt idx="153">
                        <c:v>109.54729567014795</c:v>
                      </c:pt>
                      <c:pt idx="154">
                        <c:v>109.45734329133961</c:v>
                      </c:pt>
                      <c:pt idx="155">
                        <c:v>109.35703215419551</c:v>
                      </c:pt>
                      <c:pt idx="156">
                        <c:v>109.24570210736795</c:v>
                      </c:pt>
                      <c:pt idx="157">
                        <c:v>109.1230881007029</c:v>
                      </c:pt>
                      <c:pt idx="158">
                        <c:v>108.98949013716184</c:v>
                      </c:pt>
                      <c:pt idx="159">
                        <c:v>108.8459412210409</c:v>
                      </c:pt>
                      <c:pt idx="160">
                        <c:v>108.69432862474353</c:v>
                      </c:pt>
                      <c:pt idx="161">
                        <c:v>108.5374013288853</c:v>
                      </c:pt>
                      <c:pt idx="162">
                        <c:v>108.37858366227559</c:v>
                      </c:pt>
                      <c:pt idx="163">
                        <c:v>108.22153046062597</c:v>
                      </c:pt>
                      <c:pt idx="164">
                        <c:v>108.08586793368625</c:v>
                      </c:pt>
                      <c:pt idx="165">
                        <c:v>107.86938249076208</c:v>
                      </c:pt>
                      <c:pt idx="166">
                        <c:v>107.66601054091493</c:v>
                      </c:pt>
                      <c:pt idx="167">
                        <c:v>107.46574946791641</c:v>
                      </c:pt>
                      <c:pt idx="168">
                        <c:v>107.26093530982936</c:v>
                      </c:pt>
                      <c:pt idx="169">
                        <c:v>107.05857719257651</c:v>
                      </c:pt>
                      <c:pt idx="170">
                        <c:v>106.8732430006451</c:v>
                      </c:pt>
                      <c:pt idx="171">
                        <c:v>106.70326348664213</c:v>
                      </c:pt>
                      <c:pt idx="172">
                        <c:v>106.53788787434853</c:v>
                      </c:pt>
                      <c:pt idx="173">
                        <c:v>106.38629053939042</c:v>
                      </c:pt>
                      <c:pt idx="174">
                        <c:v>106.24911407902655</c:v>
                      </c:pt>
                      <c:pt idx="175">
                        <c:v>106.12040734459657</c:v>
                      </c:pt>
                      <c:pt idx="176">
                        <c:v>106.00588710621582</c:v>
                      </c:pt>
                      <c:pt idx="177">
                        <c:v>105.90044340332327</c:v>
                      </c:pt>
                      <c:pt idx="178">
                        <c:v>105.80546539624112</c:v>
                      </c:pt>
                      <c:pt idx="179">
                        <c:v>105.69317599536738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1E0-4611-A361-F2460FE07A0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FRES!$AW$4</c15:sqref>
                        </c15:formulaRef>
                      </c:ext>
                    </c:extLst>
                    <c:strCache>
                      <c:ptCount val="1"/>
                      <c:pt idx="0">
                        <c:v>Phase2</c:v>
                      </c:pt>
                    </c:strCache>
                  </c:strRef>
                </c:tx>
                <c:spPr>
                  <a:ln>
                    <a:solidFill>
                      <a:srgbClr val="0000FF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FRES!$AW$5:$AW$184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119.70210252197307</c:v>
                      </c:pt>
                      <c:pt idx="1">
                        <c:v>119.68387525028002</c:v>
                      </c:pt>
                      <c:pt idx="2">
                        <c:v>119.66446535820627</c:v>
                      </c:pt>
                      <c:pt idx="3">
                        <c:v>119.64378328158263</c:v>
                      </c:pt>
                      <c:pt idx="4">
                        <c:v>119.62173030166811</c:v>
                      </c:pt>
                      <c:pt idx="5">
                        <c:v>119.59819721206651</c:v>
                      </c:pt>
                      <c:pt idx="6">
                        <c:v>119.5730627349844</c:v>
                      </c:pt>
                      <c:pt idx="7">
                        <c:v>119.54619163177716</c:v>
                      </c:pt>
                      <c:pt idx="8">
                        <c:v>119.51743243913444</c:v>
                      </c:pt>
                      <c:pt idx="9">
                        <c:v>119.48661474492741</c:v>
                      </c:pt>
                      <c:pt idx="10">
                        <c:v>119.45354589555036</c:v>
                      </c:pt>
                      <c:pt idx="11">
                        <c:v>119.4180069980552</c:v>
                      </c:pt>
                      <c:pt idx="12">
                        <c:v>119.37974804353851</c:v>
                      </c:pt>
                      <c:pt idx="13">
                        <c:v>119.35951046493304</c:v>
                      </c:pt>
                      <c:pt idx="14">
                        <c:v>119.33848193051409</c:v>
                      </c:pt>
                      <c:pt idx="15">
                        <c:v>119.31661955055678</c:v>
                      </c:pt>
                      <c:pt idx="16">
                        <c:v>119.2938771050115</c:v>
                      </c:pt>
                      <c:pt idx="17">
                        <c:v>119.27020471129828</c:v>
                      </c:pt>
                      <c:pt idx="18">
                        <c:v>119.24554845350171</c:v>
                      </c:pt>
                      <c:pt idx="19">
                        <c:v>119.21984996800249</c:v>
                      </c:pt>
                      <c:pt idx="20">
                        <c:v>119.19304597990713</c:v>
                      </c:pt>
                      <c:pt idx="21">
                        <c:v>119.16506778387502</c:v>
                      </c:pt>
                      <c:pt idx="22">
                        <c:v>119.13584066208354</c:v>
                      </c:pt>
                      <c:pt idx="23">
                        <c:v>119.10528323111014</c:v>
                      </c:pt>
                      <c:pt idx="24">
                        <c:v>119.07330670844335</c:v>
                      </c:pt>
                      <c:pt idx="25">
                        <c:v>119.03981408816163</c:v>
                      </c:pt>
                      <c:pt idx="26">
                        <c:v>119.00469921404778</c:v>
                      </c:pt>
                      <c:pt idx="27">
                        <c:v>118.96784573706184</c:v>
                      </c:pt>
                      <c:pt idx="28">
                        <c:v>118.92912594271002</c:v>
                      </c:pt>
                      <c:pt idx="29">
                        <c:v>118.88839943249533</c:v>
                      </c:pt>
                      <c:pt idx="30">
                        <c:v>118.8455116424213</c:v>
                      </c:pt>
                      <c:pt idx="31">
                        <c:v>118.80029218061716</c:v>
                      </c:pt>
                      <c:pt idx="32">
                        <c:v>118.75255296581956</c:v>
                      </c:pt>
                      <c:pt idx="33">
                        <c:v>118.70208614907102</c:v>
                      </c:pt>
                      <c:pt idx="34">
                        <c:v>118.64866180315295</c:v>
                      </c:pt>
                      <c:pt idx="35">
                        <c:v>118.59202536879155</c:v>
                      </c:pt>
                      <c:pt idx="36">
                        <c:v>118.53189485476055</c:v>
                      </c:pt>
                      <c:pt idx="37">
                        <c:v>118.46795780235588</c:v>
                      </c:pt>
                      <c:pt idx="38">
                        <c:v>118.39986804572744</c:v>
                      </c:pt>
                      <c:pt idx="39">
                        <c:v>118.32724233152942</c:v>
                      </c:pt>
                      <c:pt idx="40">
                        <c:v>118.24965690877714</c:v>
                      </c:pt>
                      <c:pt idx="41">
                        <c:v>118.16664426861641</c:v>
                      </c:pt>
                      <c:pt idx="42">
                        <c:v>118.07769031150484</c:v>
                      </c:pt>
                      <c:pt idx="43">
                        <c:v>117.98223235526777</c:v>
                      </c:pt>
                      <c:pt idx="44">
                        <c:v>117.87965858182866</c:v>
                      </c:pt>
                      <c:pt idx="45">
                        <c:v>117.76930976262003</c:v>
                      </c:pt>
                      <c:pt idx="46">
                        <c:v>117.6504844078155</c:v>
                      </c:pt>
                      <c:pt idx="47">
                        <c:v>117.52244884611757</c:v>
                      </c:pt>
                      <c:pt idx="48">
                        <c:v>117.38445412983856</c:v>
                      </c:pt>
                      <c:pt idx="49">
                        <c:v>117.23576200243248</c:v>
                      </c:pt>
                      <c:pt idx="50">
                        <c:v>117.07568232447218</c:v>
                      </c:pt>
                      <c:pt idx="51">
                        <c:v>116.90362410152629</c:v>
                      </c:pt>
                      <c:pt idx="52">
                        <c:v>116.71916126897747</c:v>
                      </c:pt>
                      <c:pt idx="53">
                        <c:v>116.52211228600103</c:v>
                      </c:pt>
                      <c:pt idx="54">
                        <c:v>116.31262908020865</c:v>
                      </c:pt>
                      <c:pt idx="55">
                        <c:v>116.09128603010089</c:v>
                      </c:pt>
                      <c:pt idx="56">
                        <c:v>115.85915426891454</c:v>
                      </c:pt>
                      <c:pt idx="57">
                        <c:v>115.61784244587597</c:v>
                      </c:pt>
                      <c:pt idx="58">
                        <c:v>115.36948481656758</c:v>
                      </c:pt>
                      <c:pt idx="59">
                        <c:v>115.11666357413056</c:v>
                      </c:pt>
                      <c:pt idx="60">
                        <c:v>114.86226513677651</c:v>
                      </c:pt>
                      <c:pt idx="61">
                        <c:v>114.60928670670407</c:v>
                      </c:pt>
                      <c:pt idx="62">
                        <c:v>114.3606237818108</c:v>
                      </c:pt>
                      <c:pt idx="63">
                        <c:v>114.1188751673223</c:v>
                      </c:pt>
                      <c:pt idx="64">
                        <c:v>113.88619663808342</c:v>
                      </c:pt>
                      <c:pt idx="65">
                        <c:v>113.66422028824978</c:v>
                      </c:pt>
                      <c:pt idx="66">
                        <c:v>113.45403996233416</c:v>
                      </c:pt>
                      <c:pt idx="67">
                        <c:v>113.25625010377431</c:v>
                      </c:pt>
                      <c:pt idx="68">
                        <c:v>113.07101901127808</c:v>
                      </c:pt>
                      <c:pt idx="69">
                        <c:v>112.89817752621609</c:v>
                      </c:pt>
                      <c:pt idx="70">
                        <c:v>112.73730821114216</c:v>
                      </c:pt>
                      <c:pt idx="71">
                        <c:v>112.58782547362232</c:v>
                      </c:pt>
                      <c:pt idx="72">
                        <c:v>112.44904199102429</c:v>
                      </c:pt>
                      <c:pt idx="73">
                        <c:v>112.32022036632985</c:v>
                      </c:pt>
                      <c:pt idx="74">
                        <c:v>112.20061110442263</c:v>
                      </c:pt>
                      <c:pt idx="75">
                        <c:v>112.08947902727407</c:v>
                      </c:pt>
                      <c:pt idx="76">
                        <c:v>111.98612052360805</c:v>
                      </c:pt>
                      <c:pt idx="77">
                        <c:v>111.88987388222745</c:v>
                      </c:pt>
                      <c:pt idx="78">
                        <c:v>111.80012462030814</c:v>
                      </c:pt>
                      <c:pt idx="79">
                        <c:v>111.71630733005995</c:v>
                      </c:pt>
                      <c:pt idx="80">
                        <c:v>111.63790520355707</c:v>
                      </c:pt>
                      <c:pt idx="81">
                        <c:v>111.56444808769446</c:v>
                      </c:pt>
                      <c:pt idx="82">
                        <c:v>111.49550967633397</c:v>
                      </c:pt>
                      <c:pt idx="83">
                        <c:v>111.43070426003158</c:v>
                      </c:pt>
                      <c:pt idx="84">
                        <c:v>111.3696833158829</c:v>
                      </c:pt>
                      <c:pt idx="85">
                        <c:v>111.31213212077094</c:v>
                      </c:pt>
                      <c:pt idx="86">
                        <c:v>111.25776650139126</c:v>
                      </c:pt>
                      <c:pt idx="87">
                        <c:v>111.20632978620465</c:v>
                      </c:pt>
                      <c:pt idx="88">
                        <c:v>111.15758999192246</c:v>
                      </c:pt>
                      <c:pt idx="89">
                        <c:v>111.11133725571632</c:v>
                      </c:pt>
                      <c:pt idx="90">
                        <c:v>111.06738151071394</c:v>
                      </c:pt>
                      <c:pt idx="91">
                        <c:v>111.02555039406697</c:v>
                      </c:pt>
                      <c:pt idx="92">
                        <c:v>110.98568737222618</c:v>
                      </c:pt>
                      <c:pt idx="93">
                        <c:v>110.94765006581842</c:v>
                      </c:pt>
                      <c:pt idx="94">
                        <c:v>110.91130875583821</c:v>
                      </c:pt>
                      <c:pt idx="95">
                        <c:v>110.8765450531663</c:v>
                      </c:pt>
                      <c:pt idx="96">
                        <c:v>110.84325071431036</c:v>
                      </c:pt>
                      <c:pt idx="97">
                        <c:v>110.81132658746404</c:v>
                      </c:pt>
                      <c:pt idx="98">
                        <c:v>110.78068167432899</c:v>
                      </c:pt>
                      <c:pt idx="99">
                        <c:v>110.75123229452554</c:v>
                      </c:pt>
                      <c:pt idx="100">
                        <c:v>110.72290134076397</c:v>
                      </c:pt>
                      <c:pt idx="101">
                        <c:v>110.69561761422038</c:v>
                      </c:pt>
                      <c:pt idx="102">
                        <c:v>110.6693152307349</c:v>
                      </c:pt>
                      <c:pt idx="103">
                        <c:v>110.6439330895204</c:v>
                      </c:pt>
                      <c:pt idx="104">
                        <c:v>110.61941439703156</c:v>
                      </c:pt>
                      <c:pt idx="105">
                        <c:v>110.59570623950452</c:v>
                      </c:pt>
                      <c:pt idx="106">
                        <c:v>110.57275919844054</c:v>
                      </c:pt>
                      <c:pt idx="107">
                        <c:v>110.55052700398171</c:v>
                      </c:pt>
                      <c:pt idx="108">
                        <c:v>110.52896622172156</c:v>
                      </c:pt>
                      <c:pt idx="109">
                        <c:v>110.50803596901525</c:v>
                      </c:pt>
                      <c:pt idx="110">
                        <c:v>110.48769765731336</c:v>
                      </c:pt>
                      <c:pt idx="111">
                        <c:v>110.46791475744442</c:v>
                      </c:pt>
                      <c:pt idx="112">
                        <c:v>110.44865258512392</c:v>
                      </c:pt>
                      <c:pt idx="113">
                        <c:v>110.4298781042758</c:v>
                      </c:pt>
                      <c:pt idx="114">
                        <c:v>110.41155974602228</c:v>
                      </c:pt>
                      <c:pt idx="115">
                        <c:v>110.39366724143571</c:v>
                      </c:pt>
                      <c:pt idx="116">
                        <c:v>110.37617146635323</c:v>
                      </c:pt>
                      <c:pt idx="117">
                        <c:v>110.35904429673842</c:v>
                      </c:pt>
                      <c:pt idx="118">
                        <c:v>110.34225847323539</c:v>
                      </c:pt>
                      <c:pt idx="119">
                        <c:v>110.32578747370295</c:v>
                      </c:pt>
                      <c:pt idx="120">
                        <c:v>110.30960539264339</c:v>
                      </c:pt>
                      <c:pt idx="121">
                        <c:v>110.2936868265532</c:v>
                      </c:pt>
                      <c:pt idx="122">
                        <c:v>110.27800676432413</c:v>
                      </c:pt>
                      <c:pt idx="123">
                        <c:v>110.26254048191529</c:v>
                      </c:pt>
                      <c:pt idx="124">
                        <c:v>110.24726344060038</c:v>
                      </c:pt>
                      <c:pt idx="125">
                        <c:v>110.23215118817207</c:v>
                      </c:pt>
                      <c:pt idx="126">
                        <c:v>110.21717926255855</c:v>
                      </c:pt>
                      <c:pt idx="127">
                        <c:v>110.20232309737612</c:v>
                      </c:pt>
                      <c:pt idx="128">
                        <c:v>110.18755792900974</c:v>
                      </c:pt>
                      <c:pt idx="129">
                        <c:v>110.1728587048792</c:v>
                      </c:pt>
                      <c:pt idx="130">
                        <c:v>110.15819999261619</c:v>
                      </c:pt>
                      <c:pt idx="131">
                        <c:v>110.14355588994493</c:v>
                      </c:pt>
                      <c:pt idx="132">
                        <c:v>110.12889993513127</c:v>
                      </c:pt>
                      <c:pt idx="133">
                        <c:v>110.11420501793916</c:v>
                      </c:pt>
                      <c:pt idx="134">
                        <c:v>110.09944329111437</c:v>
                      </c:pt>
                      <c:pt idx="135">
                        <c:v>110.08458608250163</c:v>
                      </c:pt>
                      <c:pt idx="136">
                        <c:v>110.06960380799522</c:v>
                      </c:pt>
                      <c:pt idx="137">
                        <c:v>110.05446588562664</c:v>
                      </c:pt>
                      <c:pt idx="138">
                        <c:v>110.03914065120584</c:v>
                      </c:pt>
                      <c:pt idx="139">
                        <c:v>110.02359527605726</c:v>
                      </c:pt>
                      <c:pt idx="140">
                        <c:v>110.00779568752942</c:v>
                      </c:pt>
                      <c:pt idx="141">
                        <c:v>109.99170649310899</c:v>
                      </c:pt>
                      <c:pt idx="142">
                        <c:v>109.97529090913679</c:v>
                      </c:pt>
                      <c:pt idx="143">
                        <c:v>109.95851069530814</c:v>
                      </c:pt>
                      <c:pt idx="144">
                        <c:v>109.94132609634164</c:v>
                      </c:pt>
                      <c:pt idx="145">
                        <c:v>109.92369579242236</c:v>
                      </c:pt>
                      <c:pt idx="146">
                        <c:v>109.90557686026692</c:v>
                      </c:pt>
                      <c:pt idx="147">
                        <c:v>109.88692474692057</c:v>
                      </c:pt>
                      <c:pt idx="148">
                        <c:v>109.87829616519484</c:v>
                      </c:pt>
                      <c:pt idx="149">
                        <c:v>109.82480358848061</c:v>
                      </c:pt>
                      <c:pt idx="150">
                        <c:v>109.76608756140088</c:v>
                      </c:pt>
                      <c:pt idx="151">
                        <c:v>109.70113068177577</c:v>
                      </c:pt>
                      <c:pt idx="152">
                        <c:v>109.62886382143783</c:v>
                      </c:pt>
                      <c:pt idx="153">
                        <c:v>109.54820321351914</c:v>
                      </c:pt>
                      <c:pt idx="154">
                        <c:v>109.45810934451472</c:v>
                      </c:pt>
                      <c:pt idx="155">
                        <c:v>109.35767301199817</c:v>
                      </c:pt>
                      <c:pt idx="156">
                        <c:v>109.24623249413321</c:v>
                      </c:pt>
                      <c:pt idx="157">
                        <c:v>109.123521568301</c:v>
                      </c:pt>
                      <c:pt idx="158">
                        <c:v>108.98983937381662</c:v>
                      </c:pt>
                      <c:pt idx="159">
                        <c:v>108.84621826653972</c:v>
                      </c:pt>
                      <c:pt idx="160">
                        <c:v>108.69454497757192</c:v>
                      </c:pt>
                      <c:pt idx="161">
                        <c:v>108.53756792727063</c:v>
                      </c:pt>
                      <c:pt idx="162">
                        <c:v>108.37871073050813</c:v>
                      </c:pt>
                      <c:pt idx="163">
                        <c:v>108.22162723816879</c:v>
                      </c:pt>
                      <c:pt idx="164">
                        <c:v>108.08594446762689</c:v>
                      </c:pt>
                      <c:pt idx="165">
                        <c:v>107.86943591099957</c:v>
                      </c:pt>
                      <c:pt idx="166">
                        <c:v>107.66604960052091</c:v>
                      </c:pt>
                      <c:pt idx="167">
                        <c:v>107.46577812206165</c:v>
                      </c:pt>
                      <c:pt idx="168">
                        <c:v>107.26095536035173</c:v>
                      </c:pt>
                      <c:pt idx="169">
                        <c:v>107.05859071968024</c:v>
                      </c:pt>
                      <c:pt idx="170">
                        <c:v>106.8732525006513</c:v>
                      </c:pt>
                      <c:pt idx="171">
                        <c:v>106.70327040202346</c:v>
                      </c:pt>
                      <c:pt idx="172">
                        <c:v>106.53789265046834</c:v>
                      </c:pt>
                      <c:pt idx="173">
                        <c:v>106.38629388089139</c:v>
                      </c:pt>
                      <c:pt idx="174">
                        <c:v>106.24911647738547</c:v>
                      </c:pt>
                      <c:pt idx="175">
                        <c:v>106.12040900302593</c:v>
                      </c:pt>
                      <c:pt idx="176">
                        <c:v>106.00588829441922</c:v>
                      </c:pt>
                      <c:pt idx="177">
                        <c:v>105.90044423519424</c:v>
                      </c:pt>
                      <c:pt idx="178">
                        <c:v>105.80546598143283</c:v>
                      </c:pt>
                      <c:pt idx="179">
                        <c:v>105.69317636284818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1E0-4611-A361-F2460FE07A0E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5"/>
          <c:tx>
            <c:strRef>
              <c:f>FRES!$BA$4</c:f>
              <c:strCache>
                <c:ptCount val="1"/>
                <c:pt idx="0">
                  <c:v>Imp3</c:v>
                </c:pt>
              </c:strCache>
            </c:strRef>
          </c:tx>
          <c:spPr>
            <a:ln w="19050">
              <a:solidFill>
                <a:sysClr val="windowText" lastClr="000000">
                  <a:alpha val="81000"/>
                </a:sysClr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</c:numRef>
          </c:xVal>
          <c:yVal>
            <c:numRef>
              <c:f>FRES!$BA$5:$BA$184</c:f>
              <c:numCache>
                <c:formatCode>General</c:formatCode>
                <c:ptCount val="180"/>
                <c:pt idx="0">
                  <c:v>7.2068345244033445</c:v>
                </c:pt>
                <c:pt idx="1">
                  <c:v>7.2076857753760315</c:v>
                </c:pt>
                <c:pt idx="2">
                  <c:v>7.2086450361825403</c:v>
                </c:pt>
                <c:pt idx="3">
                  <c:v>7.2097265340453767</c:v>
                </c:pt>
                <c:pt idx="4">
                  <c:v>7.2109465076361596</c:v>
                </c:pt>
                <c:pt idx="5">
                  <c:v>7.2123235272756308</c:v>
                </c:pt>
                <c:pt idx="6">
                  <c:v>7.2138788752311314</c:v>
                </c:pt>
                <c:pt idx="7">
                  <c:v>7.2156369996347252</c:v>
                </c:pt>
                <c:pt idx="8">
                  <c:v>7.217626059130458</c:v>
                </c:pt>
                <c:pt idx="9">
                  <c:v>7.2198785800357612</c:v>
                </c:pt>
                <c:pt idx="10">
                  <c:v>7.2224322539423733</c:v>
                </c:pt>
                <c:pt idx="11">
                  <c:v>7.2253309118051385</c:v>
                </c:pt>
                <c:pt idx="12">
                  <c:v>7.2286257213941782</c:v>
                </c:pt>
                <c:pt idx="13">
                  <c:v>7.2304400368711201</c:v>
                </c:pt>
                <c:pt idx="14">
                  <c:v>7.2323766695368823</c:v>
                </c:pt>
                <c:pt idx="15">
                  <c:v>7.2344447985909994</c:v>
                </c:pt>
                <c:pt idx="16">
                  <c:v>7.2366544102983781</c:v>
                </c:pt>
                <c:pt idx="17">
                  <c:v>7.2390163836965797</c:v>
                </c:pt>
                <c:pt idx="18">
                  <c:v>7.2415425872283921</c:v>
                </c:pt>
                <c:pt idx="19">
                  <c:v>7.2442459879282648</c:v>
                </c:pt>
                <c:pt idx="20">
                  <c:v>7.2471407750682815</c:v>
                </c:pt>
                <c:pt idx="21">
                  <c:v>7.2502425005000433</c:v>
                </c:pt>
                <c:pt idx="22">
                  <c:v>7.2535682383239095</c:v>
                </c:pt>
                <c:pt idx="23">
                  <c:v>7.2571367669906666</c:v>
                </c:pt>
                <c:pt idx="24">
                  <c:v>7.2609687775107234</c:v>
                </c:pt>
                <c:pt idx="25">
                  <c:v>7.2650871121338376</c:v>
                </c:pt>
                <c:pt idx="26">
                  <c:v>7.2695170386951888</c:v>
                </c:pt>
                <c:pt idx="27">
                  <c:v>7.2742865668365404</c:v>
                </c:pt>
                <c:pt idx="28">
                  <c:v>7.2794268135461335</c:v>
                </c:pt>
                <c:pt idx="29">
                  <c:v>7.2849724269736518</c:v>
                </c:pt>
                <c:pt idx="30">
                  <c:v>7.2909620793366008</c:v>
                </c:pt>
                <c:pt idx="31">
                  <c:v>7.2974390420298914</c:v>
                </c:pt>
                <c:pt idx="32">
                  <c:v>7.3044518588970409</c:v>
                </c:pt>
                <c:pt idx="33">
                  <c:v>7.3120551371661193</c:v>
                </c:pt>
                <c:pt idx="34">
                  <c:v>7.3203104799873682</c:v>
                </c:pt>
                <c:pt idx="35">
                  <c:v>7.3292875900840313</c:v>
                </c:pt>
                <c:pt idx="36">
                  <c:v>7.339065581068378</c:v>
                </c:pt>
                <c:pt idx="37">
                  <c:v>7.3497345419162112</c:v>
                </c:pt>
                <c:pt idx="38">
                  <c:v>7.3613974115058793</c:v>
                </c:pt>
                <c:pt idx="39">
                  <c:v>7.3741722347792074</c:v>
                </c:pt>
                <c:pt idx="40">
                  <c:v>7.3881948909979558</c:v>
                </c:pt>
                <c:pt idx="41">
                  <c:v>7.4036224091397207</c:v>
                </c:pt>
                <c:pt idx="42">
                  <c:v>7.4206370175910221</c:v>
                </c:pt>
                <c:pt idx="43">
                  <c:v>7.4394511175414779</c:v>
                </c:pt>
                <c:pt idx="44">
                  <c:v>7.4603134254324512</c:v>
                </c:pt>
                <c:pt idx="45">
                  <c:v>7.4835166044284378</c:v>
                </c:pt>
                <c:pt idx="46">
                  <c:v>7.5094068051053666</c:v>
                </c:pt>
                <c:pt idx="47">
                  <c:v>7.5383956711783906</c:v>
                </c:pt>
                <c:pt idx="48">
                  <c:v>7.570975551031828</c:v>
                </c:pt>
                <c:pt idx="49">
                  <c:v>7.6077389099619861</c:v>
                </c:pt>
                <c:pt idx="50">
                  <c:v>7.6494032900624633</c:v>
                </c:pt>
                <c:pt idx="51">
                  <c:v>7.6968436561239892</c:v>
                </c:pt>
                <c:pt idx="52">
                  <c:v>7.7511346573511579</c:v>
                </c:pt>
                <c:pt idx="53">
                  <c:v>7.8136063147363322</c:v>
                </c:pt>
                <c:pt idx="54">
                  <c:v>7.8859180423963</c:v>
                </c:pt>
                <c:pt idx="55">
                  <c:v>7.9701579176612398</c:v>
                </c:pt>
                <c:pt idx="56">
                  <c:v>8.0689770031230896</c:v>
                </c:pt>
                <c:pt idx="57">
                  <c:v>8.1857726802180704</c:v>
                </c:pt>
                <c:pt idx="58">
                  <c:v>8.3249408933643245</c:v>
                </c:pt>
                <c:pt idx="59">
                  <c:v>8.4922255294216615</c:v>
                </c:pt>
                <c:pt idx="60">
                  <c:v>8.6952043191668693</c:v>
                </c:pt>
                <c:pt idx="61">
                  <c:v>8.9439640903943172</c:v>
                </c:pt>
                <c:pt idx="62">
                  <c:v>9.2520297424831917</c:v>
                </c:pt>
                <c:pt idx="63">
                  <c:v>9.637605468612076</c:v>
                </c:pt>
                <c:pt idx="64">
                  <c:v>10.125114865847353</c:v>
                </c:pt>
                <c:pt idx="65">
                  <c:v>10.746745767750122</c:v>
                </c:pt>
                <c:pt idx="66">
                  <c:v>11.542816781645499</c:v>
                </c:pt>
                <c:pt idx="67">
                  <c:v>12.557259747933202</c:v>
                </c:pt>
                <c:pt idx="68">
                  <c:v>13.818266469207126</c:v>
                </c:pt>
                <c:pt idx="69">
                  <c:v>15.283261118392877</c:v>
                </c:pt>
                <c:pt idx="70">
                  <c:v>16.730914728795746</c:v>
                </c:pt>
                <c:pt idx="71">
                  <c:v>17.685226726460044</c:v>
                </c:pt>
                <c:pt idx="72">
                  <c:v>17.657987793989108</c:v>
                </c:pt>
                <c:pt idx="73">
                  <c:v>16.66230089007324</c:v>
                </c:pt>
                <c:pt idx="74">
                  <c:v>15.197248278695433</c:v>
                </c:pt>
                <c:pt idx="75">
                  <c:v>13.731147747733848</c:v>
                </c:pt>
                <c:pt idx="76">
                  <c:v>12.475865053636261</c:v>
                </c:pt>
                <c:pt idx="77">
                  <c:v>11.468888862743848</c:v>
                </c:pt>
                <c:pt idx="78">
                  <c:v>10.680063407172534</c:v>
                </c:pt>
                <c:pt idx="79">
                  <c:v>10.06488479156282</c:v>
                </c:pt>
                <c:pt idx="80">
                  <c:v>9.582970369749555</c:v>
                </c:pt>
                <c:pt idx="81">
                  <c:v>9.202224033466667</c:v>
                </c:pt>
                <c:pt idx="82">
                  <c:v>8.8983447615667668</c:v>
                </c:pt>
                <c:pt idx="83">
                  <c:v>8.6532423018633757</c:v>
                </c:pt>
                <c:pt idx="84">
                  <c:v>8.4534875444236146</c:v>
                </c:pt>
                <c:pt idx="85">
                  <c:v>8.2890714887434775</c:v>
                </c:pt>
                <c:pt idx="86">
                  <c:v>8.1524790609729969</c:v>
                </c:pt>
                <c:pt idx="87">
                  <c:v>8.0380169057261561</c:v>
                </c:pt>
                <c:pt idx="88">
                  <c:v>7.941330107982167</c:v>
                </c:pt>
                <c:pt idx="89">
                  <c:v>7.8590549050997058</c:v>
                </c:pt>
                <c:pt idx="90">
                  <c:v>7.7885680621288813</c:v>
                </c:pt>
                <c:pt idx="91">
                  <c:v>7.7278047807432033</c:v>
                </c:pt>
                <c:pt idx="92">
                  <c:v>7.6751253307552965</c:v>
                </c:pt>
                <c:pt idx="93">
                  <c:v>7.6292165154742619</c:v>
                </c:pt>
                <c:pt idx="94">
                  <c:v>7.5890182217536406</c:v>
                </c:pt>
                <c:pt idx="95">
                  <c:v>7.5536681803131138</c:v>
                </c:pt>
                <c:pt idx="96">
                  <c:v>7.5224600579704912</c:v>
                </c:pt>
                <c:pt idx="97">
                  <c:v>7.4948113941594006</c:v>
                </c:pt>
                <c:pt idx="98">
                  <c:v>7.4702388684832748</c:v>
                </c:pt>
                <c:pt idx="99">
                  <c:v>7.4483390733472401</c:v>
                </c:pt>
                <c:pt idx="100">
                  <c:v>7.4287734541159196</c:v>
                </c:pt>
                <c:pt idx="101">
                  <c:v>7.4112564290274214</c:v>
                </c:pt>
                <c:pt idx="102">
                  <c:v>7.3955459535823334</c:v>
                </c:pt>
                <c:pt idx="103">
                  <c:v>7.3814359778267145</c:v>
                </c:pt>
                <c:pt idx="104">
                  <c:v>7.3687503796430658</c:v>
                </c:pt>
                <c:pt idx="105">
                  <c:v>7.3573380566813871</c:v>
                </c:pt>
                <c:pt idx="106">
                  <c:v>7.3470689336364243</c:v>
                </c:pt>
                <c:pt idx="107">
                  <c:v>7.3378306971107667</c:v>
                </c:pt>
                <c:pt idx="108">
                  <c:v>7.3295261122278719</c:v>
                </c:pt>
                <c:pt idx="109">
                  <c:v>7.3220708070213503</c:v>
                </c:pt>
                <c:pt idx="110">
                  <c:v>7.3153914350008717</c:v>
                </c:pt>
                <c:pt idx="111">
                  <c:v>7.3094241450564263</c:v>
                </c:pt>
                <c:pt idx="112">
                  <c:v>7.3041133023905331</c:v>
                </c:pt>
                <c:pt idx="113">
                  <c:v>7.2994104154842265</c:v>
                </c:pt>
                <c:pt idx="114">
                  <c:v>7.2952732329647336</c:v>
                </c:pt>
                <c:pt idx="115">
                  <c:v>7.2916649812216674</c:v>
                </c:pt>
                <c:pt idx="116">
                  <c:v>7.2885537191422642</c:v>
                </c:pt>
                <c:pt idx="117">
                  <c:v>7.2859117907297968</c:v>
                </c:pt>
                <c:pt idx="118">
                  <c:v>7.283715359881195</c:v>
                </c:pt>
                <c:pt idx="119">
                  <c:v>7.281944014420076</c:v>
                </c:pt>
                <c:pt idx="120">
                  <c:v>7.2805804287554068</c:v>
                </c:pt>
                <c:pt idx="121">
                  <c:v>7.2796100763789671</c:v>
                </c:pt>
                <c:pt idx="122">
                  <c:v>7.2790209849131218</c:v>
                </c:pt>
                <c:pt idx="123">
                  <c:v>7.2788035276445626</c:v>
                </c:pt>
                <c:pt idx="124">
                  <c:v>7.2789502464830518</c:v>
                </c:pt>
                <c:pt idx="125">
                  <c:v>7.2794557021102655</c:v>
                </c:pt>
                <c:pt idx="126">
                  <c:v>7.2803163477655684</c:v>
                </c:pt>
                <c:pt idx="127">
                  <c:v>7.281530423681132</c:v>
                </c:pt>
                <c:pt idx="128">
                  <c:v>7.2830978696488868</c:v>
                </c:pt>
                <c:pt idx="129">
                  <c:v>7.2850202535936894</c:v>
                </c:pt>
                <c:pt idx="130">
                  <c:v>7.2873007143556663</c:v>
                </c:pt>
                <c:pt idx="131">
                  <c:v>7.2899439171596958</c:v>
                </c:pt>
                <c:pt idx="132">
                  <c:v>7.2929560204818227</c:v>
                </c:pt>
                <c:pt idx="133">
                  <c:v>7.2963446532178979</c:v>
                </c:pt>
                <c:pt idx="134">
                  <c:v>7.3001189012246606</c:v>
                </c:pt>
                <c:pt idx="135">
                  <c:v>7.3042893024434754</c:v>
                </c:pt>
                <c:pt idx="136">
                  <c:v>7.308867849935301</c:v>
                </c:pt>
                <c:pt idx="137">
                  <c:v>7.3138680022560827</c:v>
                </c:pt>
                <c:pt idx="138">
                  <c:v>7.319304700686823</c:v>
                </c:pt>
                <c:pt idx="139">
                  <c:v>7.3251943929051437</c:v>
                </c:pt>
                <c:pt idx="140">
                  <c:v>7.3315550627457107</c:v>
                </c:pt>
                <c:pt idx="141">
                  <c:v>7.3384062657486915</c:v>
                </c:pt>
                <c:pt idx="142">
                  <c:v>7.3457691702382526</c:v>
                </c:pt>
                <c:pt idx="143">
                  <c:v>7.3536666037087111</c:v>
                </c:pt>
                <c:pt idx="144">
                  <c:v>7.3621231043251463</c:v>
                </c:pt>
                <c:pt idx="145">
                  <c:v>7.3711649773685499</c:v>
                </c:pt>
                <c:pt idx="146">
                  <c:v>7.3808203564738726</c:v>
                </c:pt>
                <c:pt idx="147">
                  <c:v>7.3911192695221368</c:v>
                </c:pt>
                <c:pt idx="148">
                  <c:v>7.396000063019331</c:v>
                </c:pt>
                <c:pt idx="149">
                  <c:v>7.4277407576018701</c:v>
                </c:pt>
                <c:pt idx="150">
                  <c:v>7.4650989170277224</c:v>
                </c:pt>
                <c:pt idx="151">
                  <c:v>7.5088895464771621</c:v>
                </c:pt>
                <c:pt idx="152">
                  <c:v>7.5600568678634641</c:v>
                </c:pt>
                <c:pt idx="153">
                  <c:v>7.6196882302198388</c:v>
                </c:pt>
                <c:pt idx="154">
                  <c:v>7.6890289251976913</c:v>
                </c:pt>
                <c:pt idx="155">
                  <c:v>7.769497484203816</c:v>
                </c:pt>
                <c:pt idx="156">
                  <c:v>7.8627008104592875</c:v>
                </c:pt>
                <c:pt idx="157">
                  <c:v>7.9704481876965865</c:v>
                </c:pt>
                <c:pt idx="158">
                  <c:v>8.094762835761669</c:v>
                </c:pt>
                <c:pt idx="159">
                  <c:v>8.2378893693759139</c:v>
                </c:pt>
                <c:pt idx="160">
                  <c:v>8.4022955086907825</c:v>
                </c:pt>
                <c:pt idx="161">
                  <c:v>8.5906670327010044</c:v>
                </c:pt>
                <c:pt idx="162">
                  <c:v>8.8058964878133779</c:v>
                </c:pt>
                <c:pt idx="163">
                  <c:v>9.0510683213789349</c:v>
                </c:pt>
                <c:pt idx="164">
                  <c:v>9.297039077751359</c:v>
                </c:pt>
                <c:pt idx="165">
                  <c:v>9.7779523961820622</c:v>
                </c:pt>
                <c:pt idx="166">
                  <c:v>10.352730560828951</c:v>
                </c:pt>
                <c:pt idx="167">
                  <c:v>11.034627383694593</c:v>
                </c:pt>
                <c:pt idx="168">
                  <c:v>11.838076155213903</c:v>
                </c:pt>
                <c:pt idx="169">
                  <c:v>12.778796256033125</c:v>
                </c:pt>
                <c:pt idx="170">
                  <c:v>13.873732294196138</c:v>
                </c:pt>
                <c:pt idx="171">
                  <c:v>15.141080921402258</c:v>
                </c:pt>
                <c:pt idx="172">
                  <c:v>16.600693620238527</c:v>
                </c:pt>
                <c:pt idx="173">
                  <c:v>18.27452982061634</c:v>
                </c:pt>
                <c:pt idx="174">
                  <c:v>20.186845552986046</c:v>
                </c:pt>
                <c:pt idx="175">
                  <c:v>22.364638934391532</c:v>
                </c:pt>
                <c:pt idx="176">
                  <c:v>24.838140163045054</c:v>
                </c:pt>
                <c:pt idx="177">
                  <c:v>27.641224563336738</c:v>
                </c:pt>
                <c:pt idx="178">
                  <c:v>30.811970151747829</c:v>
                </c:pt>
                <c:pt idx="179">
                  <c:v>35.706219237829941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1E0-4611-A361-F2460FE07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63344"/>
        <c:axId val="59086177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FRES!$AS$4</c15:sqref>
                        </c15:formulaRef>
                      </c:ext>
                    </c:extLst>
                    <c:strCache>
                      <c:ptCount val="1"/>
                      <c:pt idx="0">
                        <c:v>Phase1</c:v>
                      </c:pt>
                    </c:strCache>
                  </c:strRef>
                </c:tx>
                <c:spPr>
                  <a:ln w="1587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FRES!$AY$5:$AY$184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7.3071393509374207</c:v>
                      </c:pt>
                      <c:pt idx="1">
                        <c:v>7.3210439009183208</c:v>
                      </c:pt>
                      <c:pt idx="2">
                        <c:v>7.3368637231288476</c:v>
                      </c:pt>
                      <c:pt idx="3">
                        <c:v>7.3548923245418436</c:v>
                      </c:pt>
                      <c:pt idx="4">
                        <c:v>7.375476098003781</c:v>
                      </c:pt>
                      <c:pt idx="5">
                        <c:v>7.3990259171555728</c:v>
                      </c:pt>
                      <c:pt idx="6">
                        <c:v>7.4260318049046266</c:v>
                      </c:pt>
                      <c:pt idx="7">
                        <c:v>7.4570816322403797</c:v>
                      </c:pt>
                      <c:pt idx="8">
                        <c:v>7.4928851449355562</c:v>
                      </c:pt>
                      <c:pt idx="9">
                        <c:v>7.5343050928300022</c:v>
                      </c:pt>
                      <c:pt idx="10">
                        <c:v>7.5823979103954979</c:v>
                      </c:pt>
                      <c:pt idx="11">
                        <c:v>7.6384673576596027</c:v>
                      </c:pt>
                      <c:pt idx="12">
                        <c:v>7.7041359106799785</c:v>
                      </c:pt>
                      <c:pt idx="13">
                        <c:v>7.7411869837838108</c:v>
                      </c:pt>
                      <c:pt idx="14">
                        <c:v>7.7814406899263853</c:v>
                      </c:pt>
                      <c:pt idx="15">
                        <c:v>7.8252377674075575</c:v>
                      </c:pt>
                      <c:pt idx="16">
                        <c:v>7.8729636309445388</c:v>
                      </c:pt>
                      <c:pt idx="17">
                        <c:v>7.9250553504062031</c:v>
                      </c:pt>
                      <c:pt idx="18">
                        <c:v>7.9820098763554475</c:v>
                      </c:pt>
                      <c:pt idx="19">
                        <c:v>8.0443937573625508</c:v>
                      </c:pt>
                      <c:pt idx="20">
                        <c:v>8.1128546443529199</c:v>
                      </c:pt>
                      <c:pt idx="21">
                        <c:v>8.1881349372421628</c:v>
                      </c:pt>
                      <c:pt idx="22">
                        <c:v>8.2710879998446689</c:v>
                      </c:pt>
                      <c:pt idx="23">
                        <c:v>8.3626974509793364</c:v>
                      </c:pt>
                      <c:pt idx="24">
                        <c:v>8.4641001319642601</c:v>
                      </c:pt>
                      <c:pt idx="25">
                        <c:v>8.5766134497475122</c:v>
                      </c:pt>
                      <c:pt idx="26">
                        <c:v>8.7017678921682915</c:v>
                      </c:pt>
                      <c:pt idx="27">
                        <c:v>8.8413455894097392</c:v>
                      </c:pt>
                      <c:pt idx="28">
                        <c:v>8.9974258190347509</c:v>
                      </c:pt>
                      <c:pt idx="29">
                        <c:v>9.1724382568347718</c:v>
                      </c:pt>
                      <c:pt idx="30">
                        <c:v>9.3692244454156182</c:v>
                      </c:pt>
                      <c:pt idx="31">
                        <c:v>9.5911071784071886</c:v>
                      </c:pt>
                      <c:pt idx="32">
                        <c:v>9.8419659115684937</c:v>
                      </c:pt>
                      <c:pt idx="33">
                        <c:v>10.126313267054032</c:v>
                      </c:pt>
                      <c:pt idx="34">
                        <c:v>10.449362076007157</c:v>
                      </c:pt>
                      <c:pt idx="35">
                        <c:v>10.817062305495291</c:v>
                      </c:pt>
                      <c:pt idx="36">
                        <c:v>11.236069491467708</c:v>
                      </c:pt>
                      <c:pt idx="37">
                        <c:v>11.713575997031624</c:v>
                      </c:pt>
                      <c:pt idx="38">
                        <c:v>12.256886474745363</c:v>
                      </c:pt>
                      <c:pt idx="39">
                        <c:v>12.872541421129906</c:v>
                      </c:pt>
                      <c:pt idx="40">
                        <c:v>13.564685445497942</c:v>
                      </c:pt>
                      <c:pt idx="41">
                        <c:v>14.332263964439878</c:v>
                      </c:pt>
                      <c:pt idx="42">
                        <c:v>15.164614549441772</c:v>
                      </c:pt>
                      <c:pt idx="43">
                        <c:v>16.035365517289861</c:v>
                      </c:pt>
                      <c:pt idx="44">
                        <c:v>16.895763389863834</c:v>
                      </c:pt>
                      <c:pt idx="45">
                        <c:v>17.67106245428872</c:v>
                      </c:pt>
                      <c:pt idx="46">
                        <c:v>18.26653541801921</c:v>
                      </c:pt>
                      <c:pt idx="47">
                        <c:v>18.588913768467286</c:v>
                      </c:pt>
                      <c:pt idx="48">
                        <c:v>18.579348353556231</c:v>
                      </c:pt>
                      <c:pt idx="49">
                        <c:v>18.239394337453852</c:v>
                      </c:pt>
                      <c:pt idx="50">
                        <c:v>17.630307156365983</c:v>
                      </c:pt>
                      <c:pt idx="51">
                        <c:v>16.846217523011301</c:v>
                      </c:pt>
                      <c:pt idx="52">
                        <c:v>15.981366371249049</c:v>
                      </c:pt>
                      <c:pt idx="53">
                        <c:v>15.109380338330112</c:v>
                      </c:pt>
                      <c:pt idx="54">
                        <c:v>14.277862813654739</c:v>
                      </c:pt>
                      <c:pt idx="55">
                        <c:v>13.512283134016743</c:v>
                      </c:pt>
                      <c:pt idx="56">
                        <c:v>12.822693434054067</c:v>
                      </c:pt>
                      <c:pt idx="57">
                        <c:v>12.209774672235493</c:v>
                      </c:pt>
                      <c:pt idx="58">
                        <c:v>11.669171672069114</c:v>
                      </c:pt>
                      <c:pt idx="59">
                        <c:v>11.194235831682635</c:v>
                      </c:pt>
                      <c:pt idx="60">
                        <c:v>10.777614901233781</c:v>
                      </c:pt>
                      <c:pt idx="61">
                        <c:v>10.412102846468159</c:v>
                      </c:pt>
                      <c:pt idx="62">
                        <c:v>10.091048420958334</c:v>
                      </c:pt>
                      <c:pt idx="63">
                        <c:v>9.8085146747639289</c:v>
                      </c:pt>
                      <c:pt idx="64">
                        <c:v>9.5593053570592215</c:v>
                      </c:pt>
                      <c:pt idx="65">
                        <c:v>9.3389252092105703</c:v>
                      </c:pt>
                      <c:pt idx="66">
                        <c:v>9.1435115076479878</c:v>
                      </c:pt>
                      <c:pt idx="67">
                        <c:v>8.9697569100487549</c:v>
                      </c:pt>
                      <c:pt idx="68">
                        <c:v>8.8148338120256753</c:v>
                      </c:pt>
                      <c:pt idx="69">
                        <c:v>8.6763249496471797</c:v>
                      </c:pt>
                      <c:pt idx="70">
                        <c:v>8.552162024947668</c:v>
                      </c:pt>
                      <c:pt idx="71">
                        <c:v>8.4405725949943218</c:v>
                      </c:pt>
                      <c:pt idx="72">
                        <c:v>8.3400347196001068</c:v>
                      </c:pt>
                      <c:pt idx="73">
                        <c:v>8.2492385486067388</c:v>
                      </c:pt>
                      <c:pt idx="74">
                        <c:v>8.1670539434944018</c:v>
                      </c:pt>
                      <c:pt idx="75">
                        <c:v>8.0925032563065962</c:v>
                      </c:pt>
                      <c:pt idx="76">
                        <c:v>8.0247384690243102</c:v>
                      </c:pt>
                      <c:pt idx="77">
                        <c:v>7.9630219950415784</c:v>
                      </c:pt>
                      <c:pt idx="78">
                        <c:v>7.9067105439991021</c:v>
                      </c:pt>
                      <c:pt idx="79">
                        <c:v>7.8552415436610419</c:v>
                      </c:pt>
                      <c:pt idx="80">
                        <c:v>7.8081216944197704</c:v>
                      </c:pt>
                      <c:pt idx="81">
                        <c:v>7.7649173026151548</c:v>
                      </c:pt>
                      <c:pt idx="82">
                        <c:v>7.7252460986783005</c:v>
                      </c:pt>
                      <c:pt idx="83">
                        <c:v>7.6887702962389968</c:v>
                      </c:pt>
                      <c:pt idx="84">
                        <c:v>7.6551906900447451</c:v>
                      </c:pt>
                      <c:pt idx="85">
                        <c:v>7.6242416250833154</c:v>
                      </c:pt>
                      <c:pt idx="86">
                        <c:v>7.5956866978366238</c:v>
                      </c:pt>
                      <c:pt idx="87">
                        <c:v>7.5693150741323141</c:v>
                      </c:pt>
                      <c:pt idx="88">
                        <c:v>7.5449383274686594</c:v>
                      </c:pt>
                      <c:pt idx="89">
                        <c:v>7.5223877176965024</c:v>
                      </c:pt>
                      <c:pt idx="90">
                        <c:v>7.5015118431559946</c:v>
                      </c:pt>
                      <c:pt idx="91">
                        <c:v>7.4821746102855462</c:v>
                      </c:pt>
                      <c:pt idx="92">
                        <c:v>7.4642534737581894</c:v>
                      </c:pt>
                      <c:pt idx="93">
                        <c:v>7.4476379076930668</c:v>
                      </c:pt>
                      <c:pt idx="94">
                        <c:v>7.4322280747127225</c:v>
                      </c:pt>
                      <c:pt idx="95">
                        <c:v>7.4179336647954877</c:v>
                      </c:pt>
                      <c:pt idx="96">
                        <c:v>7.4046728801914554</c:v>
                      </c:pt>
                      <c:pt idx="97">
                        <c:v>7.3923715462792456</c:v>
                      </c:pt>
                      <c:pt idx="98">
                        <c:v>7.3809623312637802</c:v>
                      </c:pt>
                      <c:pt idx="99">
                        <c:v>7.3703840601522739</c:v>
                      </c:pt>
                      <c:pt idx="100">
                        <c:v>7.3605811105800578</c:v>
                      </c:pt>
                      <c:pt idx="101">
                        <c:v>7.3515028798566</c:v>
                      </c:pt>
                      <c:pt idx="102">
                        <c:v>7.3431033141230744</c:v>
                      </c:pt>
                      <c:pt idx="103">
                        <c:v>7.3353404917992187</c:v>
                      </c:pt>
                      <c:pt idx="104">
                        <c:v>7.3281762545903728</c:v>
                      </c:pt>
                      <c:pt idx="105">
                        <c:v>7.3215758802539144</c:v>
                      </c:pt>
                      <c:pt idx="106">
                        <c:v>7.3155077921166418</c:v>
                      </c:pt>
                      <c:pt idx="107">
                        <c:v>7.309943301010394</c:v>
                      </c:pt>
                      <c:pt idx="108">
                        <c:v>7.3048563758721556</c:v>
                      </c:pt>
                      <c:pt idx="109">
                        <c:v>7.3002234397512868</c:v>
                      </c:pt>
                      <c:pt idx="110">
                        <c:v>7.2960231883928559</c:v>
                      </c:pt>
                      <c:pt idx="111">
                        <c:v>7.2922364289336867</c:v>
                      </c:pt>
                      <c:pt idx="112">
                        <c:v>7.2888459365643889</c:v>
                      </c:pt>
                      <c:pt idx="113">
                        <c:v>7.2858363272850335</c:v>
                      </c:pt>
                      <c:pt idx="114">
                        <c:v>7.2831939451192165</c:v>
                      </c:pt>
                      <c:pt idx="115">
                        <c:v>7.2809067623578674</c:v>
                      </c:pt>
                      <c:pt idx="116">
                        <c:v>7.2789642915828718</c:v>
                      </c:pt>
                      <c:pt idx="117">
                        <c:v>7.2773575083773645</c:v>
                      </c:pt>
                      <c:pt idx="118">
                        <c:v>7.2760787837655725</c:v>
                      </c:pt>
                      <c:pt idx="119">
                        <c:v>7.2751218255448666</c:v>
                      </c:pt>
                      <c:pt idx="120">
                        <c:v>7.2744816277769546</c:v>
                      </c:pt>
                      <c:pt idx="121">
                        <c:v>7.274154427797348</c:v>
                      </c:pt>
                      <c:pt idx="122">
                        <c:v>7.2741376701829967</c:v>
                      </c:pt>
                      <c:pt idx="123">
                        <c:v>7.274429977189337</c:v>
                      </c:pt>
                      <c:pt idx="124">
                        <c:v>7.2750311252309157</c:v>
                      </c:pt>
                      <c:pt idx="125">
                        <c:v>7.2759420270354411</c:v>
                      </c:pt>
                      <c:pt idx="126">
                        <c:v>7.2771647191506315</c:v>
                      </c:pt>
                      <c:pt idx="127">
                        <c:v>7.2787023545265574</c:v>
                      </c:pt>
                      <c:pt idx="128">
                        <c:v>7.2805591999355501</c:v>
                      </c:pt>
                      <c:pt idx="129">
                        <c:v>7.2827406380258406</c:v>
                      </c:pt>
                      <c:pt idx="130">
                        <c:v>7.2852531738358728</c:v>
                      </c:pt>
                      <c:pt idx="131">
                        <c:v>7.2881044456235502</c:v>
                      </c:pt>
                      <c:pt idx="132">
                        <c:v>7.2913032398885385</c:v>
                      </c:pt>
                      <c:pt idx="133">
                        <c:v>7.2948595104874814</c:v>
                      </c:pt>
                      <c:pt idx="134">
                        <c:v>7.298784401760253</c:v>
                      </c:pt>
                      <c:pt idx="135">
                        <c:v>7.3030902756024405</c:v>
                      </c:pt>
                      <c:pt idx="136">
                        <c:v>7.3077907424330872</c:v>
                      </c:pt>
                      <c:pt idx="137">
                        <c:v>7.3129006960191605</c:v>
                      </c:pt>
                      <c:pt idx="138">
                        <c:v>7.3184363521288311</c:v>
                      </c:pt>
                      <c:pt idx="139">
                        <c:v>7.324415290993799</c:v>
                      </c:pt>
                      <c:pt idx="140">
                        <c:v>7.3308565035680697</c:v>
                      </c:pt>
                      <c:pt idx="141">
                        <c:v>7.3377804415753758</c:v>
                      </c:pt>
                      <c:pt idx="142">
                        <c:v>7.3452090713411806</c:v>
                      </c:pt>
                      <c:pt idx="143">
                        <c:v>7.3531659314063855</c:v>
                      </c:pt>
                      <c:pt idx="144">
                        <c:v>7.361676193920526</c:v>
                      </c:pt>
                      <c:pt idx="145">
                        <c:v>7.3707667298097848</c:v>
                      </c:pt>
                      <c:pt idx="146">
                        <c:v>7.3804661777123259</c:v>
                      </c:pt>
                      <c:pt idx="147">
                        <c:v>7.3908050166674508</c:v>
                      </c:pt>
                      <c:pt idx="148">
                        <c:v>7.3957026269049901</c:v>
                      </c:pt>
                      <c:pt idx="149">
                        <c:v>7.4275286073313245</c:v>
                      </c:pt>
                      <c:pt idx="150">
                        <c:v>7.4649525027945804</c:v>
                      </c:pt>
                      <c:pt idx="151">
                        <c:v>7.5087937939556317</c:v>
                      </c:pt>
                      <c:pt idx="152">
                        <c:v>7.5600000611399816</c:v>
                      </c:pt>
                      <c:pt idx="153">
                        <c:v>7.6196611853942962</c:v>
                      </c:pt>
                      <c:pt idx="154">
                        <c:v>7.6890243760812229</c:v>
                      </c:pt>
                      <c:pt idx="155">
                        <c:v>7.7695096238489176</c:v>
                      </c:pt>
                      <c:pt idx="156">
                        <c:v>7.8627249487732644</c:v>
                      </c:pt>
                      <c:pt idx="157">
                        <c:v>7.9704804978115389</c:v>
                      </c:pt>
                      <c:pt idx="158">
                        <c:v>8.0948001710307302</c:v>
                      </c:pt>
                      <c:pt idx="159">
                        <c:v>8.2379291389382363</c:v>
                      </c:pt>
                      <c:pt idx="160">
                        <c:v>8.4023356020670317</c:v>
                      </c:pt>
                      <c:pt idx="161">
                        <c:v>8.5907057825669177</c:v>
                      </c:pt>
                      <c:pt idx="162">
                        <c:v>8.8059326559386513</c:v>
                      </c:pt>
                      <c:pt idx="163">
                        <c:v>9.0511010887598253</c:v>
                      </c:pt>
                      <c:pt idx="164">
                        <c:v>9.2970684513731818</c:v>
                      </c:pt>
                      <c:pt idx="165">
                        <c:v>9.7779759521879299</c:v>
                      </c:pt>
                      <c:pt idx="166">
                        <c:v>10.352748879637964</c:v>
                      </c:pt>
                      <c:pt idx="167">
                        <c:v>11.034641427049429</c:v>
                      </c:pt>
                      <c:pt idx="168">
                        <c:v>11.83808685612928</c:v>
                      </c:pt>
                      <c:pt idx="169">
                        <c:v>12.778804331963709</c:v>
                      </c:pt>
                      <c:pt idx="170">
                        <c:v>13.873738297571562</c:v>
                      </c:pt>
                      <c:pt idx="171">
                        <c:v>15.141085336319343</c:v>
                      </c:pt>
                      <c:pt idx="172">
                        <c:v>16.600696853006546</c:v>
                      </c:pt>
                      <c:pt idx="173">
                        <c:v>18.274532171106404</c:v>
                      </c:pt>
                      <c:pt idx="174">
                        <c:v>20.186847251864211</c:v>
                      </c:pt>
                      <c:pt idx="175">
                        <c:v>22.364640158277915</c:v>
                      </c:pt>
                      <c:pt idx="176">
                        <c:v>24.83814104098273</c:v>
                      </c:pt>
                      <c:pt idx="177">
                        <c:v>27.641225191571575</c:v>
                      </c:pt>
                      <c:pt idx="178">
                        <c:v>30.811970600211431</c:v>
                      </c:pt>
                      <c:pt idx="179">
                        <c:v>35.706219522617019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41E0-4611-A361-F2460FE07A0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FRES!$AT$4</c15:sqref>
                        </c15:formulaRef>
                      </c:ext>
                    </c:extLst>
                    <c:strCache>
                      <c:ptCount val="1"/>
                      <c:pt idx="0">
                        <c:v>Phase2</c:v>
                      </c:pt>
                    </c:strCache>
                  </c:strRef>
                </c:tx>
                <c:spPr>
                  <a:ln w="15875">
                    <a:solidFill>
                      <a:srgbClr val="0000FF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FRES!$AZ$5:$AZ$184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7.2266623178939353</c:v>
                      </c:pt>
                      <c:pt idx="1">
                        <c:v>7.2300349480247492</c:v>
                      </c:pt>
                      <c:pt idx="2">
                        <c:v>7.2338492641673922</c:v>
                      </c:pt>
                      <c:pt idx="3">
                        <c:v>7.2381671138988279</c:v>
                      </c:pt>
                      <c:pt idx="4">
                        <c:v>7.2430600665139409</c:v>
                      </c:pt>
                      <c:pt idx="5">
                        <c:v>7.2486112187959515</c:v>
                      </c:pt>
                      <c:pt idx="6">
                        <c:v>7.2549174070242577</c:v>
                      </c:pt>
                      <c:pt idx="7">
                        <c:v>7.2620919344919708</c:v>
                      </c:pt>
                      <c:pt idx="8">
                        <c:v>7.2702679580012921</c:v>
                      </c:pt>
                      <c:pt idx="9">
                        <c:v>7.279602723205576</c:v>
                      </c:pt>
                      <c:pt idx="10">
                        <c:v>7.2902829021910591</c:v>
                      </c:pt>
                      <c:pt idx="11">
                        <c:v>7.3025313744794333</c:v>
                      </c:pt>
                      <c:pt idx="12">
                        <c:v>7.3166159151676311</c:v>
                      </c:pt>
                      <c:pt idx="13">
                        <c:v>7.3244453656623936</c:v>
                      </c:pt>
                      <c:pt idx="14">
                        <c:v>7.3328604267748556</c:v>
                      </c:pt>
                      <c:pt idx="15">
                        <c:v>7.341912757118763</c:v>
                      </c:pt>
                      <c:pt idx="16">
                        <c:v>7.3516595979470356</c:v>
                      </c:pt>
                      <c:pt idx="17">
                        <c:v>7.3621645103506523</c:v>
                      </c:pt>
                      <c:pt idx="18">
                        <c:v>7.3734982281294306</c:v>
                      </c:pt>
                      <c:pt idx="19">
                        <c:v>7.3857396473201149</c:v>
                      </c:pt>
                      <c:pt idx="20">
                        <c:v>7.3989769776875125</c:v>
                      </c:pt>
                      <c:pt idx="21">
                        <c:v>7.4133090868011449</c:v>
                      </c:pt>
                      <c:pt idx="22">
                        <c:v>7.4288470738875603</c:v>
                      </c:pt>
                      <c:pt idx="23">
                        <c:v>7.4457161187908181</c:v>
                      </c:pt>
                      <c:pt idx="24">
                        <c:v>7.4640576615109051</c:v>
                      </c:pt>
                      <c:pt idx="25">
                        <c:v>7.4840319804584974</c:v>
                      </c:pt>
                      <c:pt idx="26">
                        <c:v>7.5058212534644593</c:v>
                      </c:pt>
                      <c:pt idx="27">
                        <c:v>7.5296332056189375</c:v>
                      </c:pt>
                      <c:pt idx="28">
                        <c:v>7.5557054733729618</c:v>
                      </c:pt>
                      <c:pt idx="29">
                        <c:v>7.5843108465634339</c:v>
                      </c:pt>
                      <c:pt idx="30">
                        <c:v>7.6157635911576618</c:v>
                      </c:pt>
                      <c:pt idx="31">
                        <c:v>7.6504271082400299</c:v>
                      </c:pt>
                      <c:pt idx="32">
                        <c:v>7.6887232526277964</c:v>
                      </c:pt>
                      <c:pt idx="33">
                        <c:v>7.7311437222002279</c:v>
                      </c:pt>
                      <c:pt idx="34">
                        <c:v>7.7782640427754606</c:v>
                      </c:pt>
                      <c:pt idx="35">
                        <c:v>7.8307608214025732</c:v>
                      </c:pt>
                      <c:pt idx="36">
                        <c:v>7.8894331341126307</c:v>
                      </c:pt>
                      <c:pt idx="37">
                        <c:v>7.9552291667169115</c:v>
                      </c:pt>
                      <c:pt idx="38">
                        <c:v>8.029279557560093</c:v>
                      </c:pt>
                      <c:pt idx="39">
                        <c:v>8.1129393225161834</c:v>
                      </c:pt>
                      <c:pt idx="40">
                        <c:v>8.207840803254502</c:v>
                      </c:pt>
                      <c:pt idx="41">
                        <c:v>8.315960801693052</c:v>
                      </c:pt>
                      <c:pt idx="42">
                        <c:v>8.4397059763077493</c:v>
                      </c:pt>
                      <c:pt idx="43">
                        <c:v>8.5820216923140471</c:v>
                      </c:pt>
                      <c:pt idx="44">
                        <c:v>8.7465307978425226</c:v>
                      </c:pt>
                      <c:pt idx="45">
                        <c:v>8.9377100688343507</c:v>
                      </c:pt>
                      <c:pt idx="46">
                        <c:v>9.1611128407978075</c:v>
                      </c:pt>
                      <c:pt idx="47">
                        <c:v>9.4236454365102134</c:v>
                      </c:pt>
                      <c:pt idx="48">
                        <c:v>9.7338996644333982</c:v>
                      </c:pt>
                      <c:pt idx="49">
                        <c:v>10.102527789128208</c:v>
                      </c:pt>
                      <c:pt idx="50">
                        <c:v>10.542606628008471</c:v>
                      </c:pt>
                      <c:pt idx="51">
                        <c:v>11.069845432143028</c:v>
                      </c:pt>
                      <c:pt idx="52">
                        <c:v>11.702290011971643</c:v>
                      </c:pt>
                      <c:pt idx="53">
                        <c:v>12.458754676754582</c:v>
                      </c:pt>
                      <c:pt idx="54">
                        <c:v>13.354411762960069</c:v>
                      </c:pt>
                      <c:pt idx="55">
                        <c:v>14.390714046081321</c:v>
                      </c:pt>
                      <c:pt idx="56">
                        <c:v>15.535876305135863</c:v>
                      </c:pt>
                      <c:pt idx="57">
                        <c:v>16.695254449239453</c:v>
                      </c:pt>
                      <c:pt idx="58">
                        <c:v>17.686974479334069</c:v>
                      </c:pt>
                      <c:pt idx="59">
                        <c:v>18.268398117742731</c:v>
                      </c:pt>
                      <c:pt idx="60">
                        <c:v>18.253176488575622</c:v>
                      </c:pt>
                      <c:pt idx="61">
                        <c:v>17.645676726655193</c:v>
                      </c:pt>
                      <c:pt idx="62">
                        <c:v>16.63764348481244</c:v>
                      </c:pt>
                      <c:pt idx="63">
                        <c:v>15.471350191856361</c:v>
                      </c:pt>
                      <c:pt idx="64">
                        <c:v>14.325496321384367</c:v>
                      </c:pt>
                      <c:pt idx="65">
                        <c:v>13.291715948017705</c:v>
                      </c:pt>
                      <c:pt idx="66">
                        <c:v>12.399878389471965</c:v>
                      </c:pt>
                      <c:pt idx="67">
                        <c:v>11.64753225391425</c:v>
                      </c:pt>
                      <c:pt idx="68">
                        <c:v>11.019053989652447</c:v>
                      </c:pt>
                      <c:pt idx="69">
                        <c:v>10.495458356338112</c:v>
                      </c:pt>
                      <c:pt idx="70">
                        <c:v>10.058659144140385</c:v>
                      </c:pt>
                      <c:pt idx="71">
                        <c:v>9.6929621750588346</c:v>
                      </c:pt>
                      <c:pt idx="72">
                        <c:v>9.3853259200959904</c:v>
                      </c:pt>
                      <c:pt idx="73">
                        <c:v>9.1251379507790933</c:v>
                      </c:pt>
                      <c:pt idx="74">
                        <c:v>8.9038443979630415</c:v>
                      </c:pt>
                      <c:pt idx="75">
                        <c:v>8.7145727297022635</c:v>
                      </c:pt>
                      <c:pt idx="76">
                        <c:v>8.5517988244607412</c:v>
                      </c:pt>
                      <c:pt idx="77">
                        <c:v>8.4110708470241402</c:v>
                      </c:pt>
                      <c:pt idx="78">
                        <c:v>8.2887871629365204</c:v>
                      </c:pt>
                      <c:pt idx="79">
                        <c:v>8.182020472603142</c:v>
                      </c:pt>
                      <c:pt idx="80">
                        <c:v>8.0883795649740993</c:v>
                      </c:pt>
                      <c:pt idx="81">
                        <c:v>8.0059009230164229</c:v>
                      </c:pt>
                      <c:pt idx="82">
                        <c:v>7.9329637078094741</c:v>
                      </c:pt>
                      <c:pt idx="83">
                        <c:v>7.8682229372568644</c:v>
                      </c:pt>
                      <c:pt idx="84">
                        <c:v>7.8105567941971534</c:v>
                      </c:pt>
                      <c:pt idx="85">
                        <c:v>7.7590249111507505</c:v>
                      </c:pt>
                      <c:pt idx="86">
                        <c:v>7.712835199552055</c:v>
                      </c:pt>
                      <c:pt idx="87">
                        <c:v>7.6713173505654062</c:v>
                      </c:pt>
                      <c:pt idx="88">
                        <c:v>7.6339015645712545</c:v>
                      </c:pt>
                      <c:pt idx="89">
                        <c:v>7.6001013955375036</c:v>
                      </c:pt>
                      <c:pt idx="90">
                        <c:v>7.569499848059146</c:v>
                      </c:pt>
                      <c:pt idx="91">
                        <c:v>7.5417380572432471</c:v>
                      </c:pt>
                      <c:pt idx="92">
                        <c:v>7.5165060290303991</c:v>
                      </c:pt>
                      <c:pt idx="93">
                        <c:v>7.4935350318055587</c:v>
                      </c:pt>
                      <c:pt idx="94">
                        <c:v>7.4725913174655672</c:v>
                      </c:pt>
                      <c:pt idx="95">
                        <c:v>7.4534709176730489</c:v>
                      </c:pt>
                      <c:pt idx="96">
                        <c:v>7.4359953135153942</c:v>
                      </c:pt>
                      <c:pt idx="97">
                        <c:v>7.4200078177347493</c:v>
                      </c:pt>
                      <c:pt idx="98">
                        <c:v>7.4053705407742738</c:v>
                      </c:pt>
                      <c:pt idx="99">
                        <c:v>7.3919618371248186</c:v>
                      </c:pt>
                      <c:pt idx="100">
                        <c:v>7.3796741483983448</c:v>
                      </c:pt>
                      <c:pt idx="101">
                        <c:v>7.3684121753778191</c:v>
                      </c:pt>
                      <c:pt idx="102">
                        <c:v>7.3580913239014452</c:v>
                      </c:pt>
                      <c:pt idx="103">
                        <c:v>7.3486363795258738</c:v>
                      </c:pt>
                      <c:pt idx="104">
                        <c:v>7.3399803740165295</c:v>
                      </c:pt>
                      <c:pt idx="105">
                        <c:v>7.3320636132473878</c:v>
                      </c:pt>
                      <c:pt idx="106">
                        <c:v>7.3248328413832864</c:v>
                      </c:pt>
                      <c:pt idx="107">
                        <c:v>7.3182405205168992</c:v>
                      </c:pt>
                      <c:pt idx="108">
                        <c:v>7.3122442084387727</c:v>
                      </c:pt>
                      <c:pt idx="109">
                        <c:v>7.306806020089506</c:v>
                      </c:pt>
                      <c:pt idx="110">
                        <c:v>7.3018921606001097</c:v>
                      </c:pt>
                      <c:pt idx="111">
                        <c:v>7.2974725197705297</c:v>
                      </c:pt>
                      <c:pt idx="112">
                        <c:v>7.2935203194425808</c:v>
                      </c:pt>
                      <c:pt idx="113">
                        <c:v>7.2900118065571782</c:v>
                      </c:pt>
                      <c:pt idx="114">
                        <c:v>7.2869259857949524</c:v>
                      </c:pt>
                      <c:pt idx="115">
                        <c:v>7.2842443866258231</c:v>
                      </c:pt>
                      <c:pt idx="116">
                        <c:v>7.2819508603685987</c:v>
                      </c:pt>
                      <c:pt idx="117">
                        <c:v>7.2800314035128899</c:v>
                      </c:pt>
                      <c:pt idx="118">
                        <c:v>7.2784740041045408</c:v>
                      </c:pt>
                      <c:pt idx="119">
                        <c:v>7.2772685084586852</c:v>
                      </c:pt>
                      <c:pt idx="120">
                        <c:v>7.276406505857115</c:v>
                      </c:pt>
                      <c:pt idx="121">
                        <c:v>7.2758812292199151</c:v>
                      </c:pt>
                      <c:pt idx="122">
                        <c:v>7.2756874700247192</c:v>
                      </c:pt>
                      <c:pt idx="123">
                        <c:v>7.2758215059893852</c:v>
                      </c:pt>
                      <c:pt idx="124">
                        <c:v>7.2762810402408888</c:v>
                      </c:pt>
                      <c:pt idx="125">
                        <c:v>7.277065150870901</c:v>
                      </c:pt>
                      <c:pt idx="126">
                        <c:v>7.2781742499314683</c:v>
                      </c:pt>
                      <c:pt idx="127">
                        <c:v>7.2796100510556991</c:v>
                      </c:pt>
                      <c:pt idx="128">
                        <c:v>7.2813755450019348</c:v>
                      </c:pt>
                      <c:pt idx="129">
                        <c:v>7.2834749825183209</c:v>
                      </c:pt>
                      <c:pt idx="130">
                        <c:v>7.285913864009693</c:v>
                      </c:pt>
                      <c:pt idx="131">
                        <c:v>7.2886989355624028</c:v>
                      </c:pt>
                      <c:pt idx="132">
                        <c:v>7.2918381909472254</c:v>
                      </c:pt>
                      <c:pt idx="133">
                        <c:v>7.2953408792753791</c:v>
                      </c:pt>
                      <c:pt idx="134">
                        <c:v>7.2992175180319148</c:v>
                      </c:pt>
                      <c:pt idx="135">
                        <c:v>7.3034799112517828</c:v>
                      </c:pt>
                      <c:pt idx="136">
                        <c:v>7.3081411726406484</c:v>
                      </c:pt>
                      <c:pt idx="137">
                        <c:v>7.3132157534736155</c:v>
                      </c:pt>
                      <c:pt idx="138">
                        <c:v>7.3187194751315063</c:v>
                      </c:pt>
                      <c:pt idx="139">
                        <c:v>7.3246695661577368</c:v>
                      </c:pt>
                      <c:pt idx="140">
                        <c:v>7.3310847037371554</c:v>
                      </c:pt>
                      <c:pt idx="141">
                        <c:v>7.3379850595145886</c:v>
                      </c:pt>
                      <c:pt idx="142">
                        <c:v>7.3453923496832729</c:v>
                      </c:pt>
                      <c:pt idx="143">
                        <c:v>7.3533298892830627</c:v>
                      </c:pt>
                      <c:pt idx="144">
                        <c:v>7.3618226506555704</c:v>
                      </c:pt>
                      <c:pt idx="145">
                        <c:v>7.3708973260076158</c:v>
                      </c:pt>
                      <c:pt idx="146">
                        <c:v>7.3805823940363631</c:v>
                      </c:pt>
                      <c:pt idx="147">
                        <c:v>7.3909081905686582</c:v>
                      </c:pt>
                      <c:pt idx="148">
                        <c:v>7.3958003030817157</c:v>
                      </c:pt>
                      <c:pt idx="149">
                        <c:v>7.4275983601828726</c:v>
                      </c:pt>
                      <c:pt idx="150">
                        <c:v>7.465000680991082</c:v>
                      </c:pt>
                      <c:pt idx="151">
                        <c:v>7.5088253096512307</c:v>
                      </c:pt>
                      <c:pt idx="152">
                        <c:v>7.5600187439655642</c:v>
                      </c:pt>
                      <c:pt idx="153">
                        <c:v>7.6196700457626951</c:v>
                      </c:pt>
                      <c:pt idx="154">
                        <c:v>7.6890258018540276</c:v>
                      </c:pt>
                      <c:pt idx="155">
                        <c:v>7.7695055277353617</c:v>
                      </c:pt>
                      <c:pt idx="156">
                        <c:v>7.8627168788111232</c:v>
                      </c:pt>
                      <c:pt idx="157">
                        <c:v>7.97046971944983</c:v>
                      </c:pt>
                      <c:pt idx="158">
                        <c:v>8.0947877264690522</c:v>
                      </c:pt>
                      <c:pt idx="159">
                        <c:v>8.2379158874826039</c:v>
                      </c:pt>
                      <c:pt idx="160">
                        <c:v>8.4023222445062693</c:v>
                      </c:pt>
                      <c:pt idx="161">
                        <c:v>8.5906928730662599</c:v>
                      </c:pt>
                      <c:pt idx="162">
                        <c:v>8.8059206063714033</c:v>
                      </c:pt>
                      <c:pt idx="163">
                        <c:v>9.0510901717447982</c:v>
                      </c:pt>
                      <c:pt idx="164">
                        <c:v>9.2970586646236075</c:v>
                      </c:pt>
                      <c:pt idx="165">
                        <c:v>9.7779681031581998</c:v>
                      </c:pt>
                      <c:pt idx="166">
                        <c:v>10.352742775250297</c:v>
                      </c:pt>
                      <c:pt idx="167">
                        <c:v>11.034636747098402</c:v>
                      </c:pt>
                      <c:pt idx="168">
                        <c:v>11.838083289876936</c:v>
                      </c:pt>
                      <c:pt idx="169">
                        <c:v>12.778801640424751</c:v>
                      </c:pt>
                      <c:pt idx="170">
                        <c:v>13.873736296707321</c:v>
                      </c:pt>
                      <c:pt idx="171">
                        <c:v>15.141083864833604</c:v>
                      </c:pt>
                      <c:pt idx="172">
                        <c:v>16.600695775506924</c:v>
                      </c:pt>
                      <c:pt idx="173">
                        <c:v>18.274531387661682</c:v>
                      </c:pt>
                      <c:pt idx="174">
                        <c:v>20.18684668560136</c:v>
                      </c:pt>
                      <c:pt idx="175">
                        <c:v>22.364639750332895</c:v>
                      </c:pt>
                      <c:pt idx="176">
                        <c:v>24.838140748346657</c:v>
                      </c:pt>
                      <c:pt idx="177">
                        <c:v>27.641224982165504</c:v>
                      </c:pt>
                      <c:pt idx="178">
                        <c:v>30.811970450726701</c:v>
                      </c:pt>
                      <c:pt idx="179">
                        <c:v>35.706219427689454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1E0-4611-A361-F2460FE07A0E}"/>
                  </c:ext>
                </c:extLst>
              </c15:ser>
            </c15:filteredScatterSeries>
          </c:ext>
        </c:extLst>
      </c:scatterChart>
      <c:valAx>
        <c:axId val="630018040"/>
        <c:scaling>
          <c:logBase val="10"/>
          <c:orientation val="minMax"/>
          <c:max val="10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Freq.[Hz]</a:t>
                </a:r>
              </a:p>
            </c:rich>
          </c:tx>
          <c:layout>
            <c:manualLayout>
              <c:xMode val="edge"/>
              <c:yMode val="edge"/>
              <c:x val="0.44146322219888162"/>
              <c:y val="0.935091443569553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ysDash"/>
          </a:ln>
        </c:spPr>
        <c:txPr>
          <a:bodyPr rot="0" vert="horz"/>
          <a:lstStyle/>
          <a:p>
            <a:pPr>
              <a:defRPr b="0"/>
            </a:pPr>
            <a:endParaRPr lang="ja-JP"/>
          </a:p>
        </c:txPr>
        <c:crossAx val="590860600"/>
        <c:crosses val="autoZero"/>
        <c:crossBetween val="midCat"/>
      </c:valAx>
      <c:valAx>
        <c:axId val="590860600"/>
        <c:scaling>
          <c:orientation val="minMax"/>
          <c:max val="12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SPL[dB]</a:t>
                </a:r>
              </a:p>
            </c:rich>
          </c:tx>
          <c:layout>
            <c:manualLayout>
              <c:xMode val="edge"/>
              <c:yMode val="edge"/>
              <c:x val="6.1652530822371232E-3"/>
              <c:y val="0.379539215907467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ja-JP"/>
          </a:p>
        </c:txPr>
        <c:crossAx val="630018040"/>
        <c:crosses val="autoZero"/>
        <c:crossBetween val="midCat"/>
        <c:majorUnit val="10"/>
        <c:minorUnit val="2"/>
      </c:valAx>
      <c:valAx>
        <c:axId val="590861776"/>
        <c:scaling>
          <c:logBase val="10"/>
          <c:orientation val="minMax"/>
          <c:max val="2528.8220000000001"/>
          <c:min val="0.8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noFill/>
              </a:defRPr>
            </a:pPr>
            <a:endParaRPr lang="ja-JP"/>
          </a:p>
        </c:txPr>
        <c:crossAx val="590863344"/>
        <c:crosses val="max"/>
        <c:crossBetween val="midCat"/>
      </c:valAx>
      <c:valAx>
        <c:axId val="59086334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0861776"/>
        <c:crosses val="autoZero"/>
        <c:crossBetween val="midCat"/>
      </c:valAx>
      <c:spPr>
        <a:noFill/>
        <a:ln w="25400">
          <a:solidFill>
            <a:srgbClr val="808080">
              <a:alpha val="99000"/>
            </a:srgbClr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68785455600250822"/>
          <c:y val="0"/>
          <c:w val="0.18439906666041028"/>
          <c:h val="0.1611537144813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b="0"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ja-JP"/>
        </a:p>
      </c:txPr>
    </c:legend>
    <c:plotVisOnly val="1"/>
    <c:dispBlanksAs val="gap"/>
    <c:showDLblsOverMax val="0"/>
  </c:chart>
  <c:spPr>
    <a:pattFill prst="pct5">
      <a:fgClr>
        <a:srgbClr val="FFFFFF"/>
      </a:fgClr>
      <a:bgClr>
        <a:sysClr val="window" lastClr="FFFFFF"/>
      </a:bgClr>
    </a:pattFill>
    <a:ln w="25400">
      <a:solidFill>
        <a:sysClr val="windowText" lastClr="000000"/>
      </a:solidFill>
      <a:prstDash val="solid"/>
      <a:round/>
    </a:ln>
    <a:effectLst/>
  </c:spPr>
  <c:txPr>
    <a:bodyPr/>
    <a:lstStyle/>
    <a:p>
      <a:pPr>
        <a:defRPr sz="1400" b="1" i="0" u="none" strike="noStrike" baseline="0">
          <a:solidFill>
            <a:srgbClr val="000000"/>
          </a:solidFill>
          <a:latin typeface="Times New Roman" panose="02020603050405020304" pitchFamily="18" charset="0"/>
          <a:ea typeface="Arial"/>
          <a:cs typeface="Times New Roman" panose="02020603050405020304" pitchFamily="18" charset="0"/>
        </a:defRPr>
      </a:pPr>
      <a:endParaRPr lang="ja-JP"/>
    </a:p>
  </c:txPr>
  <c:printSettings>
    <c:headerFooter alignWithMargins="0">
      <c:oddHeader>&amp;A</c:oddHeader>
      <c:oddFooter>- &amp;P -</c:oddFooter>
    </c:headerFooter>
    <c:pageMargins b="1" l="0.75" r="0.75" t="1" header="0.5" footer="0.5"/>
    <c:pageSetup paperSize="9" orientation="landscape" horizontalDpi="300" verticalDpi="300"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SPL &amp; IMP.</a:t>
            </a:r>
          </a:p>
        </c:rich>
      </c:tx>
      <c:layout>
        <c:manualLayout>
          <c:xMode val="edge"/>
          <c:yMode val="edge"/>
          <c:x val="0.290645360815947"/>
          <c:y val="6.1185667009015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39701581999482"/>
          <c:y val="0.1642257217847769"/>
          <c:w val="0.73033180928236219"/>
          <c:h val="0.69716307200730354"/>
        </c:manualLayout>
      </c:layout>
      <c:scatterChart>
        <c:scatterStyle val="lineMarker"/>
        <c:varyColors val="0"/>
        <c:ser>
          <c:idx val="0"/>
          <c:order val="0"/>
          <c:tx>
            <c:strRef>
              <c:f>FRES!$AG$4</c:f>
              <c:strCache>
                <c:ptCount val="1"/>
                <c:pt idx="0">
                  <c:v>SPL1</c:v>
                </c:pt>
              </c:strCache>
              <c:extLst xmlns:c15="http://schemas.microsoft.com/office/drawing/2012/chart"/>
            </c:strRef>
          </c:tx>
          <c:spPr>
            <a:ln w="285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  <c:extLst xmlns:c15="http://schemas.microsoft.com/office/drawing/2012/chart"/>
            </c:numRef>
          </c:xVal>
          <c:yVal>
            <c:numRef>
              <c:f>FRES!$AG$5:$AG$184</c:f>
              <c:numCache>
                <c:formatCode>General</c:formatCode>
                <c:ptCount val="180"/>
                <c:pt idx="0">
                  <c:v>57.869234030299083</c:v>
                </c:pt>
                <c:pt idx="1">
                  <c:v>58.888626676431542</c:v>
                </c:pt>
                <c:pt idx="2">
                  <c:v>59.909877410983448</c:v>
                </c:pt>
                <c:pt idx="3">
                  <c:v>60.933186871760668</c:v>
                </c:pt>
                <c:pt idx="4">
                  <c:v>61.958772486293334</c:v>
                </c:pt>
                <c:pt idx="5">
                  <c:v>62.986868173454269</c:v>
                </c:pt>
                <c:pt idx="6">
                  <c:v>64.017723256171976</c:v>
                </c:pt>
                <c:pt idx="7">
                  <c:v>65.051600233922215</c:v>
                </c:pt>
                <c:pt idx="8">
                  <c:v>66.088770929941518</c:v>
                </c:pt>
                <c:pt idx="9">
                  <c:v>67.129510344760718</c:v>
                </c:pt>
                <c:pt idx="10">
                  <c:v>68.174087296733958</c:v>
                </c:pt>
                <c:pt idx="11">
                  <c:v>69.222750588005837</c:v>
                </c:pt>
                <c:pt idx="12">
                  <c:v>70.275708970293493</c:v>
                </c:pt>
                <c:pt idx="13">
                  <c:v>70.803846293481456</c:v>
                </c:pt>
                <c:pt idx="14">
                  <c:v>71.333102561616428</c:v>
                </c:pt>
                <c:pt idx="15">
                  <c:v>71.863477966497811</c:v>
                </c:pt>
                <c:pt idx="16">
                  <c:v>72.39496254091344</c:v>
                </c:pt>
                <c:pt idx="17">
                  <c:v>72.927533947538777</c:v>
                </c:pt>
                <c:pt idx="18">
                  <c:v>73.461154884287609</c:v>
                </c:pt>
                <c:pt idx="19">
                  <c:v>73.995770047784248</c:v>
                </c:pt>
                <c:pt idx="20">
                  <c:v>74.531302590284866</c:v>
                </c:pt>
                <c:pt idx="21">
                  <c:v>75.067649999483564</c:v>
                </c:pt>
                <c:pt idx="22">
                  <c:v>75.604679325844927</c:v>
                </c:pt>
                <c:pt idx="23">
                  <c:v>76.142221679387404</c:v>
                </c:pt>
                <c:pt idx="24">
                  <c:v>76.6800659185607</c:v>
                </c:pt>
                <c:pt idx="25">
                  <c:v>77.217951459932351</c:v>
                </c:pt>
                <c:pt idx="26">
                  <c:v>77.755560151381985</c:v>
                </c:pt>
                <c:pt idx="27">
                  <c:v>78.292507176760921</c:v>
                </c:pt>
                <c:pt idx="28">
                  <c:v>78.828331000784374</c:v>
                </c:pt>
                <c:pt idx="29">
                  <c:v>79.362482424470045</c:v>
                </c:pt>
                <c:pt idx="30">
                  <c:v>79.894312909703032</c:v>
                </c:pt>
                <c:pt idx="31">
                  <c:v>80.423062452835396</c:v>
                </c:pt>
                <c:pt idx="32">
                  <c:v>80.947847447430092</c:v>
                </c:pt>
                <c:pt idx="33">
                  <c:v>81.467649179070264</c:v>
                </c:pt>
                <c:pt idx="34">
                  <c:v>81.981303839790513</c:v>
                </c:pt>
                <c:pt idx="35">
                  <c:v>82.48749522741592</c:v>
                </c:pt>
                <c:pt idx="36">
                  <c:v>82.984751584866672</c:v>
                </c:pt>
                <c:pt idx="37">
                  <c:v>83.471448298304296</c:v>
                </c:pt>
                <c:pt idx="38">
                  <c:v>83.945818352222972</c:v>
                </c:pt>
                <c:pt idx="39">
                  <c:v>84.405972454711844</c:v>
                </c:pt>
                <c:pt idx="40">
                  <c:v>84.849930502982801</c:v>
                </c:pt>
                <c:pt idx="41">
                  <c:v>85.275665465433661</c:v>
                </c:pt>
                <c:pt idx="42">
                  <c:v>85.681159749430435</c:v>
                </c:pt>
                <c:pt idx="43">
                  <c:v>86.064472708700833</c:v>
                </c:pt>
                <c:pt idx="44">
                  <c:v>86.423816231523901</c:v>
                </c:pt>
                <c:pt idx="45">
                  <c:v>86.757633579011198</c:v>
                </c:pt>
                <c:pt idx="46">
                  <c:v>87.064675162309882</c:v>
                </c:pt>
                <c:pt idx="47">
                  <c:v>87.344064155660533</c:v>
                </c:pt>
                <c:pt idx="48">
                  <c:v>87.595345070745509</c:v>
                </c:pt>
                <c:pt idx="49">
                  <c:v>87.818509807396211</c:v>
                </c:pt>
                <c:pt idx="50">
                  <c:v>88.013998108296519</c:v>
                </c:pt>
                <c:pt idx="51">
                  <c:v>88.182672363179151</c:v>
                </c:pt>
                <c:pt idx="52">
                  <c:v>88.325769736799472</c:v>
                </c:pt>
                <c:pt idx="53">
                  <c:v>88.444837037081953</c:v>
                </c:pt>
                <c:pt idx="54">
                  <c:v>88.541655169161487</c:v>
                </c:pt>
                <c:pt idx="55">
                  <c:v>88.618160289075547</c:v>
                </c:pt>
                <c:pt idx="56">
                  <c:v>88.676368009691345</c:v>
                </c:pt>
                <c:pt idx="57">
                  <c:v>88.71830554831989</c:v>
                </c:pt>
                <c:pt idx="58">
                  <c:v>88.745954937314465</c:v>
                </c:pt>
                <c:pt idx="59">
                  <c:v>88.761208699428451</c:v>
                </c:pt>
                <c:pt idx="60">
                  <c:v>88.76583796148681</c:v>
                </c:pt>
                <c:pt idx="61">
                  <c:v>88.761471958019598</c:v>
                </c:pt>
                <c:pt idx="62">
                  <c:v>88.749587269060655</c:v>
                </c:pt>
                <c:pt idx="63">
                  <c:v>88.731504882442522</c:v>
                </c:pt>
                <c:pt idx="64">
                  <c:v>88.708393178674285</c:v>
                </c:pt>
                <c:pt idx="65">
                  <c:v>88.681275111452322</c:v>
                </c:pt>
                <c:pt idx="66">
                  <c:v>88.651038118834663</c:v>
                </c:pt>
                <c:pt idx="67">
                  <c:v>88.618445589727656</c:v>
                </c:pt>
                <c:pt idx="68">
                  <c:v>88.584148988922635</c:v>
                </c:pt>
                <c:pt idx="69">
                  <c:v>88.548699989912492</c:v>
                </c:pt>
                <c:pt idx="70">
                  <c:v>88.512562169034425</c:v>
                </c:pt>
                <c:pt idx="71">
                  <c:v>88.476121976125512</c:v>
                </c:pt>
                <c:pt idx="72">
                  <c:v>88.43969881947163</c:v>
                </c:pt>
                <c:pt idx="73">
                  <c:v>88.403554192136511</c:v>
                </c:pt>
                <c:pt idx="74">
                  <c:v>88.367899829136434</c:v>
                </c:pt>
                <c:pt idx="75">
                  <c:v>88.332904926359262</c:v>
                </c:pt>
                <c:pt idx="76">
                  <c:v>88.298702477854647</c:v>
                </c:pt>
                <c:pt idx="77">
                  <c:v>88.265394802434528</c:v>
                </c:pt>
                <c:pt idx="78">
                  <c:v>88.233058336822992</c:v>
                </c:pt>
                <c:pt idx="79">
                  <c:v>88.201747773464504</c:v>
                </c:pt>
                <c:pt idx="80">
                  <c:v>88.171499618475849</c:v>
                </c:pt>
                <c:pt idx="81">
                  <c:v>88.142335240487569</c:v>
                </c:pt>
                <c:pt idx="82">
                  <c:v>88.114263475252713</c:v>
                </c:pt>
                <c:pt idx="83">
                  <c:v>88.087282844566886</c:v>
                </c:pt>
                <c:pt idx="84">
                  <c:v>88.061383441687283</c:v>
                </c:pt>
                <c:pt idx="85">
                  <c:v>88.036548529332137</c:v>
                </c:pt>
                <c:pt idx="86">
                  <c:v>88.012755890651221</c:v>
                </c:pt>
                <c:pt idx="87">
                  <c:v>87.989978968365094</c:v>
                </c:pt>
                <c:pt idx="88">
                  <c:v>87.968187822596761</c:v>
                </c:pt>
                <c:pt idx="89">
                  <c:v>87.947349933775669</c:v>
                </c:pt>
                <c:pt idx="90">
                  <c:v>87.927430873337769</c:v>
                </c:pt>
                <c:pt idx="91">
                  <c:v>87.908394861754743</c:v>
                </c:pt>
                <c:pt idx="92">
                  <c:v>87.890205230645918</c:v>
                </c:pt>
                <c:pt idx="93">
                  <c:v>87.872824803324846</c:v>
                </c:pt>
                <c:pt idx="94">
                  <c:v>87.856216206057169</c:v>
                </c:pt>
                <c:pt idx="95">
                  <c:v>87.840342120522081</c:v>
                </c:pt>
                <c:pt idx="96">
                  <c:v>87.825165486437754</c:v>
                </c:pt>
                <c:pt idx="97">
                  <c:v>87.810649661997857</c:v>
                </c:pt>
                <c:pt idx="98">
                  <c:v>87.796758548643155</c:v>
                </c:pt>
                <c:pt idx="99">
                  <c:v>87.783456685730727</c:v>
                </c:pt>
                <c:pt idx="100">
                  <c:v>87.770709319840918</c:v>
                </c:pt>
                <c:pt idx="101">
                  <c:v>87.758482452766003</c:v>
                </c:pt>
                <c:pt idx="102">
                  <c:v>87.746742871621308</c:v>
                </c:pt>
                <c:pt idx="103">
                  <c:v>87.735458164013437</c:v>
                </c:pt>
                <c:pt idx="104">
                  <c:v>87.724596720765859</c:v>
                </c:pt>
                <c:pt idx="105">
                  <c:v>87.714127728328734</c:v>
                </c:pt>
                <c:pt idx="106">
                  <c:v>87.704021152690501</c:v>
                </c:pt>
                <c:pt idx="107">
                  <c:v>87.694247716335411</c:v>
                </c:pt>
                <c:pt idx="108">
                  <c:v>87.684778869567253</c:v>
                </c:pt>
                <c:pt idx="109">
                  <c:v>87.675586757326442</c:v>
                </c:pt>
                <c:pt idx="110">
                  <c:v>87.666644182460601</c:v>
                </c:pt>
                <c:pt idx="111">
                  <c:v>87.657924566276421</c:v>
                </c:pt>
                <c:pt idx="112">
                  <c:v>87.649401907077703</c:v>
                </c:pt>
                <c:pt idx="113">
                  <c:v>87.641050737302322</c:v>
                </c:pt>
                <c:pt idx="114">
                  <c:v>87.632846079784116</c:v>
                </c:pt>
                <c:pt idx="115">
                  <c:v>87.624763403601406</c:v>
                </c:pt>
                <c:pt idx="116">
                  <c:v>87.61677857991458</c:v>
                </c:pt>
                <c:pt idx="117">
                  <c:v>87.60886783814891</c:v>
                </c:pt>
                <c:pt idx="118">
                  <c:v>87.60100772284396</c:v>
                </c:pt>
                <c:pt idx="119">
                  <c:v>87.593175051454736</c:v>
                </c:pt>
                <c:pt idx="120">
                  <c:v>87.585346873369488</c:v>
                </c:pt>
                <c:pt idx="121">
                  <c:v>87.577500430387829</c:v>
                </c:pt>
                <c:pt idx="122">
                  <c:v>87.56961311888503</c:v>
                </c:pt>
                <c:pt idx="123">
                  <c:v>87.561662453878384</c:v>
                </c:pt>
                <c:pt idx="124">
                  <c:v>87.553626035197837</c:v>
                </c:pt>
                <c:pt idx="125">
                  <c:v>87.545481515953554</c:v>
                </c:pt>
                <c:pt idx="126">
                  <c:v>87.537206573483743</c:v>
                </c:pt>
                <c:pt idx="127">
                  <c:v>87.528778882954043</c:v>
                </c:pt>
                <c:pt idx="128">
                  <c:v>87.520176093765954</c:v>
                </c:pt>
                <c:pt idx="129">
                  <c:v>87.511375808916156</c:v>
                </c:pt>
                <c:pt idx="130">
                  <c:v>87.50235556742652</c:v>
                </c:pt>
                <c:pt idx="131">
                  <c:v>87.493092829937581</c:v>
                </c:pt>
                <c:pt idx="132">
                  <c:v>87.483564967522938</c:v>
                </c:pt>
                <c:pt idx="133">
                  <c:v>87.473749253739456</c:v>
                </c:pt>
                <c:pt idx="134">
                  <c:v>87.463622859871762</c:v>
                </c:pt>
                <c:pt idx="135">
                  <c:v>87.45316285326426</c:v>
                </c:pt>
                <c:pt idx="136">
                  <c:v>87.442346198549856</c:v>
                </c:pt>
                <c:pt idx="137">
                  <c:v>87.431149761487973</c:v>
                </c:pt>
                <c:pt idx="138">
                  <c:v>87.419550315007712</c:v>
                </c:pt>
                <c:pt idx="139">
                  <c:v>87.407524546913208</c:v>
                </c:pt>
                <c:pt idx="140">
                  <c:v>87.395049068551231</c:v>
                </c:pt>
                <c:pt idx="141">
                  <c:v>87.382100423557347</c:v>
                </c:pt>
                <c:pt idx="142">
                  <c:v>87.368655095589816</c:v>
                </c:pt>
                <c:pt idx="143">
                  <c:v>87.35468951372934</c:v>
                </c:pt>
                <c:pt idx="144">
                  <c:v>87.340180053965057</c:v>
                </c:pt>
                <c:pt idx="145">
                  <c:v>87.325103034908551</c:v>
                </c:pt>
                <c:pt idx="146">
                  <c:v>87.30943470557817</c:v>
                </c:pt>
                <c:pt idx="147">
                  <c:v>87.293151222780892</c:v>
                </c:pt>
                <c:pt idx="148">
                  <c:v>87.285573535921529</c:v>
                </c:pt>
                <c:pt idx="149">
                  <c:v>87.238143642082363</c:v>
                </c:pt>
                <c:pt idx="150">
                  <c:v>87.185624616909394</c:v>
                </c:pt>
                <c:pt idx="151">
                  <c:v>87.127524264468065</c:v>
                </c:pt>
                <c:pt idx="152">
                  <c:v>87.063298113637288</c:v>
                </c:pt>
                <c:pt idx="153">
                  <c:v>86.992308362860626</c:v>
                </c:pt>
                <c:pt idx="154">
                  <c:v>86.913765672961532</c:v>
                </c:pt>
                <c:pt idx="155">
                  <c:v>86.826655260551121</c:v>
                </c:pt>
                <c:pt idx="156">
                  <c:v>86.72965517960391</c:v>
                </c:pt>
                <c:pt idx="157">
                  <c:v>86.621063980531147</c:v>
                </c:pt>
                <c:pt idx="158">
                  <c:v>86.498765281341917</c:v>
                </c:pt>
                <c:pt idx="159">
                  <c:v>86.360263283865081</c:v>
                </c:pt>
                <c:pt idx="160">
                  <c:v>86.202817797688283</c:v>
                </c:pt>
                <c:pt idx="161">
                  <c:v>86.023681817845059</c:v>
                </c:pt>
                <c:pt idx="162">
                  <c:v>85.820399722790512</c:v>
                </c:pt>
                <c:pt idx="163">
                  <c:v>85.591079569470082</c:v>
                </c:pt>
                <c:pt idx="164">
                  <c:v>85.364167386315458</c:v>
                </c:pt>
                <c:pt idx="165">
                  <c:v>84.932084546343731</c:v>
                </c:pt>
                <c:pt idx="166">
                  <c:v>84.438703555105917</c:v>
                </c:pt>
                <c:pt idx="167">
                  <c:v>83.886959257788831</c:v>
                </c:pt>
                <c:pt idx="168">
                  <c:v>83.279975136199496</c:v>
                </c:pt>
                <c:pt idx="169">
                  <c:v>82.61933302036303</c:v>
                </c:pt>
                <c:pt idx="170">
                  <c:v>81.907195038923561</c:v>
                </c:pt>
                <c:pt idx="171">
                  <c:v>81.148977755958299</c:v>
                </c:pt>
                <c:pt idx="172">
                  <c:v>80.3510929066546</c:v>
                </c:pt>
                <c:pt idx="173">
                  <c:v>79.51773591801026</c:v>
                </c:pt>
                <c:pt idx="174">
                  <c:v>78.653941504392463</c:v>
                </c:pt>
                <c:pt idx="175">
                  <c:v>77.764813842977247</c:v>
                </c:pt>
                <c:pt idx="176">
                  <c:v>76.85409160901122</c:v>
                </c:pt>
                <c:pt idx="177">
                  <c:v>75.925752946587394</c:v>
                </c:pt>
                <c:pt idx="178">
                  <c:v>74.982829719700632</c:v>
                </c:pt>
                <c:pt idx="179">
                  <c:v>73.702657506566126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5B-4838-8BF1-338CD4AF72F1}"/>
            </c:ext>
          </c:extLst>
        </c:ser>
        <c:ser>
          <c:idx val="6"/>
          <c:order val="6"/>
          <c:tx>
            <c:strRef>
              <c:f>FRES!$AS$4</c:f>
              <c:strCache>
                <c:ptCount val="1"/>
                <c:pt idx="0">
                  <c:v>Phase1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  <c:extLst xmlns:c15="http://schemas.microsoft.com/office/drawing/2012/chart"/>
            </c:numRef>
          </c:xVal>
          <c:yVal>
            <c:numRef>
              <c:f>FRES!$AS$5:$AS$184</c:f>
              <c:numCache>
                <c:formatCode>General</c:formatCode>
                <c:ptCount val="180"/>
                <c:pt idx="0">
                  <c:v>119.40724135691123</c:v>
                </c:pt>
                <c:pt idx="1">
                  <c:v>119.3703797973487</c:v>
                </c:pt>
                <c:pt idx="2">
                  <c:v>119.33101694498421</c:v>
                </c:pt>
                <c:pt idx="3">
                  <c:v>119.28894428278338</c:v>
                </c:pt>
                <c:pt idx="4">
                  <c:v>119.24392920984778</c:v>
                </c:pt>
                <c:pt idx="5">
                  <c:v>119.19571129667303</c:v>
                </c:pt>
                <c:pt idx="6">
                  <c:v>119.14399785900983</c:v>
                </c:pt>
                <c:pt idx="7">
                  <c:v>119.08845872329285</c:v>
                </c:pt>
                <c:pt idx="8">
                  <c:v>119.0287200370652</c:v>
                </c:pt>
                <c:pt idx="9">
                  <c:v>118.96435695889488</c:v>
                </c:pt>
                <c:pt idx="10">
                  <c:v>118.8948850472226</c:v>
                </c:pt>
                <c:pt idx="11">
                  <c:v>118.81975016238935</c:v>
                </c:pt>
                <c:pt idx="12">
                  <c:v>118.73831671128944</c:v>
                </c:pt>
                <c:pt idx="13">
                  <c:v>118.69501383543623</c:v>
                </c:pt>
                <c:pt idx="14">
                  <c:v>118.64985411765537</c:v>
                </c:pt>
                <c:pt idx="15">
                  <c:v>118.6027288837597</c:v>
                </c:pt>
                <c:pt idx="16">
                  <c:v>118.55352152286983</c:v>
                </c:pt>
                <c:pt idx="17">
                  <c:v>118.50210693321571</c:v>
                </c:pt>
                <c:pt idx="18">
                  <c:v>118.44835096124478</c:v>
                </c:pt>
                <c:pt idx="19">
                  <c:v>118.39210984625673</c:v>
                </c:pt>
                <c:pt idx="20">
                  <c:v>118.3332296873732</c:v>
                </c:pt>
                <c:pt idx="21">
                  <c:v>118.27154595548565</c:v>
                </c:pt>
                <c:pt idx="22">
                  <c:v>118.20688308016963</c:v>
                </c:pt>
                <c:pt idx="23">
                  <c:v>118.13905415068969</c:v>
                </c:pt>
                <c:pt idx="24">
                  <c:v>118.0678607814321</c:v>
                </c:pt>
                <c:pt idx="25">
                  <c:v>117.99309320564679</c:v>
                </c:pt>
                <c:pt idx="26">
                  <c:v>117.91453067742066</c:v>
                </c:pt>
                <c:pt idx="27">
                  <c:v>117.83194228033182</c:v>
                </c:pt>
                <c:pt idx="28">
                  <c:v>117.74508826192471</c:v>
                </c:pt>
                <c:pt idx="29">
                  <c:v>117.65372203517954</c:v>
                </c:pt>
                <c:pt idx="30">
                  <c:v>117.55759300995496</c:v>
                </c:pt>
                <c:pt idx="31">
                  <c:v>117.45645043631846</c:v>
                </c:pt>
                <c:pt idx="32">
                  <c:v>117.35004845367735</c:v>
                </c:pt>
                <c:pt idx="33">
                  <c:v>117.23815253883933</c:v>
                </c:pt>
                <c:pt idx="34">
                  <c:v>117.12054752472058</c:v>
                </c:pt>
                <c:pt idx="35">
                  <c:v>116.99704730963872</c:v>
                </c:pt>
                <c:pt idx="36">
                  <c:v>116.86750628403436</c:v>
                </c:pt>
                <c:pt idx="37">
                  <c:v>116.7318323565966</c:v>
                </c:pt>
                <c:pt idx="38">
                  <c:v>116.59000125811332</c:v>
                </c:pt>
                <c:pt idx="39">
                  <c:v>116.44207153984489</c:v>
                </c:pt>
                <c:pt idx="40">
                  <c:v>116.28819937821834</c:v>
                </c:pt>
                <c:pt idx="41">
                  <c:v>116.12865198250627</c:v>
                </c:pt>
                <c:pt idx="42">
                  <c:v>115.96381813215946</c:v>
                </c:pt>
                <c:pt idx="43">
                  <c:v>115.79421422003047</c:v>
                </c:pt>
                <c:pt idx="44">
                  <c:v>115.62048422866967</c:v>
                </c:pt>
                <c:pt idx="45">
                  <c:v>115.44339238660221</c:v>
                </c:pt>
                <c:pt idx="46">
                  <c:v>115.26380786454455</c:v>
                </c:pt>
                <c:pt idx="47">
                  <c:v>115.08268173371486</c:v>
                </c:pt>
                <c:pt idx="48">
                  <c:v>114.90101739666702</c:v>
                </c:pt>
                <c:pt idx="49">
                  <c:v>114.7198366302146</c:v>
                </c:pt>
                <c:pt idx="50">
                  <c:v>114.54014404787503</c:v>
                </c:pt>
                <c:pt idx="51">
                  <c:v>114.36289303773896</c:v>
                </c:pt>
                <c:pt idx="52">
                  <c:v>114.18895599957914</c:v>
                </c:pt>
                <c:pt idx="53">
                  <c:v>114.01910104953834</c:v>
                </c:pt>
                <c:pt idx="54">
                  <c:v>113.8539764373763</c:v>
                </c:pt>
                <c:pt idx="55">
                  <c:v>113.69410293167256</c:v>
                </c:pt>
                <c:pt idx="56">
                  <c:v>113.5398735592801</c:v>
                </c:pt>
                <c:pt idx="57">
                  <c:v>113.39155946239835</c:v>
                </c:pt>
                <c:pt idx="58">
                  <c:v>113.24932030676713</c:v>
                </c:pt>
                <c:pt idx="59">
                  <c:v>113.11321761514358</c:v>
                </c:pt>
                <c:pt idx="60">
                  <c:v>112.98322954500681</c:v>
                </c:pt>
                <c:pt idx="61">
                  <c:v>112.85926589660346</c:v>
                </c:pt>
                <c:pt idx="62">
                  <c:v>112.74118245206576</c:v>
                </c:pt>
                <c:pt idx="63">
                  <c:v>112.62879405236976</c:v>
                </c:pt>
                <c:pt idx="64">
                  <c:v>112.52188608227821</c:v>
                </c:pt>
                <c:pt idx="65">
                  <c:v>112.42022423915706</c:v>
                </c:pt>
                <c:pt idx="66">
                  <c:v>112.32356260838608</c:v>
                </c:pt>
                <c:pt idx="67">
                  <c:v>112.23165016281385</c:v>
                </c:pt>
                <c:pt idx="68">
                  <c:v>112.14423585674032</c:v>
                </c:pt>
                <c:pt idx="69">
                  <c:v>112.0610725072046</c:v>
                </c:pt>
                <c:pt idx="70">
                  <c:v>111.98191965671454</c:v>
                </c:pt>
                <c:pt idx="71">
                  <c:v>111.90654559989144</c:v>
                </c:pt>
                <c:pt idx="72">
                  <c:v>111.83472873773148</c:v>
                </c:pt>
                <c:pt idx="73">
                  <c:v>111.76625840142729</c:v>
                </c:pt>
                <c:pt idx="74">
                  <c:v>111.70093526563673</c:v>
                </c:pt>
                <c:pt idx="75">
                  <c:v>111.63857145032917</c:v>
                </c:pt>
                <c:pt idx="76">
                  <c:v>111.57899039173047</c:v>
                </c:pt>
                <c:pt idx="77">
                  <c:v>111.5220265467569</c:v>
                </c:pt>
                <c:pt idx="78">
                  <c:v>111.4675249816995</c:v>
                </c:pt>
                <c:pt idx="79">
                  <c:v>111.41534088462878</c:v>
                </c:pt>
                <c:pt idx="80">
                  <c:v>111.36533903178626</c:v>
                </c:pt>
                <c:pt idx="81">
                  <c:v>111.31739323082522</c:v>
                </c:pt>
                <c:pt idx="82">
                  <c:v>111.27138575787966</c:v>
                </c:pt>
                <c:pt idx="83">
                  <c:v>111.22720680081207</c:v>
                </c:pt>
                <c:pt idx="84">
                  <c:v>111.18475391738735</c:v>
                </c:pt>
                <c:pt idx="85">
                  <c:v>111.14393151434271</c:v>
                </c:pt>
                <c:pt idx="86">
                  <c:v>111.10465035120453</c:v>
                </c:pt>
                <c:pt idx="87">
                  <c:v>111.06682707110451</c:v>
                </c:pt>
                <c:pt idx="88">
                  <c:v>111.03038375965812</c:v>
                </c:pt>
                <c:pt idx="89">
                  <c:v>110.9952475320959</c:v>
                </c:pt>
                <c:pt idx="90">
                  <c:v>110.96135014821259</c:v>
                </c:pt>
                <c:pt idx="91">
                  <c:v>110.92862765426072</c:v>
                </c:pt>
                <c:pt idx="92">
                  <c:v>110.89702005062165</c:v>
                </c:pt>
                <c:pt idx="93">
                  <c:v>110.86647098389994</c:v>
                </c:pt>
                <c:pt idx="94">
                  <c:v>110.83692746198197</c:v>
                </c:pt>
                <c:pt idx="95">
                  <c:v>110.80833959055225</c:v>
                </c:pt>
                <c:pt idx="96">
                  <c:v>110.78066032955888</c:v>
                </c:pt>
                <c:pt idx="97">
                  <c:v>110.75384526814481</c:v>
                </c:pt>
                <c:pt idx="98">
                  <c:v>110.7278524166105</c:v>
                </c:pt>
                <c:pt idx="99">
                  <c:v>110.70264201403478</c:v>
                </c:pt>
                <c:pt idx="100">
                  <c:v>110.67817635025025</c:v>
                </c:pt>
                <c:pt idx="101">
                  <c:v>110.65441960094394</c:v>
                </c:pt>
                <c:pt idx="102">
                  <c:v>110.63133767472944</c:v>
                </c:pt>
                <c:pt idx="103">
                  <c:v>110.60889807111155</c:v>
                </c:pt>
                <c:pt idx="104">
                  <c:v>110.58706974833758</c:v>
                </c:pt>
                <c:pt idx="105">
                  <c:v>110.56582300019872</c:v>
                </c:pt>
                <c:pt idx="106">
                  <c:v>110.54512934091153</c:v>
                </c:pt>
                <c:pt idx="107">
                  <c:v>110.52496139727097</c:v>
                </c:pt>
                <c:pt idx="108">
                  <c:v>110.50529280732484</c:v>
                </c:pt>
                <c:pt idx="109">
                  <c:v>110.48609812487261</c:v>
                </c:pt>
                <c:pt idx="110">
                  <c:v>110.46735272914121</c:v>
                </c:pt>
                <c:pt idx="111">
                  <c:v>110.44903273903618</c:v>
                </c:pt>
                <c:pt idx="112">
                  <c:v>110.43111493140805</c:v>
                </c:pt>
                <c:pt idx="113">
                  <c:v>110.41357666281247</c:v>
                </c:pt>
                <c:pt idx="114">
                  <c:v>110.39639579427795</c:v>
                </c:pt>
                <c:pt idx="115">
                  <c:v>110.37955061862712</c:v>
                </c:pt>
                <c:pt idx="116">
                  <c:v>110.36301978992826</c:v>
                </c:pt>
                <c:pt idx="117">
                  <c:v>110.34678225468041</c:v>
                </c:pt>
                <c:pt idx="118">
                  <c:v>110.33081718436293</c:v>
                </c:pt>
                <c:pt idx="119">
                  <c:v>110.31510390900357</c:v>
                </c:pt>
                <c:pt idx="120">
                  <c:v>110.29962185144373</c:v>
                </c:pt>
                <c:pt idx="121">
                  <c:v>110.28435046200217</c:v>
                </c:pt>
                <c:pt idx="122">
                  <c:v>110.26926915326077</c:v>
                </c:pt>
                <c:pt idx="123">
                  <c:v>110.25435723471966</c:v>
                </c:pt>
                <c:pt idx="124">
                  <c:v>110.2395938470918</c:v>
                </c:pt>
                <c:pt idx="125">
                  <c:v>110.22495789603204</c:v>
                </c:pt>
                <c:pt idx="126">
                  <c:v>110.21042798512231</c:v>
                </c:pt>
                <c:pt idx="127">
                  <c:v>110.19598234796256</c:v>
                </c:pt>
                <c:pt idx="128">
                  <c:v>110.18159877924889</c:v>
                </c:pt>
                <c:pt idx="129">
                  <c:v>110.16725456475456</c:v>
                </c:pt>
                <c:pt idx="130">
                  <c:v>110.1529264101688</c:v>
                </c:pt>
                <c:pt idx="131">
                  <c:v>110.13859036879164</c:v>
                </c:pt>
                <c:pt idx="132">
                  <c:v>110.12422176813251</c:v>
                </c:pt>
                <c:pt idx="133">
                  <c:v>110.10979513551575</c:v>
                </c:pt>
                <c:pt idx="134">
                  <c:v>110.09528412285935</c:v>
                </c:pt>
                <c:pt idx="135">
                  <c:v>110.08066143086474</c:v>
                </c:pt>
                <c:pt idx="136">
                  <c:v>110.06589873293564</c:v>
                </c:pt>
                <c:pt idx="137">
                  <c:v>110.05096659923524</c:v>
                </c:pt>
                <c:pt idx="138">
                  <c:v>110.0358344213937</c:v>
                </c:pt>
                <c:pt idx="139">
                  <c:v>110.0204703384925</c:v>
                </c:pt>
                <c:pt idx="140">
                  <c:v>110.00484116508174</c:v>
                </c:pt>
                <c:pt idx="141">
                  <c:v>109.98891232213057</c:v>
                </c:pt>
                <c:pt idx="142">
                  <c:v>109.97264777197103</c:v>
                </c:pt>
                <c:pt idx="143">
                  <c:v>109.95600995847389</c:v>
                </c:pt>
                <c:pt idx="144">
                  <c:v>109.93895975389225</c:v>
                </c:pt>
                <c:pt idx="145">
                  <c:v>109.92145641402414</c:v>
                </c:pt>
                <c:pt idx="146">
                  <c:v>109.903457543584</c:v>
                </c:pt>
                <c:pt idx="147">
                  <c:v>109.88491907393079</c:v>
                </c:pt>
                <c:pt idx="148">
                  <c:v>109.87633993280403</c:v>
                </c:pt>
                <c:pt idx="149">
                  <c:v>109.82311582278025</c:v>
                </c:pt>
                <c:pt idx="150">
                  <c:v>109.76463394516611</c:v>
                </c:pt>
                <c:pt idx="151">
                  <c:v>109.69988240547306</c:v>
                </c:pt>
                <c:pt idx="152">
                  <c:v>109.62779642817728</c:v>
                </c:pt>
                <c:pt idx="153">
                  <c:v>109.54729567014795</c:v>
                </c:pt>
                <c:pt idx="154">
                  <c:v>109.45734329133961</c:v>
                </c:pt>
                <c:pt idx="155">
                  <c:v>109.35703215419551</c:v>
                </c:pt>
                <c:pt idx="156">
                  <c:v>109.24570210736795</c:v>
                </c:pt>
                <c:pt idx="157">
                  <c:v>109.1230881007029</c:v>
                </c:pt>
                <c:pt idx="158">
                  <c:v>108.98949013716184</c:v>
                </c:pt>
                <c:pt idx="159">
                  <c:v>108.8459412210409</c:v>
                </c:pt>
                <c:pt idx="160">
                  <c:v>108.69432862474353</c:v>
                </c:pt>
                <c:pt idx="161">
                  <c:v>108.5374013288853</c:v>
                </c:pt>
                <c:pt idx="162">
                  <c:v>108.37858366227559</c:v>
                </c:pt>
                <c:pt idx="163">
                  <c:v>108.22153046062597</c:v>
                </c:pt>
                <c:pt idx="164">
                  <c:v>108.08586793368625</c:v>
                </c:pt>
                <c:pt idx="165">
                  <c:v>107.86938249076208</c:v>
                </c:pt>
                <c:pt idx="166">
                  <c:v>107.66601054091493</c:v>
                </c:pt>
                <c:pt idx="167">
                  <c:v>107.46574946791641</c:v>
                </c:pt>
                <c:pt idx="168">
                  <c:v>107.26093530982936</c:v>
                </c:pt>
                <c:pt idx="169">
                  <c:v>107.05857719257651</c:v>
                </c:pt>
                <c:pt idx="170">
                  <c:v>106.8732430006451</c:v>
                </c:pt>
                <c:pt idx="171">
                  <c:v>106.70326348664213</c:v>
                </c:pt>
                <c:pt idx="172">
                  <c:v>106.53788787434853</c:v>
                </c:pt>
                <c:pt idx="173">
                  <c:v>106.38629053939042</c:v>
                </c:pt>
                <c:pt idx="174">
                  <c:v>106.24911407902655</c:v>
                </c:pt>
                <c:pt idx="175">
                  <c:v>106.12040734459657</c:v>
                </c:pt>
                <c:pt idx="176">
                  <c:v>106.00588710621582</c:v>
                </c:pt>
                <c:pt idx="177">
                  <c:v>105.90044340332327</c:v>
                </c:pt>
                <c:pt idx="178">
                  <c:v>105.80546539624112</c:v>
                </c:pt>
                <c:pt idx="179">
                  <c:v>105.69317599536738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5B-4838-8BF1-338CD4AF7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8040"/>
        <c:axId val="59086060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FRES!$AH$4</c15:sqref>
                        </c15:formulaRef>
                      </c:ext>
                    </c:extLst>
                    <c:strCache>
                      <c:ptCount val="1"/>
                      <c:pt idx="0">
                        <c:v>SPL2</c:v>
                      </c:pt>
                    </c:strCache>
                  </c:strRef>
                </c:tx>
                <c:spPr>
                  <a:ln w="28575">
                    <a:solidFill>
                      <a:sysClr val="windowText" lastClr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FRES!$AH$5:$AH$184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51.815537179952216</c:v>
                      </c:pt>
                      <c:pt idx="1">
                        <c:v>52.831600264545678</c:v>
                      </c:pt>
                      <c:pt idx="2">
                        <c:v>53.849212687573456</c:v>
                      </c:pt>
                      <c:pt idx="3">
                        <c:v>54.868564729884646</c:v>
                      </c:pt>
                      <c:pt idx="4">
                        <c:v>55.889870052403452</c:v>
                      </c:pt>
                      <c:pt idx="5">
                        <c:v>56.913368551641071</c:v>
                      </c:pt>
                      <c:pt idx="6">
                        <c:v>57.939329550494875</c:v>
                      </c:pt>
                      <c:pt idx="7">
                        <c:v>58.968055355981249</c:v>
                      </c:pt>
                      <c:pt idx="8">
                        <c:v>59.999885214313416</c:v>
                      </c:pt>
                      <c:pt idx="9">
                        <c:v>61.035199689707085</c:v>
                      </c:pt>
                      <c:pt idx="10">
                        <c:v>62.074425484783745</c:v>
                      </c:pt>
                      <c:pt idx="11">
                        <c:v>63.118040704832048</c:v>
                      </c:pt>
                      <c:pt idx="12">
                        <c:v>64.166580541443267</c:v>
                      </c:pt>
                      <c:pt idx="13">
                        <c:v>64.692881527661314</c:v>
                      </c:pt>
                      <c:pt idx="14">
                        <c:v>65.220643306922199</c:v>
                      </c:pt>
                      <c:pt idx="15">
                        <c:v>65.749951556395999</c:v>
                      </c:pt>
                      <c:pt idx="16">
                        <c:v>66.280896679723497</c:v>
                      </c:pt>
                      <c:pt idx="17">
                        <c:v>66.813573994411684</c:v>
                      </c:pt>
                      <c:pt idx="18">
                        <c:v>67.348083907928441</c:v>
                      </c:pt>
                      <c:pt idx="19">
                        <c:v>67.884532076499809</c:v>
                      </c:pt>
                      <c:pt idx="20">
                        <c:v>68.4230295389698</c:v>
                      </c:pt>
                      <c:pt idx="21">
                        <c:v>68.963692816028413</c:v>
                      </c:pt>
                      <c:pt idx="22">
                        <c:v>69.50664396253822</c:v>
                      </c:pt>
                      <c:pt idx="23">
                        <c:v>70.052010557460264</c:v>
                      </c:pt>
                      <c:pt idx="24">
                        <c:v>70.599925611830429</c:v>
                      </c:pt>
                      <c:pt idx="25">
                        <c:v>71.150527370160418</c:v>
                      </c:pt>
                      <c:pt idx="26">
                        <c:v>71.70395897426117</c:v>
                      </c:pt>
                      <c:pt idx="27">
                        <c:v>72.260367950490632</c:v>
                      </c:pt>
                      <c:pt idx="28">
                        <c:v>72.819905471387841</c:v>
                      </c:pt>
                      <c:pt idx="29">
                        <c:v>73.382725330065355</c:v>
                      </c:pt>
                      <c:pt idx="30">
                        <c:v>73.948982549944276</c:v>
                      </c:pt>
                      <c:pt idx="31">
                        <c:v>74.518831532650694</c:v>
                      </c:pt>
                      <c:pt idx="32">
                        <c:v>75.092423622196065</c:v>
                      </c:pt>
                      <c:pt idx="33">
                        <c:v>75.669903932788216</c:v>
                      </c:pt>
                      <c:pt idx="34">
                        <c:v>76.251407249446444</c:v>
                      </c:pt>
                      <c:pt idx="35">
                        <c:v>76.837052763509391</c:v>
                      </c:pt>
                      <c:pt idx="36">
                        <c:v>77.426937347549355</c:v>
                      </c:pt>
                      <c:pt idx="37">
                        <c:v>78.021127004621874</c:v>
                      </c:pt>
                      <c:pt idx="38">
                        <c:v>78.619646044079289</c:v>
                      </c:pt>
                      <c:pt idx="39">
                        <c:v>79.222463440258167</c:v>
                      </c:pt>
                      <c:pt idx="40">
                        <c:v>79.829475723116943</c:v>
                      </c:pt>
                      <c:pt idx="41">
                        <c:v>80.440485636940963</c:v>
                      </c:pt>
                      <c:pt idx="42">
                        <c:v>81.055175696455009</c:v>
                      </c:pt>
                      <c:pt idx="43">
                        <c:v>81.673075691306451</c:v>
                      </c:pt>
                      <c:pt idx="44">
                        <c:v>82.293523178244797</c:v>
                      </c:pt>
                      <c:pt idx="45">
                        <c:v>82.915616117685559</c:v>
                      </c:pt>
                      <c:pt idx="46">
                        <c:v>83.538157153347242</c:v>
                      </c:pt>
                      <c:pt idx="47">
                        <c:v>84.159589738473116</c:v>
                      </c:pt>
                      <c:pt idx="48">
                        <c:v>84.77792756428488</c:v>
                      </c:pt>
                      <c:pt idx="49">
                        <c:v>85.390680764313288</c:v>
                      </c:pt>
                      <c:pt idx="50">
                        <c:v>85.99478535775259</c:v>
                      </c:pt>
                      <c:pt idx="51">
                        <c:v>86.58654644000093</c:v>
                      </c:pt>
                      <c:pt idx="52">
                        <c:v>87.161610493498927</c:v>
                      </c:pt>
                      <c:pt idx="53">
                        <c:v>87.714987032814406</c:v>
                      </c:pt>
                      <c:pt idx="54">
                        <c:v>88.241142859444807</c:v>
                      </c:pt>
                      <c:pt idx="55">
                        <c:v>88.734190727782561</c:v>
                      </c:pt>
                      <c:pt idx="56">
                        <c:v>89.188184976303972</c:v>
                      </c:pt>
                      <c:pt idx="57">
                        <c:v>89.597517462650259</c:v>
                      </c:pt>
                      <c:pt idx="58">
                        <c:v>89.957379241846311</c:v>
                      </c:pt>
                      <c:pt idx="59">
                        <c:v>90.264223738126489</c:v>
                      </c:pt>
                      <c:pt idx="60">
                        <c:v>90.516147706328155</c:v>
                      </c:pt>
                      <c:pt idx="61">
                        <c:v>90.713109331965455</c:v>
                      </c:pt>
                      <c:pt idx="62">
                        <c:v>90.856933076473723</c:v>
                      </c:pt>
                      <c:pt idx="63">
                        <c:v>90.951100114973812</c:v>
                      </c:pt>
                      <c:pt idx="64">
                        <c:v>91.000372904329808</c:v>
                      </c:pt>
                      <c:pt idx="65">
                        <c:v>91.010333771215898</c:v>
                      </c:pt>
                      <c:pt idx="66">
                        <c:v>90.986921632166087</c:v>
                      </c:pt>
                      <c:pt idx="67">
                        <c:v>90.936032252856961</c:v>
                      </c:pt>
                      <c:pt idx="68">
                        <c:v>90.863217934414735</c:v>
                      </c:pt>
                      <c:pt idx="69">
                        <c:v>90.773494349292662</c:v>
                      </c:pt>
                      <c:pt idx="70">
                        <c:v>90.67124259435964</c:v>
                      </c:pt>
                      <c:pt idx="71">
                        <c:v>90.560184877716807</c:v>
                      </c:pt>
                      <c:pt idx="72">
                        <c:v>90.443410510394244</c:v>
                      </c:pt>
                      <c:pt idx="73">
                        <c:v>90.323431802166766</c:v>
                      </c:pt>
                      <c:pt idx="74">
                        <c:v>90.202254268149147</c:v>
                      </c:pt>
                      <c:pt idx="75">
                        <c:v>90.081450439911137</c:v>
                      </c:pt>
                      <c:pt idx="76">
                        <c:v>89.962230663710315</c:v>
                      </c:pt>
                      <c:pt idx="77">
                        <c:v>89.845507303589045</c:v>
                      </c:pt>
                      <c:pt idx="78">
                        <c:v>89.731950823451839</c:v>
                      </c:pt>
                      <c:pt idx="79">
                        <c:v>89.622037503007604</c:v>
                      </c:pt>
                      <c:pt idx="80">
                        <c:v>89.516089266935452</c:v>
                      </c:pt>
                      <c:pt idx="81">
                        <c:v>89.414306461206593</c:v>
                      </c:pt>
                      <c:pt idx="82">
                        <c:v>89.316794535365148</c:v>
                      </c:pt>
                      <c:pt idx="83">
                        <c:v>89.223585582039661</c:v>
                      </c:pt>
                      <c:pt idx="84">
                        <c:v>89.134655608549096</c:v>
                      </c:pt>
                      <c:pt idx="85">
                        <c:v>89.049938309364833</c:v>
                      </c:pt>
                      <c:pt idx="86">
                        <c:v>88.969335995195536</c:v>
                      </c:pt>
                      <c:pt idx="87">
                        <c:v>88.892728226831906</c:v>
                      </c:pt>
                      <c:pt idx="88">
                        <c:v>88.81997860541162</c:v>
                      </c:pt>
                      <c:pt idx="89">
                        <c:v>88.750940087486399</c:v>
                      </c:pt>
                      <c:pt idx="90">
                        <c:v>88.685459123135104</c:v>
                      </c:pt>
                      <c:pt idx="91">
                        <c:v>88.623378857298846</c:v>
                      </c:pt>
                      <c:pt idx="92">
                        <c:v>88.564541587006886</c:v>
                      </c:pt>
                      <c:pt idx="93">
                        <c:v>88.508790628634998</c:v>
                      </c:pt>
                      <c:pt idx="94">
                        <c:v>88.455971718267406</c:v>
                      </c:pt>
                      <c:pt idx="95">
                        <c:v>88.405934043302892</c:v>
                      </c:pt>
                      <c:pt idx="96">
                        <c:v>88.358530983482012</c:v>
                      </c:pt>
                      <c:pt idx="97">
                        <c:v>88.313620623576014</c:v>
                      </c:pt>
                      <c:pt idx="98">
                        <c:v>88.271066087260891</c:v>
                      </c:pt>
                      <c:pt idx="99">
                        <c:v>88.230735731563186</c:v>
                      </c:pt>
                      <c:pt idx="100">
                        <c:v>88.192503233190095</c:v>
                      </c:pt>
                      <c:pt idx="101">
                        <c:v>88.156247591621479</c:v>
                      </c:pt>
                      <c:pt idx="102">
                        <c:v>88.121853068712923</c:v>
                      </c:pt>
                      <c:pt idx="103">
                        <c:v>88.089209080472898</c:v>
                      </c:pt>
                      <c:pt idx="104">
                        <c:v>88.058210053422073</c:v>
                      </c:pt>
                      <c:pt idx="105">
                        <c:v>88.028755255340059</c:v>
                      </c:pt>
                      <c:pt idx="106">
                        <c:v>88.00074860813838</c:v>
                      </c:pt>
                      <c:pt idx="107">
                        <c:v>87.974098488943127</c:v>
                      </c:pt>
                      <c:pt idx="108">
                        <c:v>87.948717524155796</c:v>
                      </c:pt>
                      <c:pt idx="109">
                        <c:v>87.92452238020951</c:v>
                      </c:pt>
                      <c:pt idx="110">
                        <c:v>87.901433553903487</c:v>
                      </c:pt>
                      <c:pt idx="111">
                        <c:v>87.87937516453475</c:v>
                      </c:pt>
                      <c:pt idx="112">
                        <c:v>87.858274749516454</c:v>
                      </c:pt>
                      <c:pt idx="113">
                        <c:v>87.83806306475924</c:v>
                      </c:pt>
                      <c:pt idx="114">
                        <c:v>87.818673890757168</c:v>
                      </c:pt>
                      <c:pt idx="115">
                        <c:v>87.800043845068984</c:v>
                      </c:pt>
                      <c:pt idx="116">
                        <c:v>87.782112201676782</c:v>
                      </c:pt>
                      <c:pt idx="117">
                        <c:v>87.764820717553562</c:v>
                      </c:pt>
                      <c:pt idx="118">
                        <c:v>87.748113466649187</c:v>
                      </c:pt>
                      <c:pt idx="119">
                        <c:v>87.731936681415021</c:v>
                      </c:pt>
                      <c:pt idx="120">
                        <c:v>87.716238601919798</c:v>
                      </c:pt>
                      <c:pt idx="121">
                        <c:v>87.700969332562408</c:v>
                      </c:pt>
                      <c:pt idx="122">
                        <c:v>87.686080706349031</c:v>
                      </c:pt>
                      <c:pt idx="123">
                        <c:v>87.671526156683825</c:v>
                      </c:pt>
                      <c:pt idx="124">
                        <c:v>87.65726059660183</c:v>
                      </c:pt>
                      <c:pt idx="125">
                        <c:v>87.643240305366277</c:v>
                      </c:pt>
                      <c:pt idx="126">
                        <c:v>87.629422822344466</c:v>
                      </c:pt>
                      <c:pt idx="127">
                        <c:v>87.615766848073164</c:v>
                      </c:pt>
                      <c:pt idx="128">
                        <c:v>87.602232152415539</c:v>
                      </c:pt>
                      <c:pt idx="129">
                        <c:v>87.588779489710447</c:v>
                      </c:pt>
                      <c:pt idx="130">
                        <c:v>87.575370520796923</c:v>
                      </c:pt>
                      <c:pt idx="131">
                        <c:v>87.561967741786177</c:v>
                      </c:pt>
                      <c:pt idx="132">
                        <c:v>87.548534419424612</c:v>
                      </c:pt>
                      <c:pt idx="133">
                        <c:v>87.535034532862539</c:v>
                      </c:pt>
                      <c:pt idx="134">
                        <c:v>87.521432721596625</c:v>
                      </c:pt>
                      <c:pt idx="135">
                        <c:v>87.507694239298317</c:v>
                      </c:pt>
                      <c:pt idx="136">
                        <c:v>87.493784913169762</c:v>
                      </c:pt>
                      <c:pt idx="137">
                        <c:v>87.479671108377886</c:v>
                      </c:pt>
                      <c:pt idx="138">
                        <c:v>87.465319697013911</c:v>
                      </c:pt>
                      <c:pt idx="139">
                        <c:v>87.450698030893022</c:v>
                      </c:pt>
                      <c:pt idx="140">
                        <c:v>87.435773917362098</c:v>
                      </c:pt>
                      <c:pt idx="141">
                        <c:v>87.42051559710734</c:v>
                      </c:pt>
                      <c:pt idx="142">
                        <c:v>87.404891722754087</c:v>
                      </c:pt>
                      <c:pt idx="143">
                        <c:v>87.388871336827734</c:v>
                      </c:pt>
                      <c:pt idx="144">
                        <c:v>87.372423847394188</c:v>
                      </c:pt>
                      <c:pt idx="145">
                        <c:v>87.355518999425328</c:v>
                      </c:pt>
                      <c:pt idx="146">
                        <c:v>87.338126839642882</c:v>
                      </c:pt>
                      <c:pt idx="147">
                        <c:v>87.320217672283917</c:v>
                      </c:pt>
                      <c:pt idx="148">
                        <c:v>87.31193504657945</c:v>
                      </c:pt>
                      <c:pt idx="149">
                        <c:v>87.2607109854182</c:v>
                      </c:pt>
                      <c:pt idx="150">
                        <c:v>87.2049484588902</c:v>
                      </c:pt>
                      <c:pt idx="151">
                        <c:v>87.144076284564576</c:v>
                      </c:pt>
                      <c:pt idx="152">
                        <c:v>87.077482120105941</c:v>
                      </c:pt>
                      <c:pt idx="153">
                        <c:v>87.004469764381298</c:v>
                      </c:pt>
                      <c:pt idx="154">
                        <c:v>86.92419956185293</c:v>
                      </c:pt>
                      <c:pt idx="155">
                        <c:v>86.835613334668139</c:v>
                      </c:pt>
                      <c:pt idx="156">
                        <c:v>86.737351707133868</c:v>
                      </c:pt>
                      <c:pt idx="157">
                        <c:v>86.627680991102679</c:v>
                      </c:pt>
                      <c:pt idx="158">
                        <c:v>86.504457143490413</c:v>
                      </c:pt>
                      <c:pt idx="159">
                        <c:v>86.365160797101609</c:v>
                      </c:pt>
                      <c:pt idx="160">
                        <c:v>86.207031882273981</c:v>
                      </c:pt>
                      <c:pt idx="161">
                        <c:v>86.027306827885127</c:v>
                      </c:pt>
                      <c:pt idx="162">
                        <c:v>85.823516351482397</c:v>
                      </c:pt>
                      <c:pt idx="163">
                        <c:v>85.593757285122379</c:v>
                      </c:pt>
                      <c:pt idx="164">
                        <c:v>85.366505394907534</c:v>
                      </c:pt>
                      <c:pt idx="165">
                        <c:v>84.933942538177902</c:v>
                      </c:pt>
                      <c:pt idx="166">
                        <c:v>84.440178796412454</c:v>
                      </c:pt>
                      <c:pt idx="167">
                        <c:v>83.888130417045403</c:v>
                      </c:pt>
                      <c:pt idx="168">
                        <c:v>83.280905134986</c:v>
                      </c:pt>
                      <c:pt idx="169">
                        <c:v>82.620071520593271</c:v>
                      </c:pt>
                      <c:pt idx="170">
                        <c:v>81.907781252303295</c:v>
                      </c:pt>
                      <c:pt idx="171">
                        <c:v>81.149442999534855</c:v>
                      </c:pt>
                      <c:pt idx="172">
                        <c:v>80.351462194000788</c:v>
                      </c:pt>
                      <c:pt idx="173">
                        <c:v>79.518029017986279</c:v>
                      </c:pt>
                      <c:pt idx="174">
                        <c:v>78.654174121689749</c:v>
                      </c:pt>
                      <c:pt idx="175">
                        <c:v>77.764998468469258</c:v>
                      </c:pt>
                      <c:pt idx="176">
                        <c:v>76.854238137468386</c:v>
                      </c:pt>
                      <c:pt idx="177">
                        <c:v>75.925869242466007</c:v>
                      </c:pt>
                      <c:pt idx="178">
                        <c:v>74.982922020647749</c:v>
                      </c:pt>
                      <c:pt idx="179">
                        <c:v>73.702725253955833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25B-4838-8BF1-338CD4AF72F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FRES!$AI$4</c15:sqref>
                        </c15:formulaRef>
                      </c:ext>
                    </c:extLst>
                    <c:strCache>
                      <c:ptCount val="1"/>
                      <c:pt idx="0">
                        <c:v>SPL3</c:v>
                      </c:pt>
                    </c:strCache>
                  </c:strRef>
                </c:tx>
                <c:spPr>
                  <a:ln w="25400">
                    <a:solidFill>
                      <a:srgbClr val="FF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FRES!$AI$5:$AI$184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45.750805856448835</c:v>
                      </c:pt>
                      <c:pt idx="1">
                        <c:v>46.761651080495604</c:v>
                      </c:pt>
                      <c:pt idx="2">
                        <c:v>47.773408910804534</c:v>
                      </c:pt>
                      <c:pt idx="3">
                        <c:v>48.786192387428294</c:v>
                      </c:pt>
                      <c:pt idx="4">
                        <c:v>49.800128725946102</c:v>
                      </c:pt>
                      <c:pt idx="5">
                        <c:v>50.815361139616343</c:v>
                      </c:pt>
                      <c:pt idx="6">
                        <c:v>51.832050906961172</c:v>
                      </c:pt>
                      <c:pt idx="7">
                        <c:v>52.850379720566011</c:v>
                      </c:pt>
                      <c:pt idx="8">
                        <c:v>53.87055235871108</c:v>
                      </c:pt>
                      <c:pt idx="9">
                        <c:v>54.892799728355762</c:v>
                      </c:pt>
                      <c:pt idx="10">
                        <c:v>55.917382336176551</c:v>
                      </c:pt>
                      <c:pt idx="11">
                        <c:v>56.944594254070381</c:v>
                      </c:pt>
                      <c:pt idx="12">
                        <c:v>57.974767657055253</c:v>
                      </c:pt>
                      <c:pt idx="13">
                        <c:v>58.491080403828093</c:v>
                      </c:pt>
                      <c:pt idx="14">
                        <c:v>59.00827802516821</c:v>
                      </c:pt>
                      <c:pt idx="15">
                        <c:v>59.526415202148755</c:v>
                      </c:pt>
                      <c:pt idx="16">
                        <c:v>60.045550117119426</c:v>
                      </c:pt>
                      <c:pt idx="17">
                        <c:v>60.565744691718564</c:v>
                      </c:pt>
                      <c:pt idx="18">
                        <c:v>61.087064842483471</c:v>
                      </c:pt>
                      <c:pt idx="19">
                        <c:v>61.609580755470496</c:v>
                      </c:pt>
                      <c:pt idx="20">
                        <c:v>62.133367181409305</c:v>
                      </c:pt>
                      <c:pt idx="21">
                        <c:v>62.658503753035966</c:v>
                      </c:pt>
                      <c:pt idx="22">
                        <c:v>63.185075326370409</c:v>
                      </c:pt>
                      <c:pt idx="23">
                        <c:v>63.713172347831261</c:v>
                      </c:pt>
                      <c:pt idx="24">
                        <c:v>64.242891249207105</c:v>
                      </c:pt>
                      <c:pt idx="25">
                        <c:v>64.774334872624578</c:v>
                      </c:pt>
                      <c:pt idx="26">
                        <c:v>65.307612927767522</c:v>
                      </c:pt>
                      <c:pt idx="27">
                        <c:v>65.842842483696302</c:v>
                      </c:pt>
                      <c:pt idx="28">
                        <c:v>66.380148497683493</c:v>
                      </c:pt>
                      <c:pt idx="29">
                        <c:v>66.919664383508277</c:v>
                      </c:pt>
                      <c:pt idx="30">
                        <c:v>67.461532621607546</c:v>
                      </c:pt>
                      <c:pt idx="31">
                        <c:v>68.005905413356246</c:v>
                      </c:pt>
                      <c:pt idx="32">
                        <c:v>68.552945381482672</c:v>
                      </c:pt>
                      <c:pt idx="33">
                        <c:v>69.10282631818599</c:v>
                      </c:pt>
                      <c:pt idx="34">
                        <c:v>69.655733981823218</c:v>
                      </c:pt>
                      <c:pt idx="35">
                        <c:v>70.211866941996021</c:v>
                      </c:pt>
                      <c:pt idx="36">
                        <c:v>70.771437471346403</c:v>
                      </c:pt>
                      <c:pt idx="37">
                        <c:v>71.334672480200396</c:v>
                      </c:pt>
                      <c:pt idx="38">
                        <c:v>71.901814487143582</c:v>
                      </c:pt>
                      <c:pt idx="39">
                        <c:v>72.473122614331345</c:v>
                      </c:pt>
                      <c:pt idx="40">
                        <c:v>73.048873590413322</c:v>
                      </c:pt>
                      <c:pt idx="41">
                        <c:v>73.629362735752522</c:v>
                      </c:pt>
                      <c:pt idx="42">
                        <c:v>74.21490489333722</c:v>
                      </c:pt>
                      <c:pt idx="43">
                        <c:v>74.805835253269152</c:v>
                      </c:pt>
                      <c:pt idx="44">
                        <c:v>75.402509997404621</c:v>
                      </c:pt>
                      <c:pt idx="45">
                        <c:v>76.005306661467444</c:v>
                      </c:pt>
                      <c:pt idx="46">
                        <c:v>76.614624071775978</c:v>
                      </c:pt>
                      <c:pt idx="47">
                        <c:v>77.230881658523543</c:v>
                      </c:pt>
                      <c:pt idx="48">
                        <c:v>77.85451787166609</c:v>
                      </c:pt>
                      <c:pt idx="49">
                        <c:v>78.485987321105469</c:v>
                      </c:pt>
                      <c:pt idx="50">
                        <c:v>79.125756119315739</c:v>
                      </c:pt>
                      <c:pt idx="51">
                        <c:v>79.774294707273057</c:v>
                      </c:pt>
                      <c:pt idx="52">
                        <c:v>80.432067173867551</c:v>
                      </c:pt>
                      <c:pt idx="53">
                        <c:v>81.099515708930085</c:v>
                      </c:pt>
                      <c:pt idx="54">
                        <c:v>81.777038327229889</c:v>
                      </c:pt>
                      <c:pt idx="55">
                        <c:v>82.46495732464119</c:v>
                      </c:pt>
                      <c:pt idx="56">
                        <c:v>83.163475033150007</c:v>
                      </c:pt>
                      <c:pt idx="57">
                        <c:v>83.872612288962898</c:v>
                      </c:pt>
                      <c:pt idx="58">
                        <c:v>84.592123607517806</c:v>
                      </c:pt>
                      <c:pt idx="59">
                        <c:v>85.321381441690548</c:v>
                      </c:pt>
                      <c:pt idx="60">
                        <c:v>86.059220339981621</c:v>
                      </c:pt>
                      <c:pt idx="61">
                        <c:v>86.803730948268083</c:v>
                      </c:pt>
                      <c:pt idx="62">
                        <c:v>87.551994929327833</c:v>
                      </c:pt>
                      <c:pt idx="63">
                        <c:v>88.299757468498967</c:v>
                      </c:pt>
                      <c:pt idx="64">
                        <c:v>89.041048153852728</c:v>
                      </c:pt>
                      <c:pt idx="65">
                        <c:v>89.767789275989401</c:v>
                      </c:pt>
                      <c:pt idx="66">
                        <c:v>90.469478256241786</c:v>
                      </c:pt>
                      <c:pt idx="67">
                        <c:v>91.133096873859699</c:v>
                      </c:pt>
                      <c:pt idx="68">
                        <c:v>91.743464683569456</c:v>
                      </c:pt>
                      <c:pt idx="69">
                        <c:v>92.284265751310471</c:v>
                      </c:pt>
                      <c:pt idx="70">
                        <c:v>92.739857122818307</c:v>
                      </c:pt>
                      <c:pt idx="71">
                        <c:v>93.097663005728037</c:v>
                      </c:pt>
                      <c:pt idx="72">
                        <c:v>93.350553955956542</c:v>
                      </c:pt>
                      <c:pt idx="73">
                        <c:v>93.49837150257089</c:v>
                      </c:pt>
                      <c:pt idx="74">
                        <c:v>93.547963267245549</c:v>
                      </c:pt>
                      <c:pt idx="75">
                        <c:v>93.511713167466084</c:v>
                      </c:pt>
                      <c:pt idx="76">
                        <c:v>93.405181523419969</c:v>
                      </c:pt>
                      <c:pt idx="77">
                        <c:v>93.244696255949989</c:v>
                      </c:pt>
                      <c:pt idx="78">
                        <c:v>93.045512096522117</c:v>
                      </c:pt>
                      <c:pt idx="79">
                        <c:v>92.820750637406348</c:v>
                      </c:pt>
                      <c:pt idx="80">
                        <c:v>92.581022165439236</c:v>
                      </c:pt>
                      <c:pt idx="81">
                        <c:v>92.334502040259082</c:v>
                      </c:pt>
                      <c:pt idx="82">
                        <c:v>92.08724210717773</c:v>
                      </c:pt>
                      <c:pt idx="83">
                        <c:v>91.843561396111937</c:v>
                      </c:pt>
                      <c:pt idx="84">
                        <c:v>91.606426861122387</c:v>
                      </c:pt>
                      <c:pt idx="85">
                        <c:v>91.377783477424316</c:v>
                      </c:pt>
                      <c:pt idx="86">
                        <c:v>91.158822018927196</c:v>
                      </c:pt>
                      <c:pt idx="87">
                        <c:v>90.950187448065407</c:v>
                      </c:pt>
                      <c:pt idx="88">
                        <c:v>90.752136716716606</c:v>
                      </c:pt>
                      <c:pt idx="89">
                        <c:v>90.564656040125143</c:v>
                      </c:pt>
                      <c:pt idx="90">
                        <c:v>90.387546885678631</c:v>
                      </c:pt>
                      <c:pt idx="91">
                        <c:v>90.220488371971356</c:v>
                      </c:pt>
                      <c:pt idx="92">
                        <c:v>90.063082151427437</c:v>
                      </c:pt>
                      <c:pt idx="93">
                        <c:v>89.914884418411759</c:v>
                      </c:pt>
                      <c:pt idx="94">
                        <c:v>89.775428520569278</c:v>
                      </c:pt>
                      <c:pt idx="95">
                        <c:v>89.644240746145186</c:v>
                      </c:pt>
                      <c:pt idx="96">
                        <c:v>89.520851175343125</c:v>
                      </c:pt>
                      <c:pt idx="97">
                        <c:v>89.404800974376116</c:v>
                      </c:pt>
                      <c:pt idx="98">
                        <c:v>89.295647135805197</c:v>
                      </c:pt>
                      <c:pt idx="99">
                        <c:v>89.192965394360954</c:v>
                      </c:pt>
                      <c:pt idx="100">
                        <c:v>89.096351847420635</c:v>
                      </c:pt>
                      <c:pt idx="101">
                        <c:v>89.005423663778885</c:v>
                      </c:pt>
                      <c:pt idx="102">
                        <c:v>88.91981915853215</c:v>
                      </c:pt>
                      <c:pt idx="103">
                        <c:v>88.839197434957171</c:v>
                      </c:pt>
                      <c:pt idx="104">
                        <c:v>88.763237738301967</c:v>
                      </c:pt>
                      <c:pt idx="105">
                        <c:v>88.691638625670222</c:v>
                      </c:pt>
                      <c:pt idx="106">
                        <c:v>88.62411702652733</c:v>
                      </c:pt>
                      <c:pt idx="107">
                        <c:v>88.560407246755318</c:v>
                      </c:pt>
                      <c:pt idx="108">
                        <c:v>88.500259953460045</c:v>
                      </c:pt>
                      <c:pt idx="109">
                        <c:v>88.443441166298527</c:v>
                      </c:pt>
                      <c:pt idx="110">
                        <c:v>88.389731272788126</c:v>
                      </c:pt>
                      <c:pt idx="111">
                        <c:v>88.338924079056383</c:v>
                      </c:pt>
                      <c:pt idx="112">
                        <c:v>88.290825903154499</c:v>
                      </c:pt>
                      <c:pt idx="113">
                        <c:v>88.24525471496672</c:v>
                      </c:pt>
                      <c:pt idx="114">
                        <c:v>88.202039324548181</c:v>
                      </c:pt>
                      <c:pt idx="115">
                        <c:v>88.161018619193271</c:v>
                      </c:pt>
                      <c:pt idx="116">
                        <c:v>88.12204084848311</c:v>
                      </c:pt>
                      <c:pt idx="117">
                        <c:v>88.084962955864</c:v>
                      </c:pt>
                      <c:pt idx="118">
                        <c:v>88.049649954864748</c:v>
                      </c:pt>
                      <c:pt idx="119">
                        <c:v>88.015974347803279</c:v>
                      </c:pt>
                      <c:pt idx="120">
                        <c:v>87.983815584702981</c:v>
                      </c:pt>
                      <c:pt idx="121">
                        <c:v>87.953059560111427</c:v>
                      </c:pt>
                      <c:pt idx="122">
                        <c:v>87.923598145536886</c:v>
                      </c:pt>
                      <c:pt idx="123">
                        <c:v>87.895328755298848</c:v>
                      </c:pt>
                      <c:pt idx="124">
                        <c:v>87.868153943683822</c:v>
                      </c:pt>
                      <c:pt idx="125">
                        <c:v>87.841981031418953</c:v>
                      </c:pt>
                      <c:pt idx="126">
                        <c:v>87.816721759596163</c:v>
                      </c:pt>
                      <c:pt idx="127">
                        <c:v>87.792291969308906</c:v>
                      </c:pt>
                      <c:pt idx="128">
                        <c:v>87.768611305380205</c:v>
                      </c:pt>
                      <c:pt idx="129">
                        <c:v>87.745602942678872</c:v>
                      </c:pt>
                      <c:pt idx="130">
                        <c:v>87.723193333620657</c:v>
                      </c:pt>
                      <c:pt idx="131">
                        <c:v>87.70131197554349</c:v>
                      </c:pt>
                      <c:pt idx="132">
                        <c:v>87.679891196721769</c:v>
                      </c:pt>
                      <c:pt idx="133">
                        <c:v>87.658865959843283</c:v>
                      </c:pt>
                      <c:pt idx="134">
                        <c:v>87.638173681815076</c:v>
                      </c:pt>
                      <c:pt idx="135">
                        <c:v>87.617754068782773</c:v>
                      </c:pt>
                      <c:pt idx="136">
                        <c:v>87.597548965253225</c:v>
                      </c:pt>
                      <c:pt idx="137">
                        <c:v>87.577502216180818</c:v>
                      </c:pt>
                      <c:pt idx="138">
                        <c:v>87.557559540836479</c:v>
                      </c:pt>
                      <c:pt idx="139">
                        <c:v>87.537668417199683</c:v>
                      </c:pt>
                      <c:pt idx="140">
                        <c:v>87.517777975517362</c:v>
                      </c:pt>
                      <c:pt idx="141">
                        <c:v>87.497838899541222</c:v>
                      </c:pt>
                      <c:pt idx="142">
                        <c:v>87.477803333798363</c:v>
                      </c:pt>
                      <c:pt idx="143">
                        <c:v>87.457624795063666</c:v>
                      </c:pt>
                      <c:pt idx="144">
                        <c:v>87.437258085985633</c:v>
                      </c:pt>
                      <c:pt idx="145">
                        <c:v>87.416659208577272</c:v>
                      </c:pt>
                      <c:pt idx="146">
                        <c:v>87.395785275017971</c:v>
                      </c:pt>
                      <c:pt idx="147">
                        <c:v>87.374594412930492</c:v>
                      </c:pt>
                      <c:pt idx="148">
                        <c:v>87.364889316035942</c:v>
                      </c:pt>
                      <c:pt idx="149">
                        <c:v>87.30601491630766</c:v>
                      </c:pt>
                      <c:pt idx="150">
                        <c:v>87.24372009945094</c:v>
                      </c:pt>
                      <c:pt idx="151">
                        <c:v>87.177271206226777</c:v>
                      </c:pt>
                      <c:pt idx="152">
                        <c:v>87.105916855752469</c:v>
                      </c:pt>
                      <c:pt idx="153">
                        <c:v>87.028841636557971</c:v>
                      </c:pt>
                      <c:pt idx="154">
                        <c:v>86.945103497753934</c:v>
                      </c:pt>
                      <c:pt idx="155">
                        <c:v>86.853556185300732</c:v>
                      </c:pt>
                      <c:pt idx="156">
                        <c:v>86.75276452534726</c:v>
                      </c:pt>
                      <c:pt idx="157">
                        <c:v>86.640929669148107</c:v>
                      </c:pt>
                      <c:pt idx="158">
                        <c:v>86.51585175495066</c:v>
                      </c:pt>
                      <c:pt idx="159">
                        <c:v>86.374963917759757</c:v>
                      </c:pt>
                      <c:pt idx="160">
                        <c:v>86.215466069306927</c:v>
                      </c:pt>
                      <c:pt idx="161">
                        <c:v>86.034561318231709</c:v>
                      </c:pt>
                      <c:pt idx="162">
                        <c:v>85.829752924154974</c:v>
                      </c:pt>
                      <c:pt idx="163">
                        <c:v>85.599115170061907</c:v>
                      </c:pt>
                      <c:pt idx="164">
                        <c:v>85.371183285842392</c:v>
                      </c:pt>
                      <c:pt idx="165">
                        <c:v>84.937659707249281</c:v>
                      </c:pt>
                      <c:pt idx="166">
                        <c:v>84.443130026991682</c:v>
                      </c:pt>
                      <c:pt idx="167">
                        <c:v>83.890473207290739</c:v>
                      </c:pt>
                      <c:pt idx="168">
                        <c:v>83.282765430303002</c:v>
                      </c:pt>
                      <c:pt idx="169">
                        <c:v>82.621548708978139</c:v>
                      </c:pt>
                      <c:pt idx="170">
                        <c:v>81.908953797535133</c:v>
                      </c:pt>
                      <c:pt idx="171">
                        <c:v>81.150373561331236</c:v>
                      </c:pt>
                      <c:pt idx="172">
                        <c:v>80.35220081573938</c:v>
                      </c:pt>
                      <c:pt idx="173">
                        <c:v>79.518615247582687</c:v>
                      </c:pt>
                      <c:pt idx="174">
                        <c:v>78.654639374959686</c:v>
                      </c:pt>
                      <c:pt idx="175">
                        <c:v>77.765367731219669</c:v>
                      </c:pt>
                      <c:pt idx="176">
                        <c:v>76.854531201794998</c:v>
                      </c:pt>
                      <c:pt idx="177">
                        <c:v>75.926101838892862</c:v>
                      </c:pt>
                      <c:pt idx="178">
                        <c:v>74.983106625483742</c:v>
                      </c:pt>
                      <c:pt idx="179">
                        <c:v>73.702860750320113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25B-4838-8BF1-338CD4AF72F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FRES!$AW$4</c15:sqref>
                        </c15:formulaRef>
                      </c:ext>
                    </c:extLst>
                    <c:strCache>
                      <c:ptCount val="1"/>
                      <c:pt idx="0">
                        <c:v>Phase2</c:v>
                      </c:pt>
                    </c:strCache>
                  </c:strRef>
                </c:tx>
                <c:spPr>
                  <a:ln>
                    <a:solidFill>
                      <a:sysClr val="windowText" lastClr="00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FRES!$AW$5:$AW$184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119.70210252197307</c:v>
                      </c:pt>
                      <c:pt idx="1">
                        <c:v>119.68387525028002</c:v>
                      </c:pt>
                      <c:pt idx="2">
                        <c:v>119.66446535820627</c:v>
                      </c:pt>
                      <c:pt idx="3">
                        <c:v>119.64378328158263</c:v>
                      </c:pt>
                      <c:pt idx="4">
                        <c:v>119.62173030166811</c:v>
                      </c:pt>
                      <c:pt idx="5">
                        <c:v>119.59819721206651</c:v>
                      </c:pt>
                      <c:pt idx="6">
                        <c:v>119.5730627349844</c:v>
                      </c:pt>
                      <c:pt idx="7">
                        <c:v>119.54619163177716</c:v>
                      </c:pt>
                      <c:pt idx="8">
                        <c:v>119.51743243913444</c:v>
                      </c:pt>
                      <c:pt idx="9">
                        <c:v>119.48661474492741</c:v>
                      </c:pt>
                      <c:pt idx="10">
                        <c:v>119.45354589555036</c:v>
                      </c:pt>
                      <c:pt idx="11">
                        <c:v>119.4180069980552</c:v>
                      </c:pt>
                      <c:pt idx="12">
                        <c:v>119.37974804353851</c:v>
                      </c:pt>
                      <c:pt idx="13">
                        <c:v>119.35951046493304</c:v>
                      </c:pt>
                      <c:pt idx="14">
                        <c:v>119.33848193051409</c:v>
                      </c:pt>
                      <c:pt idx="15">
                        <c:v>119.31661955055678</c:v>
                      </c:pt>
                      <c:pt idx="16">
                        <c:v>119.2938771050115</c:v>
                      </c:pt>
                      <c:pt idx="17">
                        <c:v>119.27020471129828</c:v>
                      </c:pt>
                      <c:pt idx="18">
                        <c:v>119.24554845350171</c:v>
                      </c:pt>
                      <c:pt idx="19">
                        <c:v>119.21984996800249</c:v>
                      </c:pt>
                      <c:pt idx="20">
                        <c:v>119.19304597990713</c:v>
                      </c:pt>
                      <c:pt idx="21">
                        <c:v>119.16506778387502</c:v>
                      </c:pt>
                      <c:pt idx="22">
                        <c:v>119.13584066208354</c:v>
                      </c:pt>
                      <c:pt idx="23">
                        <c:v>119.10528323111014</c:v>
                      </c:pt>
                      <c:pt idx="24">
                        <c:v>119.07330670844335</c:v>
                      </c:pt>
                      <c:pt idx="25">
                        <c:v>119.03981408816163</c:v>
                      </c:pt>
                      <c:pt idx="26">
                        <c:v>119.00469921404778</c:v>
                      </c:pt>
                      <c:pt idx="27">
                        <c:v>118.96784573706184</c:v>
                      </c:pt>
                      <c:pt idx="28">
                        <c:v>118.92912594271002</c:v>
                      </c:pt>
                      <c:pt idx="29">
                        <c:v>118.88839943249533</c:v>
                      </c:pt>
                      <c:pt idx="30">
                        <c:v>118.8455116424213</c:v>
                      </c:pt>
                      <c:pt idx="31">
                        <c:v>118.80029218061716</c:v>
                      </c:pt>
                      <c:pt idx="32">
                        <c:v>118.75255296581956</c:v>
                      </c:pt>
                      <c:pt idx="33">
                        <c:v>118.70208614907102</c:v>
                      </c:pt>
                      <c:pt idx="34">
                        <c:v>118.64866180315295</c:v>
                      </c:pt>
                      <c:pt idx="35">
                        <c:v>118.59202536879155</c:v>
                      </c:pt>
                      <c:pt idx="36">
                        <c:v>118.53189485476055</c:v>
                      </c:pt>
                      <c:pt idx="37">
                        <c:v>118.46795780235588</c:v>
                      </c:pt>
                      <c:pt idx="38">
                        <c:v>118.39986804572744</c:v>
                      </c:pt>
                      <c:pt idx="39">
                        <c:v>118.32724233152942</c:v>
                      </c:pt>
                      <c:pt idx="40">
                        <c:v>118.24965690877714</c:v>
                      </c:pt>
                      <c:pt idx="41">
                        <c:v>118.16664426861641</c:v>
                      </c:pt>
                      <c:pt idx="42">
                        <c:v>118.07769031150484</c:v>
                      </c:pt>
                      <c:pt idx="43">
                        <c:v>117.98223235526777</c:v>
                      </c:pt>
                      <c:pt idx="44">
                        <c:v>117.87965858182866</c:v>
                      </c:pt>
                      <c:pt idx="45">
                        <c:v>117.76930976262003</c:v>
                      </c:pt>
                      <c:pt idx="46">
                        <c:v>117.6504844078155</c:v>
                      </c:pt>
                      <c:pt idx="47">
                        <c:v>117.52244884611757</c:v>
                      </c:pt>
                      <c:pt idx="48">
                        <c:v>117.38445412983856</c:v>
                      </c:pt>
                      <c:pt idx="49">
                        <c:v>117.23576200243248</c:v>
                      </c:pt>
                      <c:pt idx="50">
                        <c:v>117.07568232447218</c:v>
                      </c:pt>
                      <c:pt idx="51">
                        <c:v>116.90362410152629</c:v>
                      </c:pt>
                      <c:pt idx="52">
                        <c:v>116.71916126897747</c:v>
                      </c:pt>
                      <c:pt idx="53">
                        <c:v>116.52211228600103</c:v>
                      </c:pt>
                      <c:pt idx="54">
                        <c:v>116.31262908020865</c:v>
                      </c:pt>
                      <c:pt idx="55">
                        <c:v>116.09128603010089</c:v>
                      </c:pt>
                      <c:pt idx="56">
                        <c:v>115.85915426891454</c:v>
                      </c:pt>
                      <c:pt idx="57">
                        <c:v>115.61784244587597</c:v>
                      </c:pt>
                      <c:pt idx="58">
                        <c:v>115.36948481656758</c:v>
                      </c:pt>
                      <c:pt idx="59">
                        <c:v>115.11666357413056</c:v>
                      </c:pt>
                      <c:pt idx="60">
                        <c:v>114.86226513677651</c:v>
                      </c:pt>
                      <c:pt idx="61">
                        <c:v>114.60928670670407</c:v>
                      </c:pt>
                      <c:pt idx="62">
                        <c:v>114.3606237818108</c:v>
                      </c:pt>
                      <c:pt idx="63">
                        <c:v>114.1188751673223</c:v>
                      </c:pt>
                      <c:pt idx="64">
                        <c:v>113.88619663808342</c:v>
                      </c:pt>
                      <c:pt idx="65">
                        <c:v>113.66422028824978</c:v>
                      </c:pt>
                      <c:pt idx="66">
                        <c:v>113.45403996233416</c:v>
                      </c:pt>
                      <c:pt idx="67">
                        <c:v>113.25625010377431</c:v>
                      </c:pt>
                      <c:pt idx="68">
                        <c:v>113.07101901127808</c:v>
                      </c:pt>
                      <c:pt idx="69">
                        <c:v>112.89817752621609</c:v>
                      </c:pt>
                      <c:pt idx="70">
                        <c:v>112.73730821114216</c:v>
                      </c:pt>
                      <c:pt idx="71">
                        <c:v>112.58782547362232</c:v>
                      </c:pt>
                      <c:pt idx="72">
                        <c:v>112.44904199102429</c:v>
                      </c:pt>
                      <c:pt idx="73">
                        <c:v>112.32022036632985</c:v>
                      </c:pt>
                      <c:pt idx="74">
                        <c:v>112.20061110442263</c:v>
                      </c:pt>
                      <c:pt idx="75">
                        <c:v>112.08947902727407</c:v>
                      </c:pt>
                      <c:pt idx="76">
                        <c:v>111.98612052360805</c:v>
                      </c:pt>
                      <c:pt idx="77">
                        <c:v>111.88987388222745</c:v>
                      </c:pt>
                      <c:pt idx="78">
                        <c:v>111.80012462030814</c:v>
                      </c:pt>
                      <c:pt idx="79">
                        <c:v>111.71630733005995</c:v>
                      </c:pt>
                      <c:pt idx="80">
                        <c:v>111.63790520355707</c:v>
                      </c:pt>
                      <c:pt idx="81">
                        <c:v>111.56444808769446</c:v>
                      </c:pt>
                      <c:pt idx="82">
                        <c:v>111.49550967633397</c:v>
                      </c:pt>
                      <c:pt idx="83">
                        <c:v>111.43070426003158</c:v>
                      </c:pt>
                      <c:pt idx="84">
                        <c:v>111.3696833158829</c:v>
                      </c:pt>
                      <c:pt idx="85">
                        <c:v>111.31213212077094</c:v>
                      </c:pt>
                      <c:pt idx="86">
                        <c:v>111.25776650139126</c:v>
                      </c:pt>
                      <c:pt idx="87">
                        <c:v>111.20632978620465</c:v>
                      </c:pt>
                      <c:pt idx="88">
                        <c:v>111.15758999192246</c:v>
                      </c:pt>
                      <c:pt idx="89">
                        <c:v>111.11133725571632</c:v>
                      </c:pt>
                      <c:pt idx="90">
                        <c:v>111.06738151071394</c:v>
                      </c:pt>
                      <c:pt idx="91">
                        <c:v>111.02555039406697</c:v>
                      </c:pt>
                      <c:pt idx="92">
                        <c:v>110.98568737222618</c:v>
                      </c:pt>
                      <c:pt idx="93">
                        <c:v>110.94765006581842</c:v>
                      </c:pt>
                      <c:pt idx="94">
                        <c:v>110.91130875583821</c:v>
                      </c:pt>
                      <c:pt idx="95">
                        <c:v>110.8765450531663</c:v>
                      </c:pt>
                      <c:pt idx="96">
                        <c:v>110.84325071431036</c:v>
                      </c:pt>
                      <c:pt idx="97">
                        <c:v>110.81132658746404</c:v>
                      </c:pt>
                      <c:pt idx="98">
                        <c:v>110.78068167432899</c:v>
                      </c:pt>
                      <c:pt idx="99">
                        <c:v>110.75123229452554</c:v>
                      </c:pt>
                      <c:pt idx="100">
                        <c:v>110.72290134076397</c:v>
                      </c:pt>
                      <c:pt idx="101">
                        <c:v>110.69561761422038</c:v>
                      </c:pt>
                      <c:pt idx="102">
                        <c:v>110.6693152307349</c:v>
                      </c:pt>
                      <c:pt idx="103">
                        <c:v>110.6439330895204</c:v>
                      </c:pt>
                      <c:pt idx="104">
                        <c:v>110.61941439703156</c:v>
                      </c:pt>
                      <c:pt idx="105">
                        <c:v>110.59570623950452</c:v>
                      </c:pt>
                      <c:pt idx="106">
                        <c:v>110.57275919844054</c:v>
                      </c:pt>
                      <c:pt idx="107">
                        <c:v>110.55052700398171</c:v>
                      </c:pt>
                      <c:pt idx="108">
                        <c:v>110.52896622172156</c:v>
                      </c:pt>
                      <c:pt idx="109">
                        <c:v>110.50803596901525</c:v>
                      </c:pt>
                      <c:pt idx="110">
                        <c:v>110.48769765731336</c:v>
                      </c:pt>
                      <c:pt idx="111">
                        <c:v>110.46791475744442</c:v>
                      </c:pt>
                      <c:pt idx="112">
                        <c:v>110.44865258512392</c:v>
                      </c:pt>
                      <c:pt idx="113">
                        <c:v>110.4298781042758</c:v>
                      </c:pt>
                      <c:pt idx="114">
                        <c:v>110.41155974602228</c:v>
                      </c:pt>
                      <c:pt idx="115">
                        <c:v>110.39366724143571</c:v>
                      </c:pt>
                      <c:pt idx="116">
                        <c:v>110.37617146635323</c:v>
                      </c:pt>
                      <c:pt idx="117">
                        <c:v>110.35904429673842</c:v>
                      </c:pt>
                      <c:pt idx="118">
                        <c:v>110.34225847323539</c:v>
                      </c:pt>
                      <c:pt idx="119">
                        <c:v>110.32578747370295</c:v>
                      </c:pt>
                      <c:pt idx="120">
                        <c:v>110.30960539264339</c:v>
                      </c:pt>
                      <c:pt idx="121">
                        <c:v>110.2936868265532</c:v>
                      </c:pt>
                      <c:pt idx="122">
                        <c:v>110.27800676432413</c:v>
                      </c:pt>
                      <c:pt idx="123">
                        <c:v>110.26254048191529</c:v>
                      </c:pt>
                      <c:pt idx="124">
                        <c:v>110.24726344060038</c:v>
                      </c:pt>
                      <c:pt idx="125">
                        <c:v>110.23215118817207</c:v>
                      </c:pt>
                      <c:pt idx="126">
                        <c:v>110.21717926255855</c:v>
                      </c:pt>
                      <c:pt idx="127">
                        <c:v>110.20232309737612</c:v>
                      </c:pt>
                      <c:pt idx="128">
                        <c:v>110.18755792900974</c:v>
                      </c:pt>
                      <c:pt idx="129">
                        <c:v>110.1728587048792</c:v>
                      </c:pt>
                      <c:pt idx="130">
                        <c:v>110.15819999261619</c:v>
                      </c:pt>
                      <c:pt idx="131">
                        <c:v>110.14355588994493</c:v>
                      </c:pt>
                      <c:pt idx="132">
                        <c:v>110.12889993513127</c:v>
                      </c:pt>
                      <c:pt idx="133">
                        <c:v>110.11420501793916</c:v>
                      </c:pt>
                      <c:pt idx="134">
                        <c:v>110.09944329111437</c:v>
                      </c:pt>
                      <c:pt idx="135">
                        <c:v>110.08458608250163</c:v>
                      </c:pt>
                      <c:pt idx="136">
                        <c:v>110.06960380799522</c:v>
                      </c:pt>
                      <c:pt idx="137">
                        <c:v>110.05446588562664</c:v>
                      </c:pt>
                      <c:pt idx="138">
                        <c:v>110.03914065120584</c:v>
                      </c:pt>
                      <c:pt idx="139">
                        <c:v>110.02359527605726</c:v>
                      </c:pt>
                      <c:pt idx="140">
                        <c:v>110.00779568752942</c:v>
                      </c:pt>
                      <c:pt idx="141">
                        <c:v>109.99170649310899</c:v>
                      </c:pt>
                      <c:pt idx="142">
                        <c:v>109.97529090913679</c:v>
                      </c:pt>
                      <c:pt idx="143">
                        <c:v>109.95851069530814</c:v>
                      </c:pt>
                      <c:pt idx="144">
                        <c:v>109.94132609634164</c:v>
                      </c:pt>
                      <c:pt idx="145">
                        <c:v>109.92369579242236</c:v>
                      </c:pt>
                      <c:pt idx="146">
                        <c:v>109.90557686026692</c:v>
                      </c:pt>
                      <c:pt idx="147">
                        <c:v>109.88692474692057</c:v>
                      </c:pt>
                      <c:pt idx="148">
                        <c:v>109.87829616519484</c:v>
                      </c:pt>
                      <c:pt idx="149">
                        <c:v>109.82480358848061</c:v>
                      </c:pt>
                      <c:pt idx="150">
                        <c:v>109.76608756140088</c:v>
                      </c:pt>
                      <c:pt idx="151">
                        <c:v>109.70113068177577</c:v>
                      </c:pt>
                      <c:pt idx="152">
                        <c:v>109.62886382143783</c:v>
                      </c:pt>
                      <c:pt idx="153">
                        <c:v>109.54820321351914</c:v>
                      </c:pt>
                      <c:pt idx="154">
                        <c:v>109.45810934451472</c:v>
                      </c:pt>
                      <c:pt idx="155">
                        <c:v>109.35767301199817</c:v>
                      </c:pt>
                      <c:pt idx="156">
                        <c:v>109.24623249413321</c:v>
                      </c:pt>
                      <c:pt idx="157">
                        <c:v>109.123521568301</c:v>
                      </c:pt>
                      <c:pt idx="158">
                        <c:v>108.98983937381662</c:v>
                      </c:pt>
                      <c:pt idx="159">
                        <c:v>108.84621826653972</c:v>
                      </c:pt>
                      <c:pt idx="160">
                        <c:v>108.69454497757192</c:v>
                      </c:pt>
                      <c:pt idx="161">
                        <c:v>108.53756792727063</c:v>
                      </c:pt>
                      <c:pt idx="162">
                        <c:v>108.37871073050813</c:v>
                      </c:pt>
                      <c:pt idx="163">
                        <c:v>108.22162723816879</c:v>
                      </c:pt>
                      <c:pt idx="164">
                        <c:v>108.08594446762689</c:v>
                      </c:pt>
                      <c:pt idx="165">
                        <c:v>107.86943591099957</c:v>
                      </c:pt>
                      <c:pt idx="166">
                        <c:v>107.66604960052091</c:v>
                      </c:pt>
                      <c:pt idx="167">
                        <c:v>107.46577812206165</c:v>
                      </c:pt>
                      <c:pt idx="168">
                        <c:v>107.26095536035173</c:v>
                      </c:pt>
                      <c:pt idx="169">
                        <c:v>107.05859071968024</c:v>
                      </c:pt>
                      <c:pt idx="170">
                        <c:v>106.8732525006513</c:v>
                      </c:pt>
                      <c:pt idx="171">
                        <c:v>106.70327040202346</c:v>
                      </c:pt>
                      <c:pt idx="172">
                        <c:v>106.53789265046834</c:v>
                      </c:pt>
                      <c:pt idx="173">
                        <c:v>106.38629388089139</c:v>
                      </c:pt>
                      <c:pt idx="174">
                        <c:v>106.24911647738547</c:v>
                      </c:pt>
                      <c:pt idx="175">
                        <c:v>106.12040900302593</c:v>
                      </c:pt>
                      <c:pt idx="176">
                        <c:v>106.00588829441922</c:v>
                      </c:pt>
                      <c:pt idx="177">
                        <c:v>105.90044423519424</c:v>
                      </c:pt>
                      <c:pt idx="178">
                        <c:v>105.80546598143283</c:v>
                      </c:pt>
                      <c:pt idx="179">
                        <c:v>105.69317636284818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25B-4838-8BF1-338CD4AF72F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FRES!$AX$4</c15:sqref>
                        </c15:formulaRef>
                      </c:ext>
                    </c:extLst>
                    <c:strCache>
                      <c:ptCount val="1"/>
                      <c:pt idx="0">
                        <c:v>Phase3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FRES!$AX$5:$AX$184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119.84807033432885</c:v>
                      </c:pt>
                      <c:pt idx="1">
                        <c:v>119.83889314163783</c:v>
                      </c:pt>
                      <c:pt idx="2">
                        <c:v>119.8291428995112</c:v>
                      </c:pt>
                      <c:pt idx="3">
                        <c:v>119.81878026024847</c:v>
                      </c:pt>
                      <c:pt idx="4">
                        <c:v>119.80776250538911</c:v>
                      </c:pt>
                      <c:pt idx="5">
                        <c:v>119.79604313876747</c:v>
                      </c:pt>
                      <c:pt idx="6">
                        <c:v>119.78357141235084</c:v>
                      </c:pt>
                      <c:pt idx="7">
                        <c:v>119.77029177134322</c:v>
                      </c:pt>
                      <c:pt idx="8">
                        <c:v>119.75614320193947</c:v>
                      </c:pt>
                      <c:pt idx="9">
                        <c:v>119.74105846121675</c:v>
                      </c:pt>
                      <c:pt idx="10">
                        <c:v>119.72496316372147</c:v>
                      </c:pt>
                      <c:pt idx="11">
                        <c:v>119.70777469303914</c:v>
                      </c:pt>
                      <c:pt idx="12">
                        <c:v>119.68940089861073</c:v>
                      </c:pt>
                      <c:pt idx="13">
                        <c:v>119.67973772147714</c:v>
                      </c:pt>
                      <c:pt idx="14">
                        <c:v>119.66973852772355</c:v>
                      </c:pt>
                      <c:pt idx="15">
                        <c:v>119.6593883651943</c:v>
                      </c:pt>
                      <c:pt idx="16">
                        <c:v>119.6486713292046</c:v>
                      </c:pt>
                      <c:pt idx="17">
                        <c:v>119.63757047942141</c:v>
                      </c:pt>
                      <c:pt idx="18">
                        <c:v>119.62606774784373</c:v>
                      </c:pt>
                      <c:pt idx="19">
                        <c:v>119.61414383677852</c:v>
                      </c:pt>
                      <c:pt idx="20">
                        <c:v>119.60177810555379</c:v>
                      </c:pt>
                      <c:pt idx="21">
                        <c:v>119.58894844452874</c:v>
                      </c:pt>
                      <c:pt idx="22">
                        <c:v>119.57563113475254</c:v>
                      </c:pt>
                      <c:pt idx="23">
                        <c:v>119.56180069137895</c:v>
                      </c:pt>
                      <c:pt idx="24">
                        <c:v>119.54742968865955</c:v>
                      </c:pt>
                      <c:pt idx="25">
                        <c:v>119.53248856400623</c:v>
                      </c:pt>
                      <c:pt idx="26">
                        <c:v>119.51694539822398</c:v>
                      </c:pt>
                      <c:pt idx="27">
                        <c:v>119.50076566855763</c:v>
                      </c:pt>
                      <c:pt idx="28">
                        <c:v>119.48391197065777</c:v>
                      </c:pt>
                      <c:pt idx="29">
                        <c:v>119.46634370493661</c:v>
                      </c:pt>
                      <c:pt idx="30">
                        <c:v>119.44801672203303</c:v>
                      </c:pt>
                      <c:pt idx="31">
                        <c:v>119.42888292121731</c:v>
                      </c:pt>
                      <c:pt idx="32">
                        <c:v>119.4088897945085</c:v>
                      </c:pt>
                      <c:pt idx="33">
                        <c:v>119.38797990802053</c:v>
                      </c:pt>
                      <c:pt idx="34">
                        <c:v>119.36609031055283</c:v>
                      </c:pt>
                      <c:pt idx="35">
                        <c:v>119.34315185764807</c:v>
                      </c:pt>
                      <c:pt idx="36">
                        <c:v>119.31908843719272</c:v>
                      </c:pt>
                      <c:pt idx="37">
                        <c:v>119.29381608006173</c:v>
                      </c:pt>
                      <c:pt idx="38">
                        <c:v>119.26724193621368</c:v>
                      </c:pt>
                      <c:pt idx="39">
                        <c:v>119.23926309292445</c:v>
                      </c:pt>
                      <c:pt idx="40">
                        <c:v>119.20976520736993</c:v>
                      </c:pt>
                      <c:pt idx="41">
                        <c:v>119.17862092038202</c:v>
                      </c:pt>
                      <c:pt idx="42">
                        <c:v>119.14568801172351</c:v>
                      </c:pt>
                      <c:pt idx="43">
                        <c:v>119.11080724945097</c:v>
                      </c:pt>
                      <c:pt idx="44">
                        <c:v>119.07379987662917</c:v>
                      </c:pt>
                      <c:pt idx="45">
                        <c:v>119.03446466758423</c:v>
                      </c:pt>
                      <c:pt idx="46">
                        <c:v>118.99257447280606</c:v>
                      </c:pt>
                      <c:pt idx="47">
                        <c:v>118.94787215636151</c:v>
                      </c:pt>
                      <c:pt idx="48">
                        <c:v>118.90006581223763</c:v>
                      </c:pt>
                      <c:pt idx="49">
                        <c:v>118.84882312667187</c:v>
                      </c:pt>
                      <c:pt idx="50">
                        <c:v>118.79376473309276</c:v>
                      </c:pt>
                      <c:pt idx="51">
                        <c:v>118.73445638665336</c:v>
                      </c:pt>
                      <c:pt idx="52">
                        <c:v>118.67039977014579</c:v>
                      </c:pt>
                      <c:pt idx="53">
                        <c:v>118.60102173902644</c:v>
                      </c:pt>
                      <c:pt idx="54">
                        <c:v>118.525661832152</c:v>
                      </c:pt>
                      <c:pt idx="55">
                        <c:v>118.44355793679465</c:v>
                      </c:pt>
                      <c:pt idx="56">
                        <c:v>118.353830135268</c:v>
                      </c:pt>
                      <c:pt idx="57">
                        <c:v>118.25546303102026</c:v>
                      </c:pt>
                      <c:pt idx="58">
                        <c:v>118.14728734156395</c:v>
                      </c:pt>
                      <c:pt idx="59">
                        <c:v>118.02796238755872</c:v>
                      </c:pt>
                      <c:pt idx="60">
                        <c:v>117.89596249500609</c:v>
                      </c:pt>
                      <c:pt idx="61">
                        <c:v>117.74957251600543</c:v>
                      </c:pt>
                      <c:pt idx="62">
                        <c:v>117.58690094173031</c:v>
                      </c:pt>
                      <c:pt idx="63">
                        <c:v>117.40592359127362</c:v>
                      </c:pt>
                      <c:pt idx="64">
                        <c:v>117.20457630165809</c:v>
                      </c:pt>
                      <c:pt idx="65">
                        <c:v>116.98091991630233</c:v>
                      </c:pt>
                      <c:pt idx="66">
                        <c:v>116.73340134893002</c:v>
                      </c:pt>
                      <c:pt idx="67">
                        <c:v>116.46122339563792</c:v>
                      </c:pt>
                      <c:pt idx="68">
                        <c:v>116.16480360893142</c:v>
                      </c:pt>
                      <c:pt idx="69">
                        <c:v>115.84624323150042</c:v>
                      </c:pt>
                      <c:pt idx="70">
                        <c:v>115.50965363794839</c:v>
                      </c:pt>
                      <c:pt idx="71">
                        <c:v>115.1611454060302</c:v>
                      </c:pt>
                      <c:pt idx="72">
                        <c:v>114.80833981018705</c:v>
                      </c:pt>
                      <c:pt idx="73">
                        <c:v>114.45943946318597</c:v>
                      </c:pt>
                      <c:pt idx="74">
                        <c:v>114.12211262746918</c:v>
                      </c:pt>
                      <c:pt idx="75">
                        <c:v>113.80254911447508</c:v>
                      </c:pt>
                      <c:pt idx="76">
                        <c:v>113.50495025298889</c:v>
                      </c:pt>
                      <c:pt idx="77">
                        <c:v>113.23149927205695</c:v>
                      </c:pt>
                      <c:pt idx="78">
                        <c:v>112.98267718663647</c:v>
                      </c:pt>
                      <c:pt idx="79">
                        <c:v>112.75772922106239</c:v>
                      </c:pt>
                      <c:pt idx="80">
                        <c:v>112.55512627856262</c:v>
                      </c:pt>
                      <c:pt idx="81">
                        <c:v>112.37293935792876</c:v>
                      </c:pt>
                      <c:pt idx="82">
                        <c:v>112.20910521609605</c:v>
                      </c:pt>
                      <c:pt idx="83">
                        <c:v>112.06159505670601</c:v>
                      </c:pt>
                      <c:pt idx="84">
                        <c:v>111.92850984528167</c:v>
                      </c:pt>
                      <c:pt idx="85">
                        <c:v>111.80812569932206</c:v>
                      </c:pt>
                      <c:pt idx="86">
                        <c:v>111.69890801935796</c:v>
                      </c:pt>
                      <c:pt idx="87">
                        <c:v>111.59950756665833</c:v>
                      </c:pt>
                      <c:pt idx="88">
                        <c:v>111.50874713099729</c:v>
                      </c:pt>
                      <c:pt idx="89">
                        <c:v>111.42560411141982</c:v>
                      </c:pt>
                      <c:pt idx="90">
                        <c:v>111.34919210325762</c:v>
                      </c:pt>
                      <c:pt idx="91">
                        <c:v>111.27874316794183</c:v>
                      </c:pt>
                      <c:pt idx="92">
                        <c:v>111.21359160101343</c:v>
                      </c:pt>
                      <c:pt idx="93">
                        <c:v>111.15315951208272</c:v>
                      </c:pt>
                      <c:pt idx="94">
                        <c:v>111.09694425255179</c:v>
                      </c:pt>
                      <c:pt idx="95">
                        <c:v>111.044507583761</c:v>
                      </c:pt>
                      <c:pt idx="96">
                        <c:v>110.99546641373901</c:v>
                      </c:pt>
                      <c:pt idx="97">
                        <c:v>110.94948491048822</c:v>
                      </c:pt>
                      <c:pt idx="98">
                        <c:v>110.90626780308995</c:v>
                      </c:pt>
                      <c:pt idx="99">
                        <c:v>110.86555469678899</c:v>
                      </c:pt>
                      <c:pt idx="100">
                        <c:v>110.82711524775554</c:v>
                      </c:pt>
                      <c:pt idx="101">
                        <c:v>110.7907450636669</c:v>
                      </c:pt>
                      <c:pt idx="102">
                        <c:v>110.7562622156801</c:v>
                      </c:pt>
                      <c:pt idx="103">
                        <c:v>110.72350426489839</c:v>
                      </c:pt>
                      <c:pt idx="104">
                        <c:v>110.69232572177627</c:v>
                      </c:pt>
                      <c:pt idx="105">
                        <c:v>110.66259587007232</c:v>
                      </c:pt>
                      <c:pt idx="106">
                        <c:v>110.63419689811546</c:v>
                      </c:pt>
                      <c:pt idx="107">
                        <c:v>110.6070222895228</c:v>
                      </c:pt>
                      <c:pt idx="108">
                        <c:v>110.58097543334318</c:v>
                      </c:pt>
                      <c:pt idx="109">
                        <c:v>110.55596842012667</c:v>
                      </c:pt>
                      <c:pt idx="110">
                        <c:v>110.53192099584724</c:v>
                      </c:pt>
                      <c:pt idx="111">
                        <c:v>110.50875965011531</c:v>
                      </c:pt>
                      <c:pt idx="112">
                        <c:v>110.4864168188633</c:v>
                      </c:pt>
                      <c:pt idx="113">
                        <c:v>110.46483018480296</c:v>
                      </c:pt>
                      <c:pt idx="114">
                        <c:v>110.44394206154543</c:v>
                      </c:pt>
                      <c:pt idx="115">
                        <c:v>110.42369884943766</c:v>
                      </c:pt>
                      <c:pt idx="116">
                        <c:v>110.40405055297268</c:v>
                      </c:pt>
                      <c:pt idx="117">
                        <c:v>110.38495035114261</c:v>
                      </c:pt>
                      <c:pt idx="118">
                        <c:v>110.36635421336902</c:v>
                      </c:pt>
                      <c:pt idx="119">
                        <c:v>110.34822055471098</c:v>
                      </c:pt>
                      <c:pt idx="120">
                        <c:v>110.33050992494813</c:v>
                      </c:pt>
                      <c:pt idx="121">
                        <c:v>110.31318472689547</c:v>
                      </c:pt>
                      <c:pt idx="122">
                        <c:v>110.29620895995002</c:v>
                      </c:pt>
                      <c:pt idx="123">
                        <c:v>110.27954798541808</c:v>
                      </c:pt>
                      <c:pt idx="124">
                        <c:v>110.26316831064021</c:v>
                      </c:pt>
                      <c:pt idx="125">
                        <c:v>110.24703738933401</c:v>
                      </c:pt>
                      <c:pt idx="126">
                        <c:v>110.23112343592301</c:v>
                      </c:pt>
                      <c:pt idx="127">
                        <c:v>110.21539525192337</c:v>
                      </c:pt>
                      <c:pt idx="128">
                        <c:v>110.19982206272543</c:v>
                      </c:pt>
                      <c:pt idx="129">
                        <c:v>110.18437336334404</c:v>
                      </c:pt>
                      <c:pt idx="130">
                        <c:v>110.16901877192201</c:v>
                      </c:pt>
                      <c:pt idx="131">
                        <c:v>110.15372788996393</c:v>
                      </c:pt>
                      <c:pt idx="132">
                        <c:v>110.13847016845448</c:v>
                      </c:pt>
                      <c:pt idx="133">
                        <c:v>110.12321477918162</c:v>
                      </c:pt>
                      <c:pt idx="134">
                        <c:v>110.10793049074391</c:v>
                      </c:pt>
                      <c:pt idx="135">
                        <c:v>110.09258554887511</c:v>
                      </c:pt>
                      <c:pt idx="136">
                        <c:v>110.07714756087226</c:v>
                      </c:pt>
                      <c:pt idx="137">
                        <c:v>110.06158338406671</c:v>
                      </c:pt>
                      <c:pt idx="138">
                        <c:v>110.04585901843497</c:v>
                      </c:pt>
                      <c:pt idx="139">
                        <c:v>110.02993950360897</c:v>
                      </c:pt>
                      <c:pt idx="140">
                        <c:v>110.01378882071614</c:v>
                      </c:pt>
                      <c:pt idx="141">
                        <c:v>109.9973697996604</c:v>
                      </c:pt>
                      <c:pt idx="142">
                        <c:v>109.98064403264769</c:v>
                      </c:pt>
                      <c:pt idx="143">
                        <c:v>109.96357179496609</c:v>
                      </c:pt>
                      <c:pt idx="144">
                        <c:v>109.94611197425222</c:v>
                      </c:pt>
                      <c:pt idx="145">
                        <c:v>109.92822200971383</c:v>
                      </c:pt>
                      <c:pt idx="146">
                        <c:v>109.90985784303602</c:v>
                      </c:pt>
                      <c:pt idx="147">
                        <c:v>109.89097388297334</c:v>
                      </c:pt>
                      <c:pt idx="148">
                        <c:v>109.88224452129239</c:v>
                      </c:pt>
                      <c:pt idx="149">
                        <c:v>109.82820559998873</c:v>
                      </c:pt>
                      <c:pt idx="150">
                        <c:v>109.76901430434927</c:v>
                      </c:pt>
                      <c:pt idx="151">
                        <c:v>109.70364157417825</c:v>
                      </c:pt>
                      <c:pt idx="152">
                        <c:v>109.63100910850129</c:v>
                      </c:pt>
                      <c:pt idx="153">
                        <c:v>109.55002595075719</c:v>
                      </c:pt>
                      <c:pt idx="154">
                        <c:v>109.45964698858073</c:v>
                      </c:pt>
                      <c:pt idx="155">
                        <c:v>109.35895870336331</c:v>
                      </c:pt>
                      <c:pt idx="156">
                        <c:v>109.24729609368981</c:v>
                      </c:pt>
                      <c:pt idx="157">
                        <c:v>109.12439048856096</c:v>
                      </c:pt>
                      <c:pt idx="158">
                        <c:v>108.99053922248659</c:v>
                      </c:pt>
                      <c:pt idx="159">
                        <c:v>108.84677329611756</c:v>
                      </c:pt>
                      <c:pt idx="160">
                        <c:v>108.6949783137887</c:v>
                      </c:pt>
                      <c:pt idx="161">
                        <c:v>108.53790154164847</c:v>
                      </c:pt>
                      <c:pt idx="162">
                        <c:v>108.37896514078183</c:v>
                      </c:pt>
                      <c:pt idx="163">
                        <c:v>108.22182097240153</c:v>
                      </c:pt>
                      <c:pt idx="164">
                        <c:v>108.08609765919648</c:v>
                      </c:pt>
                      <c:pt idx="165">
                        <c:v>107.86954282007363</c:v>
                      </c:pt>
                      <c:pt idx="166">
                        <c:v>107.66612775955383</c:v>
                      </c:pt>
                      <c:pt idx="167">
                        <c:v>107.46583545354139</c:v>
                      </c:pt>
                      <c:pt idx="168">
                        <c:v>107.26099547428075</c:v>
                      </c:pt>
                      <c:pt idx="169">
                        <c:v>107.05861778078983</c:v>
                      </c:pt>
                      <c:pt idx="170">
                        <c:v>106.87327150451129</c:v>
                      </c:pt>
                      <c:pt idx="171">
                        <c:v>106.70328423500891</c:v>
                      </c:pt>
                      <c:pt idx="172">
                        <c:v>106.53790220392645</c:v>
                      </c:pt>
                      <c:pt idx="173">
                        <c:v>106.38630056456994</c:v>
                      </c:pt>
                      <c:pt idx="174">
                        <c:v>106.2491212744887</c:v>
                      </c:pt>
                      <c:pt idx="175">
                        <c:v>106.12041232009614</c:v>
                      </c:pt>
                      <c:pt idx="176">
                        <c:v>106.00589067094633</c:v>
                      </c:pt>
                      <c:pt idx="177">
                        <c:v>105.900445899003</c:v>
                      </c:pt>
                      <c:pt idx="178">
                        <c:v>105.80546715185359</c:v>
                      </c:pt>
                      <c:pt idx="179">
                        <c:v>105.69317709782699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25B-4838-8BF1-338CD4AF72F1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3"/>
          <c:order val="3"/>
          <c:tx>
            <c:strRef>
              <c:f>FRES!$AY$4</c:f>
              <c:strCache>
                <c:ptCount val="1"/>
                <c:pt idx="0">
                  <c:v>Imp1</c:v>
                </c:pt>
              </c:strCache>
            </c:strRef>
          </c:tx>
          <c:spPr>
            <a:ln w="190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FRES!$C$5:$C$184</c:f>
              <c:numCache>
                <c:formatCode>General</c:formatCode>
                <c:ptCount val="180"/>
                <c:pt idx="0">
                  <c:v>10</c:v>
                </c:pt>
                <c:pt idx="1">
                  <c:v>10.594630943592954</c:v>
                </c:pt>
                <c:pt idx="2">
                  <c:v>11.22462048309373</c:v>
                </c:pt>
                <c:pt idx="3">
                  <c:v>11.89207115002721</c:v>
                </c:pt>
                <c:pt idx="4">
                  <c:v>12.599210498948732</c:v>
                </c:pt>
                <c:pt idx="5">
                  <c:v>13.348398541700345</c:v>
                </c:pt>
                <c:pt idx="6">
                  <c:v>14.142135623730951</c:v>
                </c:pt>
                <c:pt idx="7">
                  <c:v>14.983070768766815</c:v>
                </c:pt>
                <c:pt idx="8">
                  <c:v>15.874010519681994</c:v>
                </c:pt>
                <c:pt idx="9">
                  <c:v>16.81792830507429</c:v>
                </c:pt>
                <c:pt idx="10">
                  <c:v>17.817974362806787</c:v>
                </c:pt>
                <c:pt idx="11">
                  <c:v>18.877486253633869</c:v>
                </c:pt>
                <c:pt idx="12">
                  <c:v>20</c:v>
                </c:pt>
                <c:pt idx="13">
                  <c:v>20.586044732869841</c:v>
                </c:pt>
                <c:pt idx="14">
                  <c:v>21.189261887185907</c:v>
                </c:pt>
                <c:pt idx="15">
                  <c:v>21.810154653305155</c:v>
                </c:pt>
                <c:pt idx="16">
                  <c:v>22.44924096618746</c:v>
                </c:pt>
                <c:pt idx="17">
                  <c:v>23.107053937445457</c:v>
                </c:pt>
                <c:pt idx="18">
                  <c:v>23.78414230005442</c:v>
                </c:pt>
                <c:pt idx="19">
                  <c:v>24.481070866093106</c:v>
                </c:pt>
                <c:pt idx="20">
                  <c:v>25.198420997897465</c:v>
                </c:pt>
                <c:pt idx="21">
                  <c:v>25.936791093020194</c:v>
                </c:pt>
                <c:pt idx="22">
                  <c:v>26.696797083400689</c:v>
                </c:pt>
                <c:pt idx="23">
                  <c:v>27.479072949161782</c:v>
                </c:pt>
                <c:pt idx="24">
                  <c:v>28.284271247461902</c:v>
                </c:pt>
                <c:pt idx="25">
                  <c:v>29.113063656843746</c:v>
                </c:pt>
                <c:pt idx="26">
                  <c:v>29.96614153753363</c:v>
                </c:pt>
                <c:pt idx="27">
                  <c:v>30.844216508158816</c:v>
                </c:pt>
                <c:pt idx="28">
                  <c:v>31.748021039363987</c:v>
                </c:pt>
                <c:pt idx="29">
                  <c:v>32.678309064821995</c:v>
                </c:pt>
                <c:pt idx="30">
                  <c:v>33.635856610148579</c:v>
                </c:pt>
                <c:pt idx="31">
                  <c:v>34.621462440245722</c:v>
                </c:pt>
                <c:pt idx="32">
                  <c:v>35.635948725613574</c:v>
                </c:pt>
                <c:pt idx="33">
                  <c:v>36.680161728186846</c:v>
                </c:pt>
                <c:pt idx="34">
                  <c:v>37.754972507267738</c:v>
                </c:pt>
                <c:pt idx="35">
                  <c:v>38.861277646144231</c:v>
                </c:pt>
                <c:pt idx="36">
                  <c:v>40</c:v>
                </c:pt>
                <c:pt idx="37">
                  <c:v>41.172089465739681</c:v>
                </c:pt>
                <c:pt idx="38">
                  <c:v>42.3785237743718</c:v>
                </c:pt>
                <c:pt idx="39">
                  <c:v>43.620309306610309</c:v>
                </c:pt>
                <c:pt idx="40">
                  <c:v>44.898481932374921</c:v>
                </c:pt>
                <c:pt idx="41">
                  <c:v>46.214107874890914</c:v>
                </c:pt>
                <c:pt idx="42">
                  <c:v>47.568284600108839</c:v>
                </c:pt>
                <c:pt idx="43">
                  <c:v>48.962141732186211</c:v>
                </c:pt>
                <c:pt idx="44">
                  <c:v>50.396841995794915</c:v>
                </c:pt>
                <c:pt idx="45">
                  <c:v>51.873582186040387</c:v>
                </c:pt>
                <c:pt idx="46">
                  <c:v>53.393594166801378</c:v>
                </c:pt>
                <c:pt idx="47">
                  <c:v>54.958145898323558</c:v>
                </c:pt>
                <c:pt idx="48">
                  <c:v>56.568542494923797</c:v>
                </c:pt>
                <c:pt idx="49">
                  <c:v>58.226127313687492</c:v>
                </c:pt>
                <c:pt idx="50">
                  <c:v>59.932283075067254</c:v>
                </c:pt>
                <c:pt idx="51">
                  <c:v>61.688433016317632</c:v>
                </c:pt>
                <c:pt idx="52">
                  <c:v>63.496042078727974</c:v>
                </c:pt>
                <c:pt idx="53">
                  <c:v>65.356618129643977</c:v>
                </c:pt>
                <c:pt idx="54">
                  <c:v>67.271713220297158</c:v>
                </c:pt>
                <c:pt idx="55">
                  <c:v>69.242924880491444</c:v>
                </c:pt>
                <c:pt idx="56">
                  <c:v>71.271897451227133</c:v>
                </c:pt>
                <c:pt idx="57">
                  <c:v>73.360323456373692</c:v>
                </c:pt>
                <c:pt idx="58">
                  <c:v>75.509945014535475</c:v>
                </c:pt>
                <c:pt idx="59">
                  <c:v>77.722555292288462</c:v>
                </c:pt>
                <c:pt idx="60">
                  <c:v>80</c:v>
                </c:pt>
                <c:pt idx="61">
                  <c:v>82.344178931479348</c:v>
                </c:pt>
                <c:pt idx="62">
                  <c:v>84.757047548743628</c:v>
                </c:pt>
                <c:pt idx="63">
                  <c:v>87.240618613220619</c:v>
                </c:pt>
                <c:pt idx="64">
                  <c:v>89.796963864749827</c:v>
                </c:pt>
                <c:pt idx="65">
                  <c:v>92.428215749781856</c:v>
                </c:pt>
                <c:pt idx="66">
                  <c:v>95.136569200217679</c:v>
                </c:pt>
                <c:pt idx="67">
                  <c:v>97.924283464372408</c:v>
                </c:pt>
                <c:pt idx="68">
                  <c:v>100.79368399158987</c:v>
                </c:pt>
                <c:pt idx="69">
                  <c:v>103.74716437208077</c:v>
                </c:pt>
                <c:pt idx="70">
                  <c:v>106.78718833360273</c:v>
                </c:pt>
                <c:pt idx="71">
                  <c:v>109.91629179664714</c:v>
                </c:pt>
                <c:pt idx="72">
                  <c:v>113.13708498984761</c:v>
                </c:pt>
                <c:pt idx="73">
                  <c:v>116.45225462737497</c:v>
                </c:pt>
                <c:pt idx="74">
                  <c:v>119.86456615013454</c:v>
                </c:pt>
                <c:pt idx="75">
                  <c:v>123.37686603263526</c:v>
                </c:pt>
                <c:pt idx="76">
                  <c:v>126.99208415745595</c:v>
                </c:pt>
                <c:pt idx="77">
                  <c:v>130.71323625928798</c:v>
                </c:pt>
                <c:pt idx="78">
                  <c:v>134.54342644059435</c:v>
                </c:pt>
                <c:pt idx="79">
                  <c:v>138.48584976098289</c:v>
                </c:pt>
                <c:pt idx="80">
                  <c:v>142.54379490245429</c:v>
                </c:pt>
                <c:pt idx="81">
                  <c:v>146.72064691274738</c:v>
                </c:pt>
                <c:pt idx="82">
                  <c:v>151.01989002907092</c:v>
                </c:pt>
                <c:pt idx="83">
                  <c:v>155.44511058457698</c:v>
                </c:pt>
                <c:pt idx="84">
                  <c:v>160</c:v>
                </c:pt>
                <c:pt idx="85">
                  <c:v>164.6883578629587</c:v>
                </c:pt>
                <c:pt idx="86">
                  <c:v>169.51409509748726</c:v>
                </c:pt>
                <c:pt idx="87">
                  <c:v>174.48123722644124</c:v>
                </c:pt>
                <c:pt idx="88">
                  <c:v>179.59392772949963</c:v>
                </c:pt>
                <c:pt idx="89">
                  <c:v>184.85643149956371</c:v>
                </c:pt>
                <c:pt idx="90">
                  <c:v>190.27313840043533</c:v>
                </c:pt>
                <c:pt idx="91">
                  <c:v>195.84856692874482</c:v>
                </c:pt>
                <c:pt idx="92">
                  <c:v>201.58736798317972</c:v>
                </c:pt>
                <c:pt idx="93">
                  <c:v>207.49432874416158</c:v>
                </c:pt>
                <c:pt idx="94">
                  <c:v>213.57437666720543</c:v>
                </c:pt>
                <c:pt idx="95">
                  <c:v>219.83258359329429</c:v>
                </c:pt>
                <c:pt idx="96">
                  <c:v>226.27416997969519</c:v>
                </c:pt>
                <c:pt idx="97">
                  <c:v>232.90450925474997</c:v>
                </c:pt>
                <c:pt idx="98">
                  <c:v>239.72913230026904</c:v>
                </c:pt>
                <c:pt idx="99">
                  <c:v>246.75373206527055</c:v>
                </c:pt>
                <c:pt idx="100">
                  <c:v>253.98416831491187</c:v>
                </c:pt>
                <c:pt idx="101">
                  <c:v>261.42647251857591</c:v>
                </c:pt>
                <c:pt idx="102">
                  <c:v>269.08685288118863</c:v>
                </c:pt>
                <c:pt idx="103">
                  <c:v>276.97169952196577</c:v>
                </c:pt>
                <c:pt idx="104">
                  <c:v>285.08758980490859</c:v>
                </c:pt>
                <c:pt idx="105">
                  <c:v>293.44129382549482</c:v>
                </c:pt>
                <c:pt idx="106">
                  <c:v>302.03978005814184</c:v>
                </c:pt>
                <c:pt idx="107">
                  <c:v>310.89022116915385</c:v>
                </c:pt>
                <c:pt idx="108">
                  <c:v>320</c:v>
                </c:pt>
                <c:pt idx="109">
                  <c:v>329.37671572591745</c:v>
                </c:pt>
                <c:pt idx="110">
                  <c:v>339.02819019497434</c:v>
                </c:pt>
                <c:pt idx="111">
                  <c:v>348.9624744528823</c:v>
                </c:pt>
                <c:pt idx="112">
                  <c:v>359.18785545899942</c:v>
                </c:pt>
                <c:pt idx="113">
                  <c:v>369.71286299912731</c:v>
                </c:pt>
                <c:pt idx="114">
                  <c:v>380.54627680087071</c:v>
                </c:pt>
                <c:pt idx="115">
                  <c:v>391.69713385748969</c:v>
                </c:pt>
                <c:pt idx="116">
                  <c:v>403.17473596635926</c:v>
                </c:pt>
                <c:pt idx="117">
                  <c:v>414.98865748832293</c:v>
                </c:pt>
                <c:pt idx="118">
                  <c:v>427.14875333441108</c:v>
                </c:pt>
                <c:pt idx="119">
                  <c:v>439.66516718658846</c:v>
                </c:pt>
                <c:pt idx="120">
                  <c:v>452.54833995939038</c:v>
                </c:pt>
                <c:pt idx="121">
                  <c:v>465.80901850949999</c:v>
                </c:pt>
                <c:pt idx="122">
                  <c:v>479.45826460053797</c:v>
                </c:pt>
                <c:pt idx="123">
                  <c:v>493.50746413054094</c:v>
                </c:pt>
                <c:pt idx="124">
                  <c:v>507.96833662982397</c:v>
                </c:pt>
                <c:pt idx="125">
                  <c:v>522.85294503715193</c:v>
                </c:pt>
                <c:pt idx="126">
                  <c:v>538.17370576237727</c:v>
                </c:pt>
                <c:pt idx="127">
                  <c:v>553.94339904393155</c:v>
                </c:pt>
                <c:pt idx="128">
                  <c:v>570.17517960981695</c:v>
                </c:pt>
                <c:pt idx="129">
                  <c:v>586.88258765098942</c:v>
                </c:pt>
                <c:pt idx="130">
                  <c:v>604.07956011628403</c:v>
                </c:pt>
                <c:pt idx="131">
                  <c:v>621.78044233830735</c:v>
                </c:pt>
                <c:pt idx="132">
                  <c:v>640</c:v>
                </c:pt>
                <c:pt idx="133">
                  <c:v>658.7534314518349</c:v>
                </c:pt>
                <c:pt idx="134">
                  <c:v>678.05638038994869</c:v>
                </c:pt>
                <c:pt idx="135">
                  <c:v>697.92494890576472</c:v>
                </c:pt>
                <c:pt idx="136">
                  <c:v>718.37571091799884</c:v>
                </c:pt>
                <c:pt idx="137">
                  <c:v>739.42572599825439</c:v>
                </c:pt>
                <c:pt idx="138">
                  <c:v>761.09255360174143</c:v>
                </c:pt>
                <c:pt idx="139">
                  <c:v>783.39426771497938</c:v>
                </c:pt>
                <c:pt idx="140">
                  <c:v>806.34947193271853</c:v>
                </c:pt>
                <c:pt idx="141">
                  <c:v>829.97731497664608</c:v>
                </c:pt>
                <c:pt idx="142">
                  <c:v>854.29750666882182</c:v>
                </c:pt>
                <c:pt idx="143">
                  <c:v>879.33033437317658</c:v>
                </c:pt>
                <c:pt idx="144">
                  <c:v>905.09667991878086</c:v>
                </c:pt>
                <c:pt idx="145">
                  <c:v>931.61803701899998</c:v>
                </c:pt>
                <c:pt idx="146">
                  <c:v>958.91652920107595</c:v>
                </c:pt>
                <c:pt idx="147">
                  <c:v>987.01492826108188</c:v>
                </c:pt>
                <c:pt idx="148">
                  <c:v>1000</c:v>
                </c:pt>
                <c:pt idx="149">
                  <c:v>1080.0597388923061</c:v>
                </c:pt>
                <c:pt idx="150">
                  <c:v>1166.5290395761165</c:v>
                </c:pt>
                <c:pt idx="151">
                  <c:v>1259.9210498948732</c:v>
                </c:pt>
                <c:pt idx="152">
                  <c:v>1360.7900001743769</c:v>
                </c:pt>
                <c:pt idx="153">
                  <c:v>1469.7344922755988</c:v>
                </c:pt>
                <c:pt idx="154">
                  <c:v>1587.4010519681995</c:v>
                </c:pt>
                <c:pt idx="155">
                  <c:v>1714.4879657061456</c:v>
                </c:pt>
                <c:pt idx="156">
                  <c:v>1851.7494245745809</c:v>
                </c:pt>
                <c:pt idx="157">
                  <c:v>2000</c:v>
                </c:pt>
                <c:pt idx="158">
                  <c:v>2160.1194777846122</c:v>
                </c:pt>
                <c:pt idx="159">
                  <c:v>2333.0580791522334</c:v>
                </c:pt>
                <c:pt idx="160">
                  <c:v>2519.842099789746</c:v>
                </c:pt>
                <c:pt idx="161">
                  <c:v>2721.5800003487539</c:v>
                </c:pt>
                <c:pt idx="162">
                  <c:v>2939.4689845511975</c:v>
                </c:pt>
                <c:pt idx="163">
                  <c:v>3174.8021039363989</c:v>
                </c:pt>
                <c:pt idx="164">
                  <c:v>3400</c:v>
                </c:pt>
                <c:pt idx="165">
                  <c:v>3816.3709642518684</c:v>
                </c:pt>
                <c:pt idx="166">
                  <c:v>4283.7315696425685</c:v>
                </c:pt>
                <c:pt idx="167">
                  <c:v>4808.3261120685238</c:v>
                </c:pt>
                <c:pt idx="168">
                  <c:v>5397.163576691878</c:v>
                </c:pt>
                <c:pt idx="169">
                  <c:v>6058.1112833543075</c:v>
                </c:pt>
                <c:pt idx="170">
                  <c:v>6800</c:v>
                </c:pt>
                <c:pt idx="171">
                  <c:v>7632.7419285037367</c:v>
                </c:pt>
                <c:pt idx="172">
                  <c:v>8567.463139285137</c:v>
                </c:pt>
                <c:pt idx="173">
                  <c:v>9616.6522241370458</c:v>
                </c:pt>
                <c:pt idx="174">
                  <c:v>10794.327153383756</c:v>
                </c:pt>
                <c:pt idx="175">
                  <c:v>12116.222566708613</c:v>
                </c:pt>
                <c:pt idx="176">
                  <c:v>13600</c:v>
                </c:pt>
                <c:pt idx="177">
                  <c:v>15265.48385700747</c:v>
                </c:pt>
                <c:pt idx="178">
                  <c:v>17134.926278570278</c:v>
                </c:pt>
                <c:pt idx="179">
                  <c:v>20000</c:v>
                </c:pt>
              </c:numCache>
              <c:extLst xmlns:c15="http://schemas.microsoft.com/office/drawing/2012/chart"/>
            </c:numRef>
          </c:xVal>
          <c:yVal>
            <c:numRef>
              <c:f>FRES!$AY$5:$AY$184</c:f>
              <c:numCache>
                <c:formatCode>General</c:formatCode>
                <c:ptCount val="180"/>
                <c:pt idx="0">
                  <c:v>7.3071393509374207</c:v>
                </c:pt>
                <c:pt idx="1">
                  <c:v>7.3210439009183208</c:v>
                </c:pt>
                <c:pt idx="2">
                  <c:v>7.3368637231288476</c:v>
                </c:pt>
                <c:pt idx="3">
                  <c:v>7.3548923245418436</c:v>
                </c:pt>
                <c:pt idx="4">
                  <c:v>7.375476098003781</c:v>
                </c:pt>
                <c:pt idx="5">
                  <c:v>7.3990259171555728</c:v>
                </c:pt>
                <c:pt idx="6">
                  <c:v>7.4260318049046266</c:v>
                </c:pt>
                <c:pt idx="7">
                  <c:v>7.4570816322403797</c:v>
                </c:pt>
                <c:pt idx="8">
                  <c:v>7.4928851449355562</c:v>
                </c:pt>
                <c:pt idx="9">
                  <c:v>7.5343050928300022</c:v>
                </c:pt>
                <c:pt idx="10">
                  <c:v>7.5823979103954979</c:v>
                </c:pt>
                <c:pt idx="11">
                  <c:v>7.6384673576596027</c:v>
                </c:pt>
                <c:pt idx="12">
                  <c:v>7.7041359106799785</c:v>
                </c:pt>
                <c:pt idx="13">
                  <c:v>7.7411869837838108</c:v>
                </c:pt>
                <c:pt idx="14">
                  <c:v>7.7814406899263853</c:v>
                </c:pt>
                <c:pt idx="15">
                  <c:v>7.8252377674075575</c:v>
                </c:pt>
                <c:pt idx="16">
                  <c:v>7.8729636309445388</c:v>
                </c:pt>
                <c:pt idx="17">
                  <c:v>7.9250553504062031</c:v>
                </c:pt>
                <c:pt idx="18">
                  <c:v>7.9820098763554475</c:v>
                </c:pt>
                <c:pt idx="19">
                  <c:v>8.0443937573625508</c:v>
                </c:pt>
                <c:pt idx="20">
                  <c:v>8.1128546443529199</c:v>
                </c:pt>
                <c:pt idx="21">
                  <c:v>8.1881349372421628</c:v>
                </c:pt>
                <c:pt idx="22">
                  <c:v>8.2710879998446689</c:v>
                </c:pt>
                <c:pt idx="23">
                  <c:v>8.3626974509793364</c:v>
                </c:pt>
                <c:pt idx="24">
                  <c:v>8.4641001319642601</c:v>
                </c:pt>
                <c:pt idx="25">
                  <c:v>8.5766134497475122</c:v>
                </c:pt>
                <c:pt idx="26">
                  <c:v>8.7017678921682915</c:v>
                </c:pt>
                <c:pt idx="27">
                  <c:v>8.8413455894097392</c:v>
                </c:pt>
                <c:pt idx="28">
                  <c:v>8.9974258190347509</c:v>
                </c:pt>
                <c:pt idx="29">
                  <c:v>9.1724382568347718</c:v>
                </c:pt>
                <c:pt idx="30">
                  <c:v>9.3692244454156182</c:v>
                </c:pt>
                <c:pt idx="31">
                  <c:v>9.5911071784071886</c:v>
                </c:pt>
                <c:pt idx="32">
                  <c:v>9.8419659115684937</c:v>
                </c:pt>
                <c:pt idx="33">
                  <c:v>10.126313267054032</c:v>
                </c:pt>
                <c:pt idx="34">
                  <c:v>10.449362076007157</c:v>
                </c:pt>
                <c:pt idx="35">
                  <c:v>10.817062305495291</c:v>
                </c:pt>
                <c:pt idx="36">
                  <c:v>11.236069491467708</c:v>
                </c:pt>
                <c:pt idx="37">
                  <c:v>11.713575997031624</c:v>
                </c:pt>
                <c:pt idx="38">
                  <c:v>12.256886474745363</c:v>
                </c:pt>
                <c:pt idx="39">
                  <c:v>12.872541421129906</c:v>
                </c:pt>
                <c:pt idx="40">
                  <c:v>13.564685445497942</c:v>
                </c:pt>
                <c:pt idx="41">
                  <c:v>14.332263964439878</c:v>
                </c:pt>
                <c:pt idx="42">
                  <c:v>15.164614549441772</c:v>
                </c:pt>
                <c:pt idx="43">
                  <c:v>16.035365517289861</c:v>
                </c:pt>
                <c:pt idx="44">
                  <c:v>16.895763389863834</c:v>
                </c:pt>
                <c:pt idx="45">
                  <c:v>17.67106245428872</c:v>
                </c:pt>
                <c:pt idx="46">
                  <c:v>18.26653541801921</c:v>
                </c:pt>
                <c:pt idx="47">
                  <c:v>18.588913768467286</c:v>
                </c:pt>
                <c:pt idx="48">
                  <c:v>18.579348353556231</c:v>
                </c:pt>
                <c:pt idx="49">
                  <c:v>18.239394337453852</c:v>
                </c:pt>
                <c:pt idx="50">
                  <c:v>17.630307156365983</c:v>
                </c:pt>
                <c:pt idx="51">
                  <c:v>16.846217523011301</c:v>
                </c:pt>
                <c:pt idx="52">
                  <c:v>15.981366371249049</c:v>
                </c:pt>
                <c:pt idx="53">
                  <c:v>15.109380338330112</c:v>
                </c:pt>
                <c:pt idx="54">
                  <c:v>14.277862813654739</c:v>
                </c:pt>
                <c:pt idx="55">
                  <c:v>13.512283134016743</c:v>
                </c:pt>
                <c:pt idx="56">
                  <c:v>12.822693434054067</c:v>
                </c:pt>
                <c:pt idx="57">
                  <c:v>12.209774672235493</c:v>
                </c:pt>
                <c:pt idx="58">
                  <c:v>11.669171672069114</c:v>
                </c:pt>
                <c:pt idx="59">
                  <c:v>11.194235831682635</c:v>
                </c:pt>
                <c:pt idx="60">
                  <c:v>10.777614901233781</c:v>
                </c:pt>
                <c:pt idx="61">
                  <c:v>10.412102846468159</c:v>
                </c:pt>
                <c:pt idx="62">
                  <c:v>10.091048420958334</c:v>
                </c:pt>
                <c:pt idx="63">
                  <c:v>9.8085146747639289</c:v>
                </c:pt>
                <c:pt idx="64">
                  <c:v>9.5593053570592215</c:v>
                </c:pt>
                <c:pt idx="65">
                  <c:v>9.3389252092105703</c:v>
                </c:pt>
                <c:pt idx="66">
                  <c:v>9.1435115076479878</c:v>
                </c:pt>
                <c:pt idx="67">
                  <c:v>8.9697569100487549</c:v>
                </c:pt>
                <c:pt idx="68">
                  <c:v>8.8148338120256753</c:v>
                </c:pt>
                <c:pt idx="69">
                  <c:v>8.6763249496471797</c:v>
                </c:pt>
                <c:pt idx="70">
                  <c:v>8.552162024947668</c:v>
                </c:pt>
                <c:pt idx="71">
                  <c:v>8.4405725949943218</c:v>
                </c:pt>
                <c:pt idx="72">
                  <c:v>8.3400347196001068</c:v>
                </c:pt>
                <c:pt idx="73">
                  <c:v>8.2492385486067388</c:v>
                </c:pt>
                <c:pt idx="74">
                  <c:v>8.1670539434944018</c:v>
                </c:pt>
                <c:pt idx="75">
                  <c:v>8.0925032563065962</c:v>
                </c:pt>
                <c:pt idx="76">
                  <c:v>8.0247384690243102</c:v>
                </c:pt>
                <c:pt idx="77">
                  <c:v>7.9630219950415784</c:v>
                </c:pt>
                <c:pt idx="78">
                  <c:v>7.9067105439991021</c:v>
                </c:pt>
                <c:pt idx="79">
                  <c:v>7.8552415436610419</c:v>
                </c:pt>
                <c:pt idx="80">
                  <c:v>7.8081216944197704</c:v>
                </c:pt>
                <c:pt idx="81">
                  <c:v>7.7649173026151548</c:v>
                </c:pt>
                <c:pt idx="82">
                  <c:v>7.7252460986783005</c:v>
                </c:pt>
                <c:pt idx="83">
                  <c:v>7.6887702962389968</c:v>
                </c:pt>
                <c:pt idx="84">
                  <c:v>7.6551906900447451</c:v>
                </c:pt>
                <c:pt idx="85">
                  <c:v>7.6242416250833154</c:v>
                </c:pt>
                <c:pt idx="86">
                  <c:v>7.5956866978366238</c:v>
                </c:pt>
                <c:pt idx="87">
                  <c:v>7.5693150741323141</c:v>
                </c:pt>
                <c:pt idx="88">
                  <c:v>7.5449383274686594</c:v>
                </c:pt>
                <c:pt idx="89">
                  <c:v>7.5223877176965024</c:v>
                </c:pt>
                <c:pt idx="90">
                  <c:v>7.5015118431559946</c:v>
                </c:pt>
                <c:pt idx="91">
                  <c:v>7.4821746102855462</c:v>
                </c:pt>
                <c:pt idx="92">
                  <c:v>7.4642534737581894</c:v>
                </c:pt>
                <c:pt idx="93">
                  <c:v>7.4476379076930668</c:v>
                </c:pt>
                <c:pt idx="94">
                  <c:v>7.4322280747127225</c:v>
                </c:pt>
                <c:pt idx="95">
                  <c:v>7.4179336647954877</c:v>
                </c:pt>
                <c:pt idx="96">
                  <c:v>7.4046728801914554</c:v>
                </c:pt>
                <c:pt idx="97">
                  <c:v>7.3923715462792456</c:v>
                </c:pt>
                <c:pt idx="98">
                  <c:v>7.3809623312637802</c:v>
                </c:pt>
                <c:pt idx="99">
                  <c:v>7.3703840601522739</c:v>
                </c:pt>
                <c:pt idx="100">
                  <c:v>7.3605811105800578</c:v>
                </c:pt>
                <c:pt idx="101">
                  <c:v>7.3515028798566</c:v>
                </c:pt>
                <c:pt idx="102">
                  <c:v>7.3431033141230744</c:v>
                </c:pt>
                <c:pt idx="103">
                  <c:v>7.3353404917992187</c:v>
                </c:pt>
                <c:pt idx="104">
                  <c:v>7.3281762545903728</c:v>
                </c:pt>
                <c:pt idx="105">
                  <c:v>7.3215758802539144</c:v>
                </c:pt>
                <c:pt idx="106">
                  <c:v>7.3155077921166418</c:v>
                </c:pt>
                <c:pt idx="107">
                  <c:v>7.309943301010394</c:v>
                </c:pt>
                <c:pt idx="108">
                  <c:v>7.3048563758721556</c:v>
                </c:pt>
                <c:pt idx="109">
                  <c:v>7.3002234397512868</c:v>
                </c:pt>
                <c:pt idx="110">
                  <c:v>7.2960231883928559</c:v>
                </c:pt>
                <c:pt idx="111">
                  <c:v>7.2922364289336867</c:v>
                </c:pt>
                <c:pt idx="112">
                  <c:v>7.2888459365643889</c:v>
                </c:pt>
                <c:pt idx="113">
                  <c:v>7.2858363272850335</c:v>
                </c:pt>
                <c:pt idx="114">
                  <c:v>7.2831939451192165</c:v>
                </c:pt>
                <c:pt idx="115">
                  <c:v>7.2809067623578674</c:v>
                </c:pt>
                <c:pt idx="116">
                  <c:v>7.2789642915828718</c:v>
                </c:pt>
                <c:pt idx="117">
                  <c:v>7.2773575083773645</c:v>
                </c:pt>
                <c:pt idx="118">
                  <c:v>7.2760787837655725</c:v>
                </c:pt>
                <c:pt idx="119">
                  <c:v>7.2751218255448666</c:v>
                </c:pt>
                <c:pt idx="120">
                  <c:v>7.2744816277769546</c:v>
                </c:pt>
                <c:pt idx="121">
                  <c:v>7.274154427797348</c:v>
                </c:pt>
                <c:pt idx="122">
                  <c:v>7.2741376701829967</c:v>
                </c:pt>
                <c:pt idx="123">
                  <c:v>7.274429977189337</c:v>
                </c:pt>
                <c:pt idx="124">
                  <c:v>7.2750311252309157</c:v>
                </c:pt>
                <c:pt idx="125">
                  <c:v>7.2759420270354411</c:v>
                </c:pt>
                <c:pt idx="126">
                  <c:v>7.2771647191506315</c:v>
                </c:pt>
                <c:pt idx="127">
                  <c:v>7.2787023545265574</c:v>
                </c:pt>
                <c:pt idx="128">
                  <c:v>7.2805591999355501</c:v>
                </c:pt>
                <c:pt idx="129">
                  <c:v>7.2827406380258406</c:v>
                </c:pt>
                <c:pt idx="130">
                  <c:v>7.2852531738358728</c:v>
                </c:pt>
                <c:pt idx="131">
                  <c:v>7.2881044456235502</c:v>
                </c:pt>
                <c:pt idx="132">
                  <c:v>7.2913032398885385</c:v>
                </c:pt>
                <c:pt idx="133">
                  <c:v>7.2948595104874814</c:v>
                </c:pt>
                <c:pt idx="134">
                  <c:v>7.298784401760253</c:v>
                </c:pt>
                <c:pt idx="135">
                  <c:v>7.3030902756024405</c:v>
                </c:pt>
                <c:pt idx="136">
                  <c:v>7.3077907424330872</c:v>
                </c:pt>
                <c:pt idx="137">
                  <c:v>7.3129006960191605</c:v>
                </c:pt>
                <c:pt idx="138">
                  <c:v>7.3184363521288311</c:v>
                </c:pt>
                <c:pt idx="139">
                  <c:v>7.324415290993799</c:v>
                </c:pt>
                <c:pt idx="140">
                  <c:v>7.3308565035680697</c:v>
                </c:pt>
                <c:pt idx="141">
                  <c:v>7.3377804415753758</c:v>
                </c:pt>
                <c:pt idx="142">
                  <c:v>7.3452090713411806</c:v>
                </c:pt>
                <c:pt idx="143">
                  <c:v>7.3531659314063855</c:v>
                </c:pt>
                <c:pt idx="144">
                  <c:v>7.361676193920526</c:v>
                </c:pt>
                <c:pt idx="145">
                  <c:v>7.3707667298097848</c:v>
                </c:pt>
                <c:pt idx="146">
                  <c:v>7.3804661777123259</c:v>
                </c:pt>
                <c:pt idx="147">
                  <c:v>7.3908050166674508</c:v>
                </c:pt>
                <c:pt idx="148">
                  <c:v>7.3957026269049901</c:v>
                </c:pt>
                <c:pt idx="149">
                  <c:v>7.4275286073313245</c:v>
                </c:pt>
                <c:pt idx="150">
                  <c:v>7.4649525027945804</c:v>
                </c:pt>
                <c:pt idx="151">
                  <c:v>7.5087937939556317</c:v>
                </c:pt>
                <c:pt idx="152">
                  <c:v>7.5600000611399816</c:v>
                </c:pt>
                <c:pt idx="153">
                  <c:v>7.6196611853942962</c:v>
                </c:pt>
                <c:pt idx="154">
                  <c:v>7.6890243760812229</c:v>
                </c:pt>
                <c:pt idx="155">
                  <c:v>7.7695096238489176</c:v>
                </c:pt>
                <c:pt idx="156">
                  <c:v>7.8627249487732644</c:v>
                </c:pt>
                <c:pt idx="157">
                  <c:v>7.9704804978115389</c:v>
                </c:pt>
                <c:pt idx="158">
                  <c:v>8.0948001710307302</c:v>
                </c:pt>
                <c:pt idx="159">
                  <c:v>8.2379291389382363</c:v>
                </c:pt>
                <c:pt idx="160">
                  <c:v>8.4023356020670317</c:v>
                </c:pt>
                <c:pt idx="161">
                  <c:v>8.5907057825669177</c:v>
                </c:pt>
                <c:pt idx="162">
                  <c:v>8.8059326559386513</c:v>
                </c:pt>
                <c:pt idx="163">
                  <c:v>9.0511010887598253</c:v>
                </c:pt>
                <c:pt idx="164">
                  <c:v>9.2970684513731818</c:v>
                </c:pt>
                <c:pt idx="165">
                  <c:v>9.7779759521879299</c:v>
                </c:pt>
                <c:pt idx="166">
                  <c:v>10.352748879637964</c:v>
                </c:pt>
                <c:pt idx="167">
                  <c:v>11.034641427049429</c:v>
                </c:pt>
                <c:pt idx="168">
                  <c:v>11.83808685612928</c:v>
                </c:pt>
                <c:pt idx="169">
                  <c:v>12.778804331963709</c:v>
                </c:pt>
                <c:pt idx="170">
                  <c:v>13.873738297571562</c:v>
                </c:pt>
                <c:pt idx="171">
                  <c:v>15.141085336319343</c:v>
                </c:pt>
                <c:pt idx="172">
                  <c:v>16.600696853006546</c:v>
                </c:pt>
                <c:pt idx="173">
                  <c:v>18.274532171106404</c:v>
                </c:pt>
                <c:pt idx="174">
                  <c:v>20.186847251864211</c:v>
                </c:pt>
                <c:pt idx="175">
                  <c:v>22.364640158277915</c:v>
                </c:pt>
                <c:pt idx="176">
                  <c:v>24.83814104098273</c:v>
                </c:pt>
                <c:pt idx="177">
                  <c:v>27.641225191571575</c:v>
                </c:pt>
                <c:pt idx="178">
                  <c:v>30.811970600211431</c:v>
                </c:pt>
                <c:pt idx="179">
                  <c:v>35.706219522617019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5B-4838-8BF1-338CD4AF7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863344"/>
        <c:axId val="59086177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FRES!$AT$4</c15:sqref>
                        </c15:formulaRef>
                      </c:ext>
                    </c:extLst>
                    <c:strCache>
                      <c:ptCount val="1"/>
                      <c:pt idx="0">
                        <c:v>Phase2</c:v>
                      </c:pt>
                    </c:strCache>
                  </c:strRef>
                </c:tx>
                <c:spPr>
                  <a:ln w="19050">
                    <a:solidFill>
                      <a:sysClr val="windowText" lastClr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FRES!$AZ$5:$AZ$184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7.2266623178939353</c:v>
                      </c:pt>
                      <c:pt idx="1">
                        <c:v>7.2300349480247492</c:v>
                      </c:pt>
                      <c:pt idx="2">
                        <c:v>7.2338492641673922</c:v>
                      </c:pt>
                      <c:pt idx="3">
                        <c:v>7.2381671138988279</c:v>
                      </c:pt>
                      <c:pt idx="4">
                        <c:v>7.2430600665139409</c:v>
                      </c:pt>
                      <c:pt idx="5">
                        <c:v>7.2486112187959515</c:v>
                      </c:pt>
                      <c:pt idx="6">
                        <c:v>7.2549174070242577</c:v>
                      </c:pt>
                      <c:pt idx="7">
                        <c:v>7.2620919344919708</c:v>
                      </c:pt>
                      <c:pt idx="8">
                        <c:v>7.2702679580012921</c:v>
                      </c:pt>
                      <c:pt idx="9">
                        <c:v>7.279602723205576</c:v>
                      </c:pt>
                      <c:pt idx="10">
                        <c:v>7.2902829021910591</c:v>
                      </c:pt>
                      <c:pt idx="11">
                        <c:v>7.3025313744794333</c:v>
                      </c:pt>
                      <c:pt idx="12">
                        <c:v>7.3166159151676311</c:v>
                      </c:pt>
                      <c:pt idx="13">
                        <c:v>7.3244453656623936</c:v>
                      </c:pt>
                      <c:pt idx="14">
                        <c:v>7.3328604267748556</c:v>
                      </c:pt>
                      <c:pt idx="15">
                        <c:v>7.341912757118763</c:v>
                      </c:pt>
                      <c:pt idx="16">
                        <c:v>7.3516595979470356</c:v>
                      </c:pt>
                      <c:pt idx="17">
                        <c:v>7.3621645103506523</c:v>
                      </c:pt>
                      <c:pt idx="18">
                        <c:v>7.3734982281294306</c:v>
                      </c:pt>
                      <c:pt idx="19">
                        <c:v>7.3857396473201149</c:v>
                      </c:pt>
                      <c:pt idx="20">
                        <c:v>7.3989769776875125</c:v>
                      </c:pt>
                      <c:pt idx="21">
                        <c:v>7.4133090868011449</c:v>
                      </c:pt>
                      <c:pt idx="22">
                        <c:v>7.4288470738875603</c:v>
                      </c:pt>
                      <c:pt idx="23">
                        <c:v>7.4457161187908181</c:v>
                      </c:pt>
                      <c:pt idx="24">
                        <c:v>7.4640576615109051</c:v>
                      </c:pt>
                      <c:pt idx="25">
                        <c:v>7.4840319804584974</c:v>
                      </c:pt>
                      <c:pt idx="26">
                        <c:v>7.5058212534644593</c:v>
                      </c:pt>
                      <c:pt idx="27">
                        <c:v>7.5296332056189375</c:v>
                      </c:pt>
                      <c:pt idx="28">
                        <c:v>7.5557054733729618</c:v>
                      </c:pt>
                      <c:pt idx="29">
                        <c:v>7.5843108465634339</c:v>
                      </c:pt>
                      <c:pt idx="30">
                        <c:v>7.6157635911576618</c:v>
                      </c:pt>
                      <c:pt idx="31">
                        <c:v>7.6504271082400299</c:v>
                      </c:pt>
                      <c:pt idx="32">
                        <c:v>7.6887232526277964</c:v>
                      </c:pt>
                      <c:pt idx="33">
                        <c:v>7.7311437222002279</c:v>
                      </c:pt>
                      <c:pt idx="34">
                        <c:v>7.7782640427754606</c:v>
                      </c:pt>
                      <c:pt idx="35">
                        <c:v>7.8307608214025732</c:v>
                      </c:pt>
                      <c:pt idx="36">
                        <c:v>7.8894331341126307</c:v>
                      </c:pt>
                      <c:pt idx="37">
                        <c:v>7.9552291667169115</c:v>
                      </c:pt>
                      <c:pt idx="38">
                        <c:v>8.029279557560093</c:v>
                      </c:pt>
                      <c:pt idx="39">
                        <c:v>8.1129393225161834</c:v>
                      </c:pt>
                      <c:pt idx="40">
                        <c:v>8.207840803254502</c:v>
                      </c:pt>
                      <c:pt idx="41">
                        <c:v>8.315960801693052</c:v>
                      </c:pt>
                      <c:pt idx="42">
                        <c:v>8.4397059763077493</c:v>
                      </c:pt>
                      <c:pt idx="43">
                        <c:v>8.5820216923140471</c:v>
                      </c:pt>
                      <c:pt idx="44">
                        <c:v>8.7465307978425226</c:v>
                      </c:pt>
                      <c:pt idx="45">
                        <c:v>8.9377100688343507</c:v>
                      </c:pt>
                      <c:pt idx="46">
                        <c:v>9.1611128407978075</c:v>
                      </c:pt>
                      <c:pt idx="47">
                        <c:v>9.4236454365102134</c:v>
                      </c:pt>
                      <c:pt idx="48">
                        <c:v>9.7338996644333982</c:v>
                      </c:pt>
                      <c:pt idx="49">
                        <c:v>10.102527789128208</c:v>
                      </c:pt>
                      <c:pt idx="50">
                        <c:v>10.542606628008471</c:v>
                      </c:pt>
                      <c:pt idx="51">
                        <c:v>11.069845432143028</c:v>
                      </c:pt>
                      <c:pt idx="52">
                        <c:v>11.702290011971643</c:v>
                      </c:pt>
                      <c:pt idx="53">
                        <c:v>12.458754676754582</c:v>
                      </c:pt>
                      <c:pt idx="54">
                        <c:v>13.354411762960069</c:v>
                      </c:pt>
                      <c:pt idx="55">
                        <c:v>14.390714046081321</c:v>
                      </c:pt>
                      <c:pt idx="56">
                        <c:v>15.535876305135863</c:v>
                      </c:pt>
                      <c:pt idx="57">
                        <c:v>16.695254449239453</c:v>
                      </c:pt>
                      <c:pt idx="58">
                        <c:v>17.686974479334069</c:v>
                      </c:pt>
                      <c:pt idx="59">
                        <c:v>18.268398117742731</c:v>
                      </c:pt>
                      <c:pt idx="60">
                        <c:v>18.253176488575622</c:v>
                      </c:pt>
                      <c:pt idx="61">
                        <c:v>17.645676726655193</c:v>
                      </c:pt>
                      <c:pt idx="62">
                        <c:v>16.63764348481244</c:v>
                      </c:pt>
                      <c:pt idx="63">
                        <c:v>15.471350191856361</c:v>
                      </c:pt>
                      <c:pt idx="64">
                        <c:v>14.325496321384367</c:v>
                      </c:pt>
                      <c:pt idx="65">
                        <c:v>13.291715948017705</c:v>
                      </c:pt>
                      <c:pt idx="66">
                        <c:v>12.399878389471965</c:v>
                      </c:pt>
                      <c:pt idx="67">
                        <c:v>11.64753225391425</c:v>
                      </c:pt>
                      <c:pt idx="68">
                        <c:v>11.019053989652447</c:v>
                      </c:pt>
                      <c:pt idx="69">
                        <c:v>10.495458356338112</c:v>
                      </c:pt>
                      <c:pt idx="70">
                        <c:v>10.058659144140385</c:v>
                      </c:pt>
                      <c:pt idx="71">
                        <c:v>9.6929621750588346</c:v>
                      </c:pt>
                      <c:pt idx="72">
                        <c:v>9.3853259200959904</c:v>
                      </c:pt>
                      <c:pt idx="73">
                        <c:v>9.1251379507790933</c:v>
                      </c:pt>
                      <c:pt idx="74">
                        <c:v>8.9038443979630415</c:v>
                      </c:pt>
                      <c:pt idx="75">
                        <c:v>8.7145727297022635</c:v>
                      </c:pt>
                      <c:pt idx="76">
                        <c:v>8.5517988244607412</c:v>
                      </c:pt>
                      <c:pt idx="77">
                        <c:v>8.4110708470241402</c:v>
                      </c:pt>
                      <c:pt idx="78">
                        <c:v>8.2887871629365204</c:v>
                      </c:pt>
                      <c:pt idx="79">
                        <c:v>8.182020472603142</c:v>
                      </c:pt>
                      <c:pt idx="80">
                        <c:v>8.0883795649740993</c:v>
                      </c:pt>
                      <c:pt idx="81">
                        <c:v>8.0059009230164229</c:v>
                      </c:pt>
                      <c:pt idx="82">
                        <c:v>7.9329637078094741</c:v>
                      </c:pt>
                      <c:pt idx="83">
                        <c:v>7.8682229372568644</c:v>
                      </c:pt>
                      <c:pt idx="84">
                        <c:v>7.8105567941971534</c:v>
                      </c:pt>
                      <c:pt idx="85">
                        <c:v>7.7590249111507505</c:v>
                      </c:pt>
                      <c:pt idx="86">
                        <c:v>7.712835199552055</c:v>
                      </c:pt>
                      <c:pt idx="87">
                        <c:v>7.6713173505654062</c:v>
                      </c:pt>
                      <c:pt idx="88">
                        <c:v>7.6339015645712545</c:v>
                      </c:pt>
                      <c:pt idx="89">
                        <c:v>7.6001013955375036</c:v>
                      </c:pt>
                      <c:pt idx="90">
                        <c:v>7.569499848059146</c:v>
                      </c:pt>
                      <c:pt idx="91">
                        <c:v>7.5417380572432471</c:v>
                      </c:pt>
                      <c:pt idx="92">
                        <c:v>7.5165060290303991</c:v>
                      </c:pt>
                      <c:pt idx="93">
                        <c:v>7.4935350318055587</c:v>
                      </c:pt>
                      <c:pt idx="94">
                        <c:v>7.4725913174655672</c:v>
                      </c:pt>
                      <c:pt idx="95">
                        <c:v>7.4534709176730489</c:v>
                      </c:pt>
                      <c:pt idx="96">
                        <c:v>7.4359953135153942</c:v>
                      </c:pt>
                      <c:pt idx="97">
                        <c:v>7.4200078177347493</c:v>
                      </c:pt>
                      <c:pt idx="98">
                        <c:v>7.4053705407742738</c:v>
                      </c:pt>
                      <c:pt idx="99">
                        <c:v>7.3919618371248186</c:v>
                      </c:pt>
                      <c:pt idx="100">
                        <c:v>7.3796741483983448</c:v>
                      </c:pt>
                      <c:pt idx="101">
                        <c:v>7.3684121753778191</c:v>
                      </c:pt>
                      <c:pt idx="102">
                        <c:v>7.3580913239014452</c:v>
                      </c:pt>
                      <c:pt idx="103">
                        <c:v>7.3486363795258738</c:v>
                      </c:pt>
                      <c:pt idx="104">
                        <c:v>7.3399803740165295</c:v>
                      </c:pt>
                      <c:pt idx="105">
                        <c:v>7.3320636132473878</c:v>
                      </c:pt>
                      <c:pt idx="106">
                        <c:v>7.3248328413832864</c:v>
                      </c:pt>
                      <c:pt idx="107">
                        <c:v>7.3182405205168992</c:v>
                      </c:pt>
                      <c:pt idx="108">
                        <c:v>7.3122442084387727</c:v>
                      </c:pt>
                      <c:pt idx="109">
                        <c:v>7.306806020089506</c:v>
                      </c:pt>
                      <c:pt idx="110">
                        <c:v>7.3018921606001097</c:v>
                      </c:pt>
                      <c:pt idx="111">
                        <c:v>7.2974725197705297</c:v>
                      </c:pt>
                      <c:pt idx="112">
                        <c:v>7.2935203194425808</c:v>
                      </c:pt>
                      <c:pt idx="113">
                        <c:v>7.2900118065571782</c:v>
                      </c:pt>
                      <c:pt idx="114">
                        <c:v>7.2869259857949524</c:v>
                      </c:pt>
                      <c:pt idx="115">
                        <c:v>7.2842443866258231</c:v>
                      </c:pt>
                      <c:pt idx="116">
                        <c:v>7.2819508603685987</c:v>
                      </c:pt>
                      <c:pt idx="117">
                        <c:v>7.2800314035128899</c:v>
                      </c:pt>
                      <c:pt idx="118">
                        <c:v>7.2784740041045408</c:v>
                      </c:pt>
                      <c:pt idx="119">
                        <c:v>7.2772685084586852</c:v>
                      </c:pt>
                      <c:pt idx="120">
                        <c:v>7.276406505857115</c:v>
                      </c:pt>
                      <c:pt idx="121">
                        <c:v>7.2758812292199151</c:v>
                      </c:pt>
                      <c:pt idx="122">
                        <c:v>7.2756874700247192</c:v>
                      </c:pt>
                      <c:pt idx="123">
                        <c:v>7.2758215059893852</c:v>
                      </c:pt>
                      <c:pt idx="124">
                        <c:v>7.2762810402408888</c:v>
                      </c:pt>
                      <c:pt idx="125">
                        <c:v>7.277065150870901</c:v>
                      </c:pt>
                      <c:pt idx="126">
                        <c:v>7.2781742499314683</c:v>
                      </c:pt>
                      <c:pt idx="127">
                        <c:v>7.2796100510556991</c:v>
                      </c:pt>
                      <c:pt idx="128">
                        <c:v>7.2813755450019348</c:v>
                      </c:pt>
                      <c:pt idx="129">
                        <c:v>7.2834749825183209</c:v>
                      </c:pt>
                      <c:pt idx="130">
                        <c:v>7.285913864009693</c:v>
                      </c:pt>
                      <c:pt idx="131">
                        <c:v>7.2886989355624028</c:v>
                      </c:pt>
                      <c:pt idx="132">
                        <c:v>7.2918381909472254</c:v>
                      </c:pt>
                      <c:pt idx="133">
                        <c:v>7.2953408792753791</c:v>
                      </c:pt>
                      <c:pt idx="134">
                        <c:v>7.2992175180319148</c:v>
                      </c:pt>
                      <c:pt idx="135">
                        <c:v>7.3034799112517828</c:v>
                      </c:pt>
                      <c:pt idx="136">
                        <c:v>7.3081411726406484</c:v>
                      </c:pt>
                      <c:pt idx="137">
                        <c:v>7.3132157534736155</c:v>
                      </c:pt>
                      <c:pt idx="138">
                        <c:v>7.3187194751315063</c:v>
                      </c:pt>
                      <c:pt idx="139">
                        <c:v>7.3246695661577368</c:v>
                      </c:pt>
                      <c:pt idx="140">
                        <c:v>7.3310847037371554</c:v>
                      </c:pt>
                      <c:pt idx="141">
                        <c:v>7.3379850595145886</c:v>
                      </c:pt>
                      <c:pt idx="142">
                        <c:v>7.3453923496832729</c:v>
                      </c:pt>
                      <c:pt idx="143">
                        <c:v>7.3533298892830627</c:v>
                      </c:pt>
                      <c:pt idx="144">
                        <c:v>7.3618226506555704</c:v>
                      </c:pt>
                      <c:pt idx="145">
                        <c:v>7.3708973260076158</c:v>
                      </c:pt>
                      <c:pt idx="146">
                        <c:v>7.3805823940363631</c:v>
                      </c:pt>
                      <c:pt idx="147">
                        <c:v>7.3909081905686582</c:v>
                      </c:pt>
                      <c:pt idx="148">
                        <c:v>7.3958003030817157</c:v>
                      </c:pt>
                      <c:pt idx="149">
                        <c:v>7.4275983601828726</c:v>
                      </c:pt>
                      <c:pt idx="150">
                        <c:v>7.465000680991082</c:v>
                      </c:pt>
                      <c:pt idx="151">
                        <c:v>7.5088253096512307</c:v>
                      </c:pt>
                      <c:pt idx="152">
                        <c:v>7.5600187439655642</c:v>
                      </c:pt>
                      <c:pt idx="153">
                        <c:v>7.6196700457626951</c:v>
                      </c:pt>
                      <c:pt idx="154">
                        <c:v>7.6890258018540276</c:v>
                      </c:pt>
                      <c:pt idx="155">
                        <c:v>7.7695055277353617</c:v>
                      </c:pt>
                      <c:pt idx="156">
                        <c:v>7.8627168788111232</c:v>
                      </c:pt>
                      <c:pt idx="157">
                        <c:v>7.97046971944983</c:v>
                      </c:pt>
                      <c:pt idx="158">
                        <c:v>8.0947877264690522</c:v>
                      </c:pt>
                      <c:pt idx="159">
                        <c:v>8.2379158874826039</c:v>
                      </c:pt>
                      <c:pt idx="160">
                        <c:v>8.4023222445062693</c:v>
                      </c:pt>
                      <c:pt idx="161">
                        <c:v>8.5906928730662599</c:v>
                      </c:pt>
                      <c:pt idx="162">
                        <c:v>8.8059206063714033</c:v>
                      </c:pt>
                      <c:pt idx="163">
                        <c:v>9.0510901717447982</c:v>
                      </c:pt>
                      <c:pt idx="164">
                        <c:v>9.2970586646236075</c:v>
                      </c:pt>
                      <c:pt idx="165">
                        <c:v>9.7779681031581998</c:v>
                      </c:pt>
                      <c:pt idx="166">
                        <c:v>10.352742775250297</c:v>
                      </c:pt>
                      <c:pt idx="167">
                        <c:v>11.034636747098402</c:v>
                      </c:pt>
                      <c:pt idx="168">
                        <c:v>11.838083289876936</c:v>
                      </c:pt>
                      <c:pt idx="169">
                        <c:v>12.778801640424751</c:v>
                      </c:pt>
                      <c:pt idx="170">
                        <c:v>13.873736296707321</c:v>
                      </c:pt>
                      <c:pt idx="171">
                        <c:v>15.141083864833604</c:v>
                      </c:pt>
                      <c:pt idx="172">
                        <c:v>16.600695775506924</c:v>
                      </c:pt>
                      <c:pt idx="173">
                        <c:v>18.274531387661682</c:v>
                      </c:pt>
                      <c:pt idx="174">
                        <c:v>20.18684668560136</c:v>
                      </c:pt>
                      <c:pt idx="175">
                        <c:v>22.364639750332895</c:v>
                      </c:pt>
                      <c:pt idx="176">
                        <c:v>24.838140748346657</c:v>
                      </c:pt>
                      <c:pt idx="177">
                        <c:v>27.641224982165504</c:v>
                      </c:pt>
                      <c:pt idx="178">
                        <c:v>30.811970450726701</c:v>
                      </c:pt>
                      <c:pt idx="179">
                        <c:v>35.706219427689454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25B-4838-8BF1-338CD4AF72F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FRES!$AU$4</c15:sqref>
                        </c15:formulaRef>
                      </c:ext>
                    </c:extLst>
                    <c:strCache>
                      <c:ptCount val="1"/>
                      <c:pt idx="0">
                        <c:v>Phase3</c:v>
                      </c:pt>
                    </c:strCache>
                  </c:strRef>
                </c:tx>
                <c:spPr>
                  <a:ln w="15875">
                    <a:solidFill>
                      <a:srgbClr val="FF0000">
                        <a:alpha val="81000"/>
                      </a:srgbClr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FRES!$C$5:$C$184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10</c:v>
                      </c:pt>
                      <c:pt idx="1">
                        <c:v>10.594630943592954</c:v>
                      </c:pt>
                      <c:pt idx="2">
                        <c:v>11.22462048309373</c:v>
                      </c:pt>
                      <c:pt idx="3">
                        <c:v>11.89207115002721</c:v>
                      </c:pt>
                      <c:pt idx="4">
                        <c:v>12.599210498948732</c:v>
                      </c:pt>
                      <c:pt idx="5">
                        <c:v>13.348398541700345</c:v>
                      </c:pt>
                      <c:pt idx="6">
                        <c:v>14.142135623730951</c:v>
                      </c:pt>
                      <c:pt idx="7">
                        <c:v>14.983070768766815</c:v>
                      </c:pt>
                      <c:pt idx="8">
                        <c:v>15.874010519681994</c:v>
                      </c:pt>
                      <c:pt idx="9">
                        <c:v>16.81792830507429</c:v>
                      </c:pt>
                      <c:pt idx="10">
                        <c:v>17.817974362806787</c:v>
                      </c:pt>
                      <c:pt idx="11">
                        <c:v>18.877486253633869</c:v>
                      </c:pt>
                      <c:pt idx="12">
                        <c:v>20</c:v>
                      </c:pt>
                      <c:pt idx="13">
                        <c:v>20.586044732869841</c:v>
                      </c:pt>
                      <c:pt idx="14">
                        <c:v>21.189261887185907</c:v>
                      </c:pt>
                      <c:pt idx="15">
                        <c:v>21.810154653305155</c:v>
                      </c:pt>
                      <c:pt idx="16">
                        <c:v>22.44924096618746</c:v>
                      </c:pt>
                      <c:pt idx="17">
                        <c:v>23.107053937445457</c:v>
                      </c:pt>
                      <c:pt idx="18">
                        <c:v>23.78414230005442</c:v>
                      </c:pt>
                      <c:pt idx="19">
                        <c:v>24.481070866093106</c:v>
                      </c:pt>
                      <c:pt idx="20">
                        <c:v>25.198420997897465</c:v>
                      </c:pt>
                      <c:pt idx="21">
                        <c:v>25.936791093020194</c:v>
                      </c:pt>
                      <c:pt idx="22">
                        <c:v>26.696797083400689</c:v>
                      </c:pt>
                      <c:pt idx="23">
                        <c:v>27.479072949161782</c:v>
                      </c:pt>
                      <c:pt idx="24">
                        <c:v>28.284271247461902</c:v>
                      </c:pt>
                      <c:pt idx="25">
                        <c:v>29.113063656843746</c:v>
                      </c:pt>
                      <c:pt idx="26">
                        <c:v>29.96614153753363</c:v>
                      </c:pt>
                      <c:pt idx="27">
                        <c:v>30.844216508158816</c:v>
                      </c:pt>
                      <c:pt idx="28">
                        <c:v>31.748021039363987</c:v>
                      </c:pt>
                      <c:pt idx="29">
                        <c:v>32.678309064821995</c:v>
                      </c:pt>
                      <c:pt idx="30">
                        <c:v>33.635856610148579</c:v>
                      </c:pt>
                      <c:pt idx="31">
                        <c:v>34.621462440245722</c:v>
                      </c:pt>
                      <c:pt idx="32">
                        <c:v>35.635948725613574</c:v>
                      </c:pt>
                      <c:pt idx="33">
                        <c:v>36.680161728186846</c:v>
                      </c:pt>
                      <c:pt idx="34">
                        <c:v>37.754972507267738</c:v>
                      </c:pt>
                      <c:pt idx="35">
                        <c:v>38.861277646144231</c:v>
                      </c:pt>
                      <c:pt idx="36">
                        <c:v>40</c:v>
                      </c:pt>
                      <c:pt idx="37">
                        <c:v>41.172089465739681</c:v>
                      </c:pt>
                      <c:pt idx="38">
                        <c:v>42.3785237743718</c:v>
                      </c:pt>
                      <c:pt idx="39">
                        <c:v>43.620309306610309</c:v>
                      </c:pt>
                      <c:pt idx="40">
                        <c:v>44.898481932374921</c:v>
                      </c:pt>
                      <c:pt idx="41">
                        <c:v>46.214107874890914</c:v>
                      </c:pt>
                      <c:pt idx="42">
                        <c:v>47.568284600108839</c:v>
                      </c:pt>
                      <c:pt idx="43">
                        <c:v>48.962141732186211</c:v>
                      </c:pt>
                      <c:pt idx="44">
                        <c:v>50.396841995794915</c:v>
                      </c:pt>
                      <c:pt idx="45">
                        <c:v>51.873582186040387</c:v>
                      </c:pt>
                      <c:pt idx="46">
                        <c:v>53.393594166801378</c:v>
                      </c:pt>
                      <c:pt idx="47">
                        <c:v>54.958145898323558</c:v>
                      </c:pt>
                      <c:pt idx="48">
                        <c:v>56.568542494923797</c:v>
                      </c:pt>
                      <c:pt idx="49">
                        <c:v>58.226127313687492</c:v>
                      </c:pt>
                      <c:pt idx="50">
                        <c:v>59.932283075067254</c:v>
                      </c:pt>
                      <c:pt idx="51">
                        <c:v>61.688433016317632</c:v>
                      </c:pt>
                      <c:pt idx="52">
                        <c:v>63.496042078727974</c:v>
                      </c:pt>
                      <c:pt idx="53">
                        <c:v>65.356618129643977</c:v>
                      </c:pt>
                      <c:pt idx="54">
                        <c:v>67.271713220297158</c:v>
                      </c:pt>
                      <c:pt idx="55">
                        <c:v>69.242924880491444</c:v>
                      </c:pt>
                      <c:pt idx="56">
                        <c:v>71.271897451227133</c:v>
                      </c:pt>
                      <c:pt idx="57">
                        <c:v>73.360323456373692</c:v>
                      </c:pt>
                      <c:pt idx="58">
                        <c:v>75.509945014535475</c:v>
                      </c:pt>
                      <c:pt idx="59">
                        <c:v>77.722555292288462</c:v>
                      </c:pt>
                      <c:pt idx="60">
                        <c:v>80</c:v>
                      </c:pt>
                      <c:pt idx="61">
                        <c:v>82.344178931479348</c:v>
                      </c:pt>
                      <c:pt idx="62">
                        <c:v>84.757047548743628</c:v>
                      </c:pt>
                      <c:pt idx="63">
                        <c:v>87.240618613220619</c:v>
                      </c:pt>
                      <c:pt idx="64">
                        <c:v>89.796963864749827</c:v>
                      </c:pt>
                      <c:pt idx="65">
                        <c:v>92.428215749781856</c:v>
                      </c:pt>
                      <c:pt idx="66">
                        <c:v>95.136569200217679</c:v>
                      </c:pt>
                      <c:pt idx="67">
                        <c:v>97.924283464372408</c:v>
                      </c:pt>
                      <c:pt idx="68">
                        <c:v>100.79368399158987</c:v>
                      </c:pt>
                      <c:pt idx="69">
                        <c:v>103.74716437208077</c:v>
                      </c:pt>
                      <c:pt idx="70">
                        <c:v>106.78718833360273</c:v>
                      </c:pt>
                      <c:pt idx="71">
                        <c:v>109.91629179664714</c:v>
                      </c:pt>
                      <c:pt idx="72">
                        <c:v>113.13708498984761</c:v>
                      </c:pt>
                      <c:pt idx="73">
                        <c:v>116.45225462737497</c:v>
                      </c:pt>
                      <c:pt idx="74">
                        <c:v>119.86456615013454</c:v>
                      </c:pt>
                      <c:pt idx="75">
                        <c:v>123.37686603263526</c:v>
                      </c:pt>
                      <c:pt idx="76">
                        <c:v>126.99208415745595</c:v>
                      </c:pt>
                      <c:pt idx="77">
                        <c:v>130.71323625928798</c:v>
                      </c:pt>
                      <c:pt idx="78">
                        <c:v>134.54342644059435</c:v>
                      </c:pt>
                      <c:pt idx="79">
                        <c:v>138.48584976098289</c:v>
                      </c:pt>
                      <c:pt idx="80">
                        <c:v>142.54379490245429</c:v>
                      </c:pt>
                      <c:pt idx="81">
                        <c:v>146.72064691274738</c:v>
                      </c:pt>
                      <c:pt idx="82">
                        <c:v>151.01989002907092</c:v>
                      </c:pt>
                      <c:pt idx="83">
                        <c:v>155.44511058457698</c:v>
                      </c:pt>
                      <c:pt idx="84">
                        <c:v>160</c:v>
                      </c:pt>
                      <c:pt idx="85">
                        <c:v>164.6883578629587</c:v>
                      </c:pt>
                      <c:pt idx="86">
                        <c:v>169.51409509748726</c:v>
                      </c:pt>
                      <c:pt idx="87">
                        <c:v>174.48123722644124</c:v>
                      </c:pt>
                      <c:pt idx="88">
                        <c:v>179.59392772949963</c:v>
                      </c:pt>
                      <c:pt idx="89">
                        <c:v>184.85643149956371</c:v>
                      </c:pt>
                      <c:pt idx="90">
                        <c:v>190.27313840043533</c:v>
                      </c:pt>
                      <c:pt idx="91">
                        <c:v>195.84856692874482</c:v>
                      </c:pt>
                      <c:pt idx="92">
                        <c:v>201.58736798317972</c:v>
                      </c:pt>
                      <c:pt idx="93">
                        <c:v>207.49432874416158</c:v>
                      </c:pt>
                      <c:pt idx="94">
                        <c:v>213.57437666720543</c:v>
                      </c:pt>
                      <c:pt idx="95">
                        <c:v>219.83258359329429</c:v>
                      </c:pt>
                      <c:pt idx="96">
                        <c:v>226.27416997969519</c:v>
                      </c:pt>
                      <c:pt idx="97">
                        <c:v>232.90450925474997</c:v>
                      </c:pt>
                      <c:pt idx="98">
                        <c:v>239.72913230026904</c:v>
                      </c:pt>
                      <c:pt idx="99">
                        <c:v>246.75373206527055</c:v>
                      </c:pt>
                      <c:pt idx="100">
                        <c:v>253.98416831491187</c:v>
                      </c:pt>
                      <c:pt idx="101">
                        <c:v>261.42647251857591</c:v>
                      </c:pt>
                      <c:pt idx="102">
                        <c:v>269.08685288118863</c:v>
                      </c:pt>
                      <c:pt idx="103">
                        <c:v>276.97169952196577</c:v>
                      </c:pt>
                      <c:pt idx="104">
                        <c:v>285.08758980490859</c:v>
                      </c:pt>
                      <c:pt idx="105">
                        <c:v>293.44129382549482</c:v>
                      </c:pt>
                      <c:pt idx="106">
                        <c:v>302.03978005814184</c:v>
                      </c:pt>
                      <c:pt idx="107">
                        <c:v>310.89022116915385</c:v>
                      </c:pt>
                      <c:pt idx="108">
                        <c:v>320</c:v>
                      </c:pt>
                      <c:pt idx="109">
                        <c:v>329.37671572591745</c:v>
                      </c:pt>
                      <c:pt idx="110">
                        <c:v>339.02819019497434</c:v>
                      </c:pt>
                      <c:pt idx="111">
                        <c:v>348.9624744528823</c:v>
                      </c:pt>
                      <c:pt idx="112">
                        <c:v>359.18785545899942</c:v>
                      </c:pt>
                      <c:pt idx="113">
                        <c:v>369.71286299912731</c:v>
                      </c:pt>
                      <c:pt idx="114">
                        <c:v>380.54627680087071</c:v>
                      </c:pt>
                      <c:pt idx="115">
                        <c:v>391.69713385748969</c:v>
                      </c:pt>
                      <c:pt idx="116">
                        <c:v>403.17473596635926</c:v>
                      </c:pt>
                      <c:pt idx="117">
                        <c:v>414.98865748832293</c:v>
                      </c:pt>
                      <c:pt idx="118">
                        <c:v>427.14875333441108</c:v>
                      </c:pt>
                      <c:pt idx="119">
                        <c:v>439.66516718658846</c:v>
                      </c:pt>
                      <c:pt idx="120">
                        <c:v>452.54833995939038</c:v>
                      </c:pt>
                      <c:pt idx="121">
                        <c:v>465.80901850949999</c:v>
                      </c:pt>
                      <c:pt idx="122">
                        <c:v>479.45826460053797</c:v>
                      </c:pt>
                      <c:pt idx="123">
                        <c:v>493.50746413054094</c:v>
                      </c:pt>
                      <c:pt idx="124">
                        <c:v>507.96833662982397</c:v>
                      </c:pt>
                      <c:pt idx="125">
                        <c:v>522.85294503715193</c:v>
                      </c:pt>
                      <c:pt idx="126">
                        <c:v>538.17370576237727</c:v>
                      </c:pt>
                      <c:pt idx="127">
                        <c:v>553.94339904393155</c:v>
                      </c:pt>
                      <c:pt idx="128">
                        <c:v>570.17517960981695</c:v>
                      </c:pt>
                      <c:pt idx="129">
                        <c:v>586.88258765098942</c:v>
                      </c:pt>
                      <c:pt idx="130">
                        <c:v>604.07956011628403</c:v>
                      </c:pt>
                      <c:pt idx="131">
                        <c:v>621.78044233830735</c:v>
                      </c:pt>
                      <c:pt idx="132">
                        <c:v>640</c:v>
                      </c:pt>
                      <c:pt idx="133">
                        <c:v>658.7534314518349</c:v>
                      </c:pt>
                      <c:pt idx="134">
                        <c:v>678.05638038994869</c:v>
                      </c:pt>
                      <c:pt idx="135">
                        <c:v>697.92494890576472</c:v>
                      </c:pt>
                      <c:pt idx="136">
                        <c:v>718.37571091799884</c:v>
                      </c:pt>
                      <c:pt idx="137">
                        <c:v>739.42572599825439</c:v>
                      </c:pt>
                      <c:pt idx="138">
                        <c:v>761.09255360174143</c:v>
                      </c:pt>
                      <c:pt idx="139">
                        <c:v>783.39426771497938</c:v>
                      </c:pt>
                      <c:pt idx="140">
                        <c:v>806.34947193271853</c:v>
                      </c:pt>
                      <c:pt idx="141">
                        <c:v>829.97731497664608</c:v>
                      </c:pt>
                      <c:pt idx="142">
                        <c:v>854.29750666882182</c:v>
                      </c:pt>
                      <c:pt idx="143">
                        <c:v>879.33033437317658</c:v>
                      </c:pt>
                      <c:pt idx="144">
                        <c:v>905.09667991878086</c:v>
                      </c:pt>
                      <c:pt idx="145">
                        <c:v>931.61803701899998</c:v>
                      </c:pt>
                      <c:pt idx="146">
                        <c:v>958.91652920107595</c:v>
                      </c:pt>
                      <c:pt idx="147">
                        <c:v>987.01492826108188</c:v>
                      </c:pt>
                      <c:pt idx="148">
                        <c:v>1000</c:v>
                      </c:pt>
                      <c:pt idx="149">
                        <c:v>1080.0597388923061</c:v>
                      </c:pt>
                      <c:pt idx="150">
                        <c:v>1166.5290395761165</c:v>
                      </c:pt>
                      <c:pt idx="151">
                        <c:v>1259.9210498948732</c:v>
                      </c:pt>
                      <c:pt idx="152">
                        <c:v>1360.7900001743769</c:v>
                      </c:pt>
                      <c:pt idx="153">
                        <c:v>1469.7344922755988</c:v>
                      </c:pt>
                      <c:pt idx="154">
                        <c:v>1587.4010519681995</c:v>
                      </c:pt>
                      <c:pt idx="155">
                        <c:v>1714.4879657061456</c:v>
                      </c:pt>
                      <c:pt idx="156">
                        <c:v>1851.7494245745809</c:v>
                      </c:pt>
                      <c:pt idx="157">
                        <c:v>2000</c:v>
                      </c:pt>
                      <c:pt idx="158">
                        <c:v>2160.1194777846122</c:v>
                      </c:pt>
                      <c:pt idx="159">
                        <c:v>2333.0580791522334</c:v>
                      </c:pt>
                      <c:pt idx="160">
                        <c:v>2519.842099789746</c:v>
                      </c:pt>
                      <c:pt idx="161">
                        <c:v>2721.5800003487539</c:v>
                      </c:pt>
                      <c:pt idx="162">
                        <c:v>2939.4689845511975</c:v>
                      </c:pt>
                      <c:pt idx="163">
                        <c:v>3174.8021039363989</c:v>
                      </c:pt>
                      <c:pt idx="164">
                        <c:v>3400</c:v>
                      </c:pt>
                      <c:pt idx="165">
                        <c:v>3816.3709642518684</c:v>
                      </c:pt>
                      <c:pt idx="166">
                        <c:v>4283.7315696425685</c:v>
                      </c:pt>
                      <c:pt idx="167">
                        <c:v>4808.3261120685238</c:v>
                      </c:pt>
                      <c:pt idx="168">
                        <c:v>5397.163576691878</c:v>
                      </c:pt>
                      <c:pt idx="169">
                        <c:v>6058.1112833543075</c:v>
                      </c:pt>
                      <c:pt idx="170">
                        <c:v>6800</c:v>
                      </c:pt>
                      <c:pt idx="171">
                        <c:v>7632.7419285037367</c:v>
                      </c:pt>
                      <c:pt idx="172">
                        <c:v>8567.463139285137</c:v>
                      </c:pt>
                      <c:pt idx="173">
                        <c:v>9616.6522241370458</c:v>
                      </c:pt>
                      <c:pt idx="174">
                        <c:v>10794.327153383756</c:v>
                      </c:pt>
                      <c:pt idx="175">
                        <c:v>12116.222566708613</c:v>
                      </c:pt>
                      <c:pt idx="176">
                        <c:v>13600</c:v>
                      </c:pt>
                      <c:pt idx="177">
                        <c:v>15265.48385700747</c:v>
                      </c:pt>
                      <c:pt idx="178">
                        <c:v>17134.926278570278</c:v>
                      </c:pt>
                      <c:pt idx="179">
                        <c:v>20000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FRES!$BA$5:$BA$184</c15:sqref>
                        </c15:formulaRef>
                      </c:ext>
                    </c:extLst>
                    <c:numCache>
                      <c:formatCode>General</c:formatCode>
                      <c:ptCount val="180"/>
                      <c:pt idx="0">
                        <c:v>7.2068345244033445</c:v>
                      </c:pt>
                      <c:pt idx="1">
                        <c:v>7.2076857753760315</c:v>
                      </c:pt>
                      <c:pt idx="2">
                        <c:v>7.2086450361825403</c:v>
                      </c:pt>
                      <c:pt idx="3">
                        <c:v>7.2097265340453767</c:v>
                      </c:pt>
                      <c:pt idx="4">
                        <c:v>7.2109465076361596</c:v>
                      </c:pt>
                      <c:pt idx="5">
                        <c:v>7.2123235272756308</c:v>
                      </c:pt>
                      <c:pt idx="6">
                        <c:v>7.2138788752311314</c:v>
                      </c:pt>
                      <c:pt idx="7">
                        <c:v>7.2156369996347252</c:v>
                      </c:pt>
                      <c:pt idx="8">
                        <c:v>7.217626059130458</c:v>
                      </c:pt>
                      <c:pt idx="9">
                        <c:v>7.2198785800357612</c:v>
                      </c:pt>
                      <c:pt idx="10">
                        <c:v>7.2224322539423733</c:v>
                      </c:pt>
                      <c:pt idx="11">
                        <c:v>7.2253309118051385</c:v>
                      </c:pt>
                      <c:pt idx="12">
                        <c:v>7.2286257213941782</c:v>
                      </c:pt>
                      <c:pt idx="13">
                        <c:v>7.2304400368711201</c:v>
                      </c:pt>
                      <c:pt idx="14">
                        <c:v>7.2323766695368823</c:v>
                      </c:pt>
                      <c:pt idx="15">
                        <c:v>7.2344447985909994</c:v>
                      </c:pt>
                      <c:pt idx="16">
                        <c:v>7.2366544102983781</c:v>
                      </c:pt>
                      <c:pt idx="17">
                        <c:v>7.2390163836965797</c:v>
                      </c:pt>
                      <c:pt idx="18">
                        <c:v>7.2415425872283921</c:v>
                      </c:pt>
                      <c:pt idx="19">
                        <c:v>7.2442459879282648</c:v>
                      </c:pt>
                      <c:pt idx="20">
                        <c:v>7.2471407750682815</c:v>
                      </c:pt>
                      <c:pt idx="21">
                        <c:v>7.2502425005000433</c:v>
                      </c:pt>
                      <c:pt idx="22">
                        <c:v>7.2535682383239095</c:v>
                      </c:pt>
                      <c:pt idx="23">
                        <c:v>7.2571367669906666</c:v>
                      </c:pt>
                      <c:pt idx="24">
                        <c:v>7.2609687775107234</c:v>
                      </c:pt>
                      <c:pt idx="25">
                        <c:v>7.2650871121338376</c:v>
                      </c:pt>
                      <c:pt idx="26">
                        <c:v>7.2695170386951888</c:v>
                      </c:pt>
                      <c:pt idx="27">
                        <c:v>7.2742865668365404</c:v>
                      </c:pt>
                      <c:pt idx="28">
                        <c:v>7.2794268135461335</c:v>
                      </c:pt>
                      <c:pt idx="29">
                        <c:v>7.2849724269736518</c:v>
                      </c:pt>
                      <c:pt idx="30">
                        <c:v>7.2909620793366008</c:v>
                      </c:pt>
                      <c:pt idx="31">
                        <c:v>7.2974390420298914</c:v>
                      </c:pt>
                      <c:pt idx="32">
                        <c:v>7.3044518588970409</c:v>
                      </c:pt>
                      <c:pt idx="33">
                        <c:v>7.3120551371661193</c:v>
                      </c:pt>
                      <c:pt idx="34">
                        <c:v>7.3203104799873682</c:v>
                      </c:pt>
                      <c:pt idx="35">
                        <c:v>7.3292875900840313</c:v>
                      </c:pt>
                      <c:pt idx="36">
                        <c:v>7.339065581068378</c:v>
                      </c:pt>
                      <c:pt idx="37">
                        <c:v>7.3497345419162112</c:v>
                      </c:pt>
                      <c:pt idx="38">
                        <c:v>7.3613974115058793</c:v>
                      </c:pt>
                      <c:pt idx="39">
                        <c:v>7.3741722347792074</c:v>
                      </c:pt>
                      <c:pt idx="40">
                        <c:v>7.3881948909979558</c:v>
                      </c:pt>
                      <c:pt idx="41">
                        <c:v>7.4036224091397207</c:v>
                      </c:pt>
                      <c:pt idx="42">
                        <c:v>7.4206370175910221</c:v>
                      </c:pt>
                      <c:pt idx="43">
                        <c:v>7.4394511175414779</c:v>
                      </c:pt>
                      <c:pt idx="44">
                        <c:v>7.4603134254324512</c:v>
                      </c:pt>
                      <c:pt idx="45">
                        <c:v>7.4835166044284378</c:v>
                      </c:pt>
                      <c:pt idx="46">
                        <c:v>7.5094068051053666</c:v>
                      </c:pt>
                      <c:pt idx="47">
                        <c:v>7.5383956711783906</c:v>
                      </c:pt>
                      <c:pt idx="48">
                        <c:v>7.570975551031828</c:v>
                      </c:pt>
                      <c:pt idx="49">
                        <c:v>7.6077389099619861</c:v>
                      </c:pt>
                      <c:pt idx="50">
                        <c:v>7.6494032900624633</c:v>
                      </c:pt>
                      <c:pt idx="51">
                        <c:v>7.6968436561239892</c:v>
                      </c:pt>
                      <c:pt idx="52">
                        <c:v>7.7511346573511579</c:v>
                      </c:pt>
                      <c:pt idx="53">
                        <c:v>7.8136063147363322</c:v>
                      </c:pt>
                      <c:pt idx="54">
                        <c:v>7.8859180423963</c:v>
                      </c:pt>
                      <c:pt idx="55">
                        <c:v>7.9701579176612398</c:v>
                      </c:pt>
                      <c:pt idx="56">
                        <c:v>8.0689770031230896</c:v>
                      </c:pt>
                      <c:pt idx="57">
                        <c:v>8.1857726802180704</c:v>
                      </c:pt>
                      <c:pt idx="58">
                        <c:v>8.3249408933643245</c:v>
                      </c:pt>
                      <c:pt idx="59">
                        <c:v>8.4922255294216615</c:v>
                      </c:pt>
                      <c:pt idx="60">
                        <c:v>8.6952043191668693</c:v>
                      </c:pt>
                      <c:pt idx="61">
                        <c:v>8.9439640903943172</c:v>
                      </c:pt>
                      <c:pt idx="62">
                        <c:v>9.2520297424831917</c:v>
                      </c:pt>
                      <c:pt idx="63">
                        <c:v>9.637605468612076</c:v>
                      </c:pt>
                      <c:pt idx="64">
                        <c:v>10.125114865847353</c:v>
                      </c:pt>
                      <c:pt idx="65">
                        <c:v>10.746745767750122</c:v>
                      </c:pt>
                      <c:pt idx="66">
                        <c:v>11.542816781645499</c:v>
                      </c:pt>
                      <c:pt idx="67">
                        <c:v>12.557259747933202</c:v>
                      </c:pt>
                      <c:pt idx="68">
                        <c:v>13.818266469207126</c:v>
                      </c:pt>
                      <c:pt idx="69">
                        <c:v>15.283261118392877</c:v>
                      </c:pt>
                      <c:pt idx="70">
                        <c:v>16.730914728795746</c:v>
                      </c:pt>
                      <c:pt idx="71">
                        <c:v>17.685226726460044</c:v>
                      </c:pt>
                      <c:pt idx="72">
                        <c:v>17.657987793989108</c:v>
                      </c:pt>
                      <c:pt idx="73">
                        <c:v>16.66230089007324</c:v>
                      </c:pt>
                      <c:pt idx="74">
                        <c:v>15.197248278695433</c:v>
                      </c:pt>
                      <c:pt idx="75">
                        <c:v>13.731147747733848</c:v>
                      </c:pt>
                      <c:pt idx="76">
                        <c:v>12.475865053636261</c:v>
                      </c:pt>
                      <c:pt idx="77">
                        <c:v>11.468888862743848</c:v>
                      </c:pt>
                      <c:pt idx="78">
                        <c:v>10.680063407172534</c:v>
                      </c:pt>
                      <c:pt idx="79">
                        <c:v>10.06488479156282</c:v>
                      </c:pt>
                      <c:pt idx="80">
                        <c:v>9.582970369749555</c:v>
                      </c:pt>
                      <c:pt idx="81">
                        <c:v>9.202224033466667</c:v>
                      </c:pt>
                      <c:pt idx="82">
                        <c:v>8.8983447615667668</c:v>
                      </c:pt>
                      <c:pt idx="83">
                        <c:v>8.6532423018633757</c:v>
                      </c:pt>
                      <c:pt idx="84">
                        <c:v>8.4534875444236146</c:v>
                      </c:pt>
                      <c:pt idx="85">
                        <c:v>8.2890714887434775</c:v>
                      </c:pt>
                      <c:pt idx="86">
                        <c:v>8.1524790609729969</c:v>
                      </c:pt>
                      <c:pt idx="87">
                        <c:v>8.0380169057261561</c:v>
                      </c:pt>
                      <c:pt idx="88">
                        <c:v>7.941330107982167</c:v>
                      </c:pt>
                      <c:pt idx="89">
                        <c:v>7.8590549050997058</c:v>
                      </c:pt>
                      <c:pt idx="90">
                        <c:v>7.7885680621288813</c:v>
                      </c:pt>
                      <c:pt idx="91">
                        <c:v>7.7278047807432033</c:v>
                      </c:pt>
                      <c:pt idx="92">
                        <c:v>7.6751253307552965</c:v>
                      </c:pt>
                      <c:pt idx="93">
                        <c:v>7.6292165154742619</c:v>
                      </c:pt>
                      <c:pt idx="94">
                        <c:v>7.5890182217536406</c:v>
                      </c:pt>
                      <c:pt idx="95">
                        <c:v>7.5536681803131138</c:v>
                      </c:pt>
                      <c:pt idx="96">
                        <c:v>7.5224600579704912</c:v>
                      </c:pt>
                      <c:pt idx="97">
                        <c:v>7.4948113941594006</c:v>
                      </c:pt>
                      <c:pt idx="98">
                        <c:v>7.4702388684832748</c:v>
                      </c:pt>
                      <c:pt idx="99">
                        <c:v>7.4483390733472401</c:v>
                      </c:pt>
                      <c:pt idx="100">
                        <c:v>7.4287734541159196</c:v>
                      </c:pt>
                      <c:pt idx="101">
                        <c:v>7.4112564290274214</c:v>
                      </c:pt>
                      <c:pt idx="102">
                        <c:v>7.3955459535823334</c:v>
                      </c:pt>
                      <c:pt idx="103">
                        <c:v>7.3814359778267145</c:v>
                      </c:pt>
                      <c:pt idx="104">
                        <c:v>7.3687503796430658</c:v>
                      </c:pt>
                      <c:pt idx="105">
                        <c:v>7.3573380566813871</c:v>
                      </c:pt>
                      <c:pt idx="106">
                        <c:v>7.3470689336364243</c:v>
                      </c:pt>
                      <c:pt idx="107">
                        <c:v>7.3378306971107667</c:v>
                      </c:pt>
                      <c:pt idx="108">
                        <c:v>7.3295261122278719</c:v>
                      </c:pt>
                      <c:pt idx="109">
                        <c:v>7.3220708070213503</c:v>
                      </c:pt>
                      <c:pt idx="110">
                        <c:v>7.3153914350008717</c:v>
                      </c:pt>
                      <c:pt idx="111">
                        <c:v>7.3094241450564263</c:v>
                      </c:pt>
                      <c:pt idx="112">
                        <c:v>7.3041133023905331</c:v>
                      </c:pt>
                      <c:pt idx="113">
                        <c:v>7.2994104154842265</c:v>
                      </c:pt>
                      <c:pt idx="114">
                        <c:v>7.2952732329647336</c:v>
                      </c:pt>
                      <c:pt idx="115">
                        <c:v>7.2916649812216674</c:v>
                      </c:pt>
                      <c:pt idx="116">
                        <c:v>7.2885537191422642</c:v>
                      </c:pt>
                      <c:pt idx="117">
                        <c:v>7.2859117907297968</c:v>
                      </c:pt>
                      <c:pt idx="118">
                        <c:v>7.283715359881195</c:v>
                      </c:pt>
                      <c:pt idx="119">
                        <c:v>7.281944014420076</c:v>
                      </c:pt>
                      <c:pt idx="120">
                        <c:v>7.2805804287554068</c:v>
                      </c:pt>
                      <c:pt idx="121">
                        <c:v>7.2796100763789671</c:v>
                      </c:pt>
                      <c:pt idx="122">
                        <c:v>7.2790209849131218</c:v>
                      </c:pt>
                      <c:pt idx="123">
                        <c:v>7.2788035276445626</c:v>
                      </c:pt>
                      <c:pt idx="124">
                        <c:v>7.2789502464830518</c:v>
                      </c:pt>
                      <c:pt idx="125">
                        <c:v>7.2794557021102655</c:v>
                      </c:pt>
                      <c:pt idx="126">
                        <c:v>7.2803163477655684</c:v>
                      </c:pt>
                      <c:pt idx="127">
                        <c:v>7.281530423681132</c:v>
                      </c:pt>
                      <c:pt idx="128">
                        <c:v>7.2830978696488868</c:v>
                      </c:pt>
                      <c:pt idx="129">
                        <c:v>7.2850202535936894</c:v>
                      </c:pt>
                      <c:pt idx="130">
                        <c:v>7.2873007143556663</c:v>
                      </c:pt>
                      <c:pt idx="131">
                        <c:v>7.2899439171596958</c:v>
                      </c:pt>
                      <c:pt idx="132">
                        <c:v>7.2929560204818227</c:v>
                      </c:pt>
                      <c:pt idx="133">
                        <c:v>7.2963446532178979</c:v>
                      </c:pt>
                      <c:pt idx="134">
                        <c:v>7.3001189012246606</c:v>
                      </c:pt>
                      <c:pt idx="135">
                        <c:v>7.3042893024434754</c:v>
                      </c:pt>
                      <c:pt idx="136">
                        <c:v>7.308867849935301</c:v>
                      </c:pt>
                      <c:pt idx="137">
                        <c:v>7.3138680022560827</c:v>
                      </c:pt>
                      <c:pt idx="138">
                        <c:v>7.319304700686823</c:v>
                      </c:pt>
                      <c:pt idx="139">
                        <c:v>7.3251943929051437</c:v>
                      </c:pt>
                      <c:pt idx="140">
                        <c:v>7.3315550627457107</c:v>
                      </c:pt>
                      <c:pt idx="141">
                        <c:v>7.3384062657486915</c:v>
                      </c:pt>
                      <c:pt idx="142">
                        <c:v>7.3457691702382526</c:v>
                      </c:pt>
                      <c:pt idx="143">
                        <c:v>7.3536666037087111</c:v>
                      </c:pt>
                      <c:pt idx="144">
                        <c:v>7.3621231043251463</c:v>
                      </c:pt>
                      <c:pt idx="145">
                        <c:v>7.3711649773685499</c:v>
                      </c:pt>
                      <c:pt idx="146">
                        <c:v>7.3808203564738726</c:v>
                      </c:pt>
                      <c:pt idx="147">
                        <c:v>7.3911192695221368</c:v>
                      </c:pt>
                      <c:pt idx="148">
                        <c:v>7.396000063019331</c:v>
                      </c:pt>
                      <c:pt idx="149">
                        <c:v>7.4277407576018701</c:v>
                      </c:pt>
                      <c:pt idx="150">
                        <c:v>7.4650989170277224</c:v>
                      </c:pt>
                      <c:pt idx="151">
                        <c:v>7.5088895464771621</c:v>
                      </c:pt>
                      <c:pt idx="152">
                        <c:v>7.5600568678634641</c:v>
                      </c:pt>
                      <c:pt idx="153">
                        <c:v>7.6196882302198388</c:v>
                      </c:pt>
                      <c:pt idx="154">
                        <c:v>7.6890289251976913</c:v>
                      </c:pt>
                      <c:pt idx="155">
                        <c:v>7.769497484203816</c:v>
                      </c:pt>
                      <c:pt idx="156">
                        <c:v>7.8627008104592875</c:v>
                      </c:pt>
                      <c:pt idx="157">
                        <c:v>7.9704481876965865</c:v>
                      </c:pt>
                      <c:pt idx="158">
                        <c:v>8.094762835761669</c:v>
                      </c:pt>
                      <c:pt idx="159">
                        <c:v>8.2378893693759139</c:v>
                      </c:pt>
                      <c:pt idx="160">
                        <c:v>8.4022955086907825</c:v>
                      </c:pt>
                      <c:pt idx="161">
                        <c:v>8.5906670327010044</c:v>
                      </c:pt>
                      <c:pt idx="162">
                        <c:v>8.8058964878133779</c:v>
                      </c:pt>
                      <c:pt idx="163">
                        <c:v>9.0510683213789349</c:v>
                      </c:pt>
                      <c:pt idx="164">
                        <c:v>9.297039077751359</c:v>
                      </c:pt>
                      <c:pt idx="165">
                        <c:v>9.7779523961820622</c:v>
                      </c:pt>
                      <c:pt idx="166">
                        <c:v>10.352730560828951</c:v>
                      </c:pt>
                      <c:pt idx="167">
                        <c:v>11.034627383694593</c:v>
                      </c:pt>
                      <c:pt idx="168">
                        <c:v>11.838076155213903</c:v>
                      </c:pt>
                      <c:pt idx="169">
                        <c:v>12.778796256033125</c:v>
                      </c:pt>
                      <c:pt idx="170">
                        <c:v>13.873732294196138</c:v>
                      </c:pt>
                      <c:pt idx="171">
                        <c:v>15.141080921402258</c:v>
                      </c:pt>
                      <c:pt idx="172">
                        <c:v>16.600693620238527</c:v>
                      </c:pt>
                      <c:pt idx="173">
                        <c:v>18.27452982061634</c:v>
                      </c:pt>
                      <c:pt idx="174">
                        <c:v>20.186845552986046</c:v>
                      </c:pt>
                      <c:pt idx="175">
                        <c:v>22.364638934391532</c:v>
                      </c:pt>
                      <c:pt idx="176">
                        <c:v>24.838140163045054</c:v>
                      </c:pt>
                      <c:pt idx="177">
                        <c:v>27.641224563336738</c:v>
                      </c:pt>
                      <c:pt idx="178">
                        <c:v>30.811970151747829</c:v>
                      </c:pt>
                      <c:pt idx="179">
                        <c:v>35.706219237829941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25B-4838-8BF1-338CD4AF72F1}"/>
                  </c:ext>
                </c:extLst>
              </c15:ser>
            </c15:filteredScatterSeries>
          </c:ext>
        </c:extLst>
      </c:scatterChart>
      <c:valAx>
        <c:axId val="630018040"/>
        <c:scaling>
          <c:logBase val="10"/>
          <c:orientation val="minMax"/>
          <c:max val="10000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Freq.[Hz]</a:t>
                </a:r>
              </a:p>
            </c:rich>
          </c:tx>
          <c:layout>
            <c:manualLayout>
              <c:xMode val="edge"/>
              <c:yMode val="edge"/>
              <c:x val="0.44146322219888162"/>
              <c:y val="0.935091443569553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ysDash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590860600"/>
        <c:crosses val="autoZero"/>
        <c:crossBetween val="midCat"/>
      </c:valAx>
      <c:valAx>
        <c:axId val="590860600"/>
        <c:scaling>
          <c:orientation val="minMax"/>
          <c:max val="12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</a:schemeClr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SPL[dB]</a:t>
                </a:r>
              </a:p>
            </c:rich>
          </c:tx>
          <c:layout>
            <c:manualLayout>
              <c:xMode val="edge"/>
              <c:yMode val="edge"/>
              <c:x val="1.8178727995669002E-3"/>
              <c:y val="0.385698748595033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630018040"/>
        <c:crosses val="autoZero"/>
        <c:crossBetween val="midCat"/>
        <c:majorUnit val="10"/>
        <c:minorUnit val="2"/>
      </c:valAx>
      <c:valAx>
        <c:axId val="590861776"/>
        <c:scaling>
          <c:logBase val="10"/>
          <c:orientation val="minMax"/>
          <c:max val="2528.8220000000001"/>
          <c:min val="0.8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</c:spPr>
        <c:txPr>
          <a:bodyPr/>
          <a:lstStyle/>
          <a:p>
            <a:pPr>
              <a:defRPr>
                <a:noFill/>
              </a:defRPr>
            </a:pPr>
            <a:endParaRPr lang="ja-JP"/>
          </a:p>
        </c:txPr>
        <c:crossAx val="590863344"/>
        <c:crosses val="max"/>
        <c:crossBetween val="midCat"/>
      </c:valAx>
      <c:valAx>
        <c:axId val="59086334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0861776"/>
        <c:crosses val="autoZero"/>
        <c:crossBetween val="midCat"/>
      </c:valAx>
      <c:spPr>
        <a:noFill/>
        <a:ln w="25400">
          <a:solidFill>
            <a:srgbClr val="808080">
              <a:alpha val="99000"/>
            </a:srgbClr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66177672975620372"/>
          <c:y val="0"/>
          <c:w val="0.19306701019933711"/>
          <c:h val="0.164052265205979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pattFill prst="pct5">
      <a:fgClr>
        <a:srgbClr val="FFFFFF"/>
      </a:fgClr>
      <a:bgClr>
        <a:sysClr val="window" lastClr="FFFFFF"/>
      </a:bgClr>
    </a:pattFill>
    <a:ln w="25400">
      <a:solidFill>
        <a:sysClr val="windowText" lastClr="000000"/>
      </a:solidFill>
      <a:prstDash val="solid"/>
      <a:round/>
    </a:ln>
    <a:effectLst/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Times New Roman" panose="02020603050405020304" pitchFamily="18" charset="0"/>
          <a:ea typeface="Arial"/>
          <a:cs typeface="Times New Roman" panose="02020603050405020304" pitchFamily="18" charset="0"/>
        </a:defRPr>
      </a:pPr>
      <a:endParaRPr lang="ja-JP"/>
    </a:p>
  </c:txPr>
  <c:printSettings>
    <c:headerFooter alignWithMargins="0">
      <c:oddHeader>&amp;A</c:oddHeader>
      <c:oddFooter>- &amp;P -</c:oddFooter>
    </c:headerFooter>
    <c:pageMargins b="1" l="0.75" r="0.75" t="1" header="0.5" footer="0.5"/>
    <c:pageSetup paperSize="9" orientation="landscape" horizontalDpi="300" verticalDpi="300"/>
  </c:printSettings>
  <c:userShapes r:id="rId2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2" dropStyle="combo" dx="26" fmlaLink="$K$37" fmlaRange="BASE!$X$5:$X$6" sel="1" val="0"/>
</file>

<file path=xl/ctrlProps/ctrlProp8.xml><?xml version="1.0" encoding="utf-8"?>
<formControlPr xmlns="http://schemas.microsoft.com/office/spreadsheetml/2009/9/main" objectType="Drop" dropLines="2" dropStyle="combo" dx="26" fmlaLink="$L$37" fmlaRange="BASE!$X$5:$X$6" sel="1" val="0"/>
</file>

<file path=xl/ctrlProps/ctrlProp9.xml><?xml version="1.0" encoding="utf-8"?>
<formControlPr xmlns="http://schemas.microsoft.com/office/spreadsheetml/2009/9/main" objectType="Drop" dropLines="2" dropStyle="combo" dx="26" fmlaLink="$M$37" fmlaRange="BASE!$X$5:$X$6" sel="1" val="0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Drop" dropStyle="combo" dx="26" fmlaLink="$E$24" fmlaRange="$X$3:$X$4" sel="1" val="0"/>
</file>

<file path=xl/ctrlProps/ctrlProp14.xml><?xml version="1.0" encoding="utf-8"?>
<formControlPr xmlns="http://schemas.microsoft.com/office/spreadsheetml/2009/9/main" objectType="Drop" dropStyle="combo" dx="26" fmlaLink="$F$24" fmlaRange="BASE!$X$3:$X$4" sel="1" val="0"/>
</file>

<file path=xl/ctrlProps/ctrlProp15.xml><?xml version="1.0" encoding="utf-8"?>
<formControlPr xmlns="http://schemas.microsoft.com/office/spreadsheetml/2009/9/main" objectType="Drop" dropStyle="combo" dx="26" fmlaLink="$G$24" fmlaRange="BASE!$X$3:$X$4" sel="1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2" dropStyle="combo" dx="16" fmlaLink="$M$17" fmlaRange="FRES!$P$1:$P$2" noThreeD="1" sel="1" val="0"/>
</file>

<file path=xl/ctrlProps/ctrlProp19.xml><?xml version="1.0" encoding="utf-8"?>
<formControlPr xmlns="http://schemas.microsoft.com/office/spreadsheetml/2009/9/main" objectType="Drop" dropLines="2" dropStyle="combo" dx="16" fmlaLink="FRES!$O$3" fmlaRange="FRES!$R$1:$R$2" noThreeD="1" sel="2" val="0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Drop" dropLines="2" dropStyle="combo" dx="16" fmlaLink="O3" fmlaRange="$R$1:$R$2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61</xdr:row>
      <xdr:rowOff>190499</xdr:rowOff>
    </xdr:from>
    <xdr:to>
      <xdr:col>13</xdr:col>
      <xdr:colOff>5044</xdr:colOff>
      <xdr:row>70</xdr:row>
      <xdr:rowOff>200024</xdr:rowOff>
    </xdr:to>
    <xdr:graphicFrame macro="">
      <xdr:nvGraphicFramePr>
        <xdr:cNvPr id="1960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0</xdr:row>
          <xdr:rowOff>47625</xdr:rowOff>
        </xdr:from>
        <xdr:to>
          <xdr:col>6</xdr:col>
          <xdr:colOff>457200</xdr:colOff>
          <xdr:row>0</xdr:row>
          <xdr:rowOff>352425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2,3data equalize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0</xdr:row>
          <xdr:rowOff>47625</xdr:rowOff>
        </xdr:from>
        <xdr:to>
          <xdr:col>4</xdr:col>
          <xdr:colOff>257175</xdr:colOff>
          <xdr:row>0</xdr:row>
          <xdr:rowOff>361950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Operation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15</xdr:col>
          <xdr:colOff>762000</xdr:colOff>
          <xdr:row>1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to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Data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0</xdr:rowOff>
        </xdr:from>
        <xdr:to>
          <xdr:col>16</xdr:col>
          <xdr:colOff>200025</xdr:colOff>
          <xdr:row>43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161925</xdr:rowOff>
        </xdr:from>
        <xdr:to>
          <xdr:col>16</xdr:col>
          <xdr:colOff>200025</xdr:colOff>
          <xdr:row>8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204107</xdr:colOff>
      <xdr:row>8</xdr:row>
      <xdr:rowOff>122464</xdr:rowOff>
    </xdr:from>
    <xdr:to>
      <xdr:col>15</xdr:col>
      <xdr:colOff>204107</xdr:colOff>
      <xdr:row>10</xdr:row>
      <xdr:rowOff>113212</xdr:rowOff>
    </xdr:to>
    <xdr:sp macro="" textlink="">
      <xdr:nvSpPr>
        <xdr:cNvPr id="1962" name="Line 10"/>
        <xdr:cNvSpPr>
          <a:spLocks noChangeShapeType="1"/>
        </xdr:cNvSpPr>
      </xdr:nvSpPr>
      <xdr:spPr bwMode="auto">
        <a:xfrm>
          <a:off x="9402536" y="1945821"/>
          <a:ext cx="0" cy="398962"/>
        </a:xfrm>
        <a:prstGeom prst="line">
          <a:avLst/>
        </a:prstGeom>
        <a:noFill/>
        <a:ln w="508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182878</xdr:colOff>
      <xdr:row>38</xdr:row>
      <xdr:rowOff>58784</xdr:rowOff>
    </xdr:from>
    <xdr:to>
      <xdr:col>15</xdr:col>
      <xdr:colOff>182878</xdr:colOff>
      <xdr:row>40</xdr:row>
      <xdr:rowOff>66403</xdr:rowOff>
    </xdr:to>
    <xdr:sp macro="" textlink="">
      <xdr:nvSpPr>
        <xdr:cNvPr id="1963" name="Line 11"/>
        <xdr:cNvSpPr>
          <a:spLocks noChangeShapeType="1"/>
        </xdr:cNvSpPr>
      </xdr:nvSpPr>
      <xdr:spPr bwMode="auto">
        <a:xfrm flipV="1">
          <a:off x="9354092" y="8100605"/>
          <a:ext cx="0" cy="415834"/>
        </a:xfrm>
        <a:prstGeom prst="line">
          <a:avLst/>
        </a:prstGeom>
        <a:noFill/>
        <a:ln w="508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18</xdr:col>
          <xdr:colOff>0</xdr:colOff>
          <xdr:row>1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SPLDSGN_3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1043" name="BUTTON_H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51</xdr:row>
          <xdr:rowOff>0</xdr:rowOff>
        </xdr:to>
        <xdr:sp macro="" textlink="">
          <xdr:nvSpPr>
            <xdr:cNvPr id="1044" name="BUTTON_M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RANGE 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53</xdr:row>
          <xdr:rowOff>0</xdr:rowOff>
        </xdr:from>
        <xdr:to>
          <xdr:col>14</xdr:col>
          <xdr:colOff>0</xdr:colOff>
          <xdr:row>56</xdr:row>
          <xdr:rowOff>0</xdr:rowOff>
        </xdr:to>
        <xdr:sp macro="" textlink="">
          <xdr:nvSpPr>
            <xdr:cNvPr id="1045" name="BUTTON_L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133350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133350</xdr:rowOff>
        </xdr:to>
        <xdr:sp macro="" textlink="">
          <xdr:nvSpPr>
            <xdr:cNvPr id="1050" name="Drop Dow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133350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403860</xdr:colOff>
      <xdr:row>3</xdr:row>
      <xdr:rowOff>99060</xdr:rowOff>
    </xdr:from>
    <xdr:to>
      <xdr:col>8</xdr:col>
      <xdr:colOff>114300</xdr:colOff>
      <xdr:row>3</xdr:row>
      <xdr:rowOff>99060</xdr:rowOff>
    </xdr:to>
    <xdr:sp macro="" textlink="">
      <xdr:nvSpPr>
        <xdr:cNvPr id="1964" name="Line 41"/>
        <xdr:cNvSpPr>
          <a:spLocks noChangeShapeType="1"/>
        </xdr:cNvSpPr>
      </xdr:nvSpPr>
      <xdr:spPr bwMode="auto">
        <a:xfrm flipH="1">
          <a:off x="4213860" y="883920"/>
          <a:ext cx="297180" cy="0"/>
        </a:xfrm>
        <a:prstGeom prst="line">
          <a:avLst/>
        </a:prstGeom>
        <a:noFill/>
        <a:ln w="254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58</xdr:row>
          <xdr:rowOff>0</xdr:rowOff>
        </xdr:from>
        <xdr:to>
          <xdr:col>14</xdr:col>
          <xdr:colOff>0</xdr:colOff>
          <xdr:row>60</xdr:row>
          <xdr:rowOff>76200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 LINE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60</xdr:row>
          <xdr:rowOff>104775</xdr:rowOff>
        </xdr:from>
        <xdr:to>
          <xdr:col>14</xdr:col>
          <xdr:colOff>0</xdr:colOff>
          <xdr:row>62</xdr:row>
          <xdr:rowOff>133350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 LINE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16</xdr:row>
          <xdr:rowOff>0</xdr:rowOff>
        </xdr:from>
        <xdr:to>
          <xdr:col>13</xdr:col>
          <xdr:colOff>0</xdr:colOff>
          <xdr:row>16</xdr:row>
          <xdr:rowOff>142875</xdr:rowOff>
        </xdr:to>
        <xdr:sp macro="" textlink="">
          <xdr:nvSpPr>
            <xdr:cNvPr id="1910" name="Drop Down 886" hidden="1">
              <a:extLst>
                <a:ext uri="{63B3BB69-23CF-44E3-9099-C40C66FF867C}">
                  <a14:compatExt spid="_x0000_s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19050</xdr:rowOff>
        </xdr:from>
        <xdr:to>
          <xdr:col>21</xdr:col>
          <xdr:colOff>19050</xdr:colOff>
          <xdr:row>7</xdr:row>
          <xdr:rowOff>28575</xdr:rowOff>
        </xdr:to>
        <xdr:sp macro="" textlink="">
          <xdr:nvSpPr>
            <xdr:cNvPr id="1911" name="Drop Down 887" hidden="1">
              <a:extLst>
                <a:ext uri="{63B3BB69-23CF-44E3-9099-C40C66FF867C}">
                  <a14:compatExt spid="_x0000_s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42</xdr:row>
      <xdr:rowOff>16585</xdr:rowOff>
    </xdr:from>
    <xdr:to>
      <xdr:col>13</xdr:col>
      <xdr:colOff>2994</xdr:colOff>
      <xdr:row>62</xdr:row>
      <xdr:rowOff>0</xdr:rowOff>
    </xdr:to>
    <xdr:graphicFrame macro="">
      <xdr:nvGraphicFramePr>
        <xdr:cNvPr id="1959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11</xdr:col>
      <xdr:colOff>250644</xdr:colOff>
      <xdr:row>7</xdr:row>
      <xdr:rowOff>149225</xdr:rowOff>
    </xdr:from>
    <xdr:to>
      <xdr:col>11</xdr:col>
      <xdr:colOff>766690</xdr:colOff>
      <xdr:row>17</xdr:row>
      <xdr:rowOff>139805</xdr:rowOff>
    </xdr:to>
    <xdr:sp macro="" textlink="">
      <xdr:nvSpPr>
        <xdr:cNvPr id="2" name="テキスト ボックス 1"/>
        <xdr:cNvSpPr txBox="1"/>
      </xdr:nvSpPr>
      <xdr:spPr>
        <a:xfrm>
          <a:off x="7308669" y="1711325"/>
          <a:ext cx="516046" cy="1895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rPr>
            <a:t>π</a:t>
          </a:r>
          <a:endParaRPr kumimoji="1" lang="ja-JP" altLang="en-US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38</xdr:row>
          <xdr:rowOff>95250</xdr:rowOff>
        </xdr:from>
        <xdr:to>
          <xdr:col>2</xdr:col>
          <xdr:colOff>361950</xdr:colOff>
          <xdr:row>40</xdr:row>
          <xdr:rowOff>114300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Differences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Bold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1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0</xdr:colOff>
      <xdr:row>72</xdr:row>
      <xdr:rowOff>0</xdr:rowOff>
    </xdr:from>
    <xdr:to>
      <xdr:col>17</xdr:col>
      <xdr:colOff>526675</xdr:colOff>
      <xdr:row>95</xdr:row>
      <xdr:rowOff>0</xdr:rowOff>
    </xdr:to>
    <xdr:graphicFrame macro="">
      <xdr:nvGraphicFramePr>
        <xdr:cNvPr id="150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17</xdr:col>
      <xdr:colOff>526677</xdr:colOff>
      <xdr:row>72</xdr:row>
      <xdr:rowOff>0</xdr:rowOff>
    </xdr:from>
    <xdr:to>
      <xdr:col>26</xdr:col>
      <xdr:colOff>324969</xdr:colOff>
      <xdr:row>95</xdr:row>
      <xdr:rowOff>0</xdr:rowOff>
    </xdr:to>
    <xdr:graphicFrame macro="">
      <xdr:nvGraphicFramePr>
        <xdr:cNvPr id="151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0</xdr:col>
      <xdr:colOff>0</xdr:colOff>
      <xdr:row>72</xdr:row>
      <xdr:rowOff>0</xdr:rowOff>
    </xdr:from>
    <xdr:to>
      <xdr:col>9</xdr:col>
      <xdr:colOff>24449</xdr:colOff>
      <xdr:row>95</xdr:row>
      <xdr:rowOff>0</xdr:rowOff>
    </xdr:to>
    <xdr:graphicFrame macro="">
      <xdr:nvGraphicFramePr>
        <xdr:cNvPr id="44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63</xdr:row>
          <xdr:rowOff>133350</xdr:rowOff>
        </xdr:from>
        <xdr:to>
          <xdr:col>14</xdr:col>
          <xdr:colOff>28575</xdr:colOff>
          <xdr:row>65</xdr:row>
          <xdr:rowOff>19050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↑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ea typeface="ＭＳ Ｐゴシック"/>
                  <a:cs typeface="Arial"/>
                </a:rPr>
                <a:t> Imp.UP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65</xdr:row>
          <xdr:rowOff>47625</xdr:rowOff>
        </xdr:from>
        <xdr:to>
          <xdr:col>14</xdr:col>
          <xdr:colOff>19050</xdr:colOff>
          <xdr:row>66</xdr:row>
          <xdr:rowOff>152400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↓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Narrow"/>
                  <a:ea typeface="ＭＳ Ｐゴシック"/>
                </a:rPr>
                <a:t>Imp.Down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Arial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39</xdr:row>
          <xdr:rowOff>152400</xdr:rowOff>
        </xdr:from>
        <xdr:to>
          <xdr:col>8</xdr:col>
          <xdr:colOff>504825</xdr:colOff>
          <xdr:row>41</xdr:row>
          <xdr:rowOff>171450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Narrow"/>
                </a:rPr>
                <a:t>Phase Line On/Off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0.8635</cdr:x>
      <cdr:y>0.42741</cdr:y>
    </cdr:from>
    <cdr:to>
      <cdr:x>0.92463</cdr:x>
      <cdr:y>0.87537</cdr:y>
    </cdr:to>
    <cdr:sp macro="" textlink="">
      <cdr:nvSpPr>
        <cdr:cNvPr id="2" name="テキスト ボックス 40"/>
        <cdr:cNvSpPr txBox="1"/>
      </cdr:nvSpPr>
      <cdr:spPr>
        <a:xfrm xmlns:a="http://schemas.openxmlformats.org/drawingml/2006/main">
          <a:off x="7289800" y="1727200"/>
          <a:ext cx="516068" cy="18102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kumimoji="1" lang="en-US" altLang="ja-JP" sz="1400">
              <a:solidFill>
                <a:srgbClr val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- 128</a:t>
          </a:r>
        </a:p>
        <a:p xmlns:a="http://schemas.openxmlformats.org/drawingml/2006/main">
          <a:endParaRPr kumimoji="1" lang="en-US" altLang="ja-JP" sz="600">
            <a:ln>
              <a:noFill/>
            </a:ln>
            <a:solidFill>
              <a:srgbClr val="000000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ln>
                <a:noFill/>
              </a:ln>
              <a:solidFill>
                <a:srgbClr val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 </a:t>
          </a:r>
          <a:r>
            <a:rPr kumimoji="1" lang="en-US" altLang="ja-JP" sz="1400">
              <a:ln>
                <a:noFill/>
              </a:ln>
              <a:solidFill>
                <a:srgbClr val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64</a:t>
          </a:r>
        </a:p>
        <a:p xmlns:a="http://schemas.openxmlformats.org/drawingml/2006/main">
          <a:endParaRPr kumimoji="1" lang="en-US" altLang="ja-JP" sz="600">
            <a:ln>
              <a:noFill/>
            </a:ln>
            <a:solidFill>
              <a:srgbClr val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ln>
                <a:noFill/>
              </a:ln>
              <a:solidFill>
                <a:srgbClr val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-  32</a:t>
          </a:r>
        </a:p>
        <a:p xmlns:a="http://schemas.openxmlformats.org/drawingml/2006/main">
          <a:endParaRPr kumimoji="1" lang="en-US" altLang="ja-JP" sz="700">
            <a:ln>
              <a:noFill/>
            </a:ln>
            <a:solidFill>
              <a:srgbClr val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ln>
                <a:noFill/>
              </a:ln>
              <a:solidFill>
                <a:srgbClr val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-  16</a:t>
          </a:r>
        </a:p>
        <a:p xmlns:a="http://schemas.openxmlformats.org/drawingml/2006/main">
          <a:endParaRPr kumimoji="1" lang="en-US" altLang="ja-JP" sz="600">
            <a:ln>
              <a:noFill/>
            </a:ln>
            <a:solidFill>
              <a:srgbClr val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ln>
                <a:noFill/>
              </a:ln>
              <a:solidFill>
                <a:srgbClr val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-   8</a:t>
          </a:r>
        </a:p>
        <a:p xmlns:a="http://schemas.openxmlformats.org/drawingml/2006/main">
          <a:endParaRPr kumimoji="1" lang="en-US" altLang="ja-JP" sz="700">
            <a:ln>
              <a:noFill/>
            </a:ln>
            <a:solidFill>
              <a:srgbClr val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ln>
                <a:noFill/>
              </a:ln>
              <a:solidFill>
                <a:srgbClr val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kumimoji="1" lang="en-US" altLang="ja-JP" sz="1400" baseline="0">
              <a:ln>
                <a:noFill/>
              </a:ln>
              <a:solidFill>
                <a:srgbClr val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   </a:t>
          </a:r>
          <a:r>
            <a:rPr kumimoji="1" lang="en-US" altLang="ja-JP" sz="1400">
              <a:ln>
                <a:noFill/>
              </a:ln>
              <a:solidFill>
                <a:srgbClr val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</cdr:txBody>
    </cdr:sp>
  </cdr:relSizeAnchor>
  <cdr:relSizeAnchor xmlns:cdr="http://schemas.openxmlformats.org/drawingml/2006/chartDrawing">
    <cdr:from>
      <cdr:x>0.8635</cdr:x>
      <cdr:y>0.44313</cdr:y>
    </cdr:from>
    <cdr:to>
      <cdr:x>0.9386</cdr:x>
      <cdr:y>0.90135</cdr:y>
    </cdr:to>
    <cdr:sp macro="" textlink="">
      <cdr:nvSpPr>
        <cdr:cNvPr id="4" name="テキスト ボックス 33"/>
        <cdr:cNvSpPr txBox="1"/>
      </cdr:nvSpPr>
      <cdr:spPr>
        <a:xfrm xmlns:a="http://schemas.openxmlformats.org/drawingml/2006/main">
          <a:off x="7289800" y="1790700"/>
          <a:ext cx="634005" cy="18516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kumimoji="1" lang="en-US" altLang="ja-JP" sz="200">
            <a:noFill/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-  </a:t>
          </a:r>
          <a:r>
            <a:rPr kumimoji="1" lang="en-US" altLang="ja-JP" sz="1400" b="1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  <a:r>
            <a:rPr kumimoji="1" lang="en-US" altLang="ja-JP" sz="140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</a:p>
        <a:p xmlns:a="http://schemas.openxmlformats.org/drawingml/2006/main">
          <a:endParaRPr kumimoji="1" lang="en-US" altLang="ja-JP" sz="600">
            <a:noFill/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-  16</a:t>
          </a:r>
        </a:p>
        <a:p xmlns:a="http://schemas.openxmlformats.org/drawingml/2006/main">
          <a:endParaRPr kumimoji="1" lang="en-US" altLang="ja-JP" sz="700">
            <a:noFill/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-   8</a:t>
          </a:r>
        </a:p>
        <a:p xmlns:a="http://schemas.openxmlformats.org/drawingml/2006/main">
          <a:endParaRPr kumimoji="1" lang="en-US" altLang="ja-JP" sz="600">
            <a:noFill/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-   4</a:t>
          </a:r>
        </a:p>
        <a:p xmlns:a="http://schemas.openxmlformats.org/drawingml/2006/main">
          <a:endParaRPr kumimoji="1" lang="en-US" altLang="ja-JP" sz="700">
            <a:noFill/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kumimoji="1" lang="en-US" altLang="ja-JP" sz="1400" baseline="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   </a:t>
          </a:r>
          <a:r>
            <a:rPr kumimoji="1" lang="en-US" altLang="ja-JP" sz="140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2</a:t>
          </a:r>
        </a:p>
        <a:p xmlns:a="http://schemas.openxmlformats.org/drawingml/2006/main">
          <a:endParaRPr kumimoji="1" lang="en-US" altLang="ja-JP" sz="600">
            <a:noFill/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kumimoji="1" lang="en-US" altLang="ja-JP" sz="140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kumimoji="1" lang="en-US" altLang="ja-JP" sz="1400" baseline="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   </a:t>
          </a:r>
          <a:r>
            <a:rPr kumimoji="1" lang="en-US" altLang="ja-JP" sz="1400">
              <a:noFill/>
              <a:latin typeface="Times New Roman" panose="02020603050405020304" pitchFamily="18" charset="0"/>
              <a:cs typeface="Times New Roman" panose="02020603050405020304" pitchFamily="18" charset="0"/>
            </a:rPr>
            <a:t>1</a:t>
          </a:r>
        </a:p>
        <a:p xmlns:a="http://schemas.openxmlformats.org/drawingml/2006/main">
          <a:endParaRPr kumimoji="1" lang="ja-JP" altLang="en-US" sz="1400">
            <a:noFill/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0.88043</cdr:x>
      <cdr:y>0.11105</cdr:y>
    </cdr:from>
    <cdr:to>
      <cdr:x>0.97734</cdr:x>
      <cdr:y>0.69878</cdr:y>
    </cdr:to>
    <cdr:grpSp>
      <cdr:nvGrpSpPr>
        <cdr:cNvPr id="3" name="グループ化 2"/>
        <cdr:cNvGrpSpPr/>
      </cdr:nvGrpSpPr>
      <cdr:grpSpPr>
        <a:xfrm xmlns:a="http://schemas.openxmlformats.org/drawingml/2006/main">
          <a:off x="7432717" y="448760"/>
          <a:ext cx="818128" cy="2375055"/>
          <a:chOff x="7432675" y="469900"/>
          <a:chExt cx="818175" cy="2487031"/>
        </a:xfrm>
      </cdr:grpSpPr>
      <cdr:sp macro="" textlink="">
        <cdr:nvSpPr>
          <cdr:cNvPr id="6" name="テキスト ボックス 34"/>
          <cdr:cNvSpPr txBox="1"/>
        </cdr:nvSpPr>
        <cdr:spPr>
          <a:xfrm xmlns:a="http://schemas.openxmlformats.org/drawingml/2006/main" rot="16200000">
            <a:off x="7630090" y="2336172"/>
            <a:ext cx="913035" cy="328484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kumimoji="1" lang="en-US" altLang="ja-JP" sz="1400" b="1">
                <a:solidFill>
                  <a:sysClr val="windowText" lastClr="000000"/>
                </a:solidFill>
                <a:latin typeface="+mn-ea"/>
                <a:ea typeface="+mn-ea"/>
                <a:cs typeface="Times New Roman" panose="02020603050405020304" pitchFamily="18" charset="0"/>
              </a:rPr>
              <a:t>Imp.[Ω]</a:t>
            </a:r>
            <a:endParaRPr kumimoji="1" lang="ja-JP" altLang="en-US" sz="1400" b="1">
              <a:solidFill>
                <a:sysClr val="windowText" lastClr="000000"/>
              </a:solidFill>
              <a:latin typeface="+mn-ea"/>
              <a:ea typeface="+mn-ea"/>
              <a:cs typeface="Times New Roman" panose="02020603050405020304" pitchFamily="18" charset="0"/>
            </a:endParaRPr>
          </a:p>
        </cdr:txBody>
      </cdr:sp>
      <cdr:sp macro="" textlink="">
        <cdr:nvSpPr>
          <cdr:cNvPr id="7" name="テキスト ボックス 37"/>
          <cdr:cNvSpPr txBox="1"/>
        </cdr:nvSpPr>
        <cdr:spPr>
          <a:xfrm xmlns:a="http://schemas.openxmlformats.org/drawingml/2006/main">
            <a:off x="7432675" y="469900"/>
            <a:ext cx="443610" cy="1362075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kumimoji="1" lang="en-US" altLang="ja-JP" sz="1600">
                <a:latin typeface="Times New Roman" panose="02020603050405020304" pitchFamily="18" charset="0"/>
                <a:cs typeface="Times New Roman" panose="02020603050405020304" pitchFamily="18" charset="0"/>
              </a:rPr>
              <a:t>π</a:t>
            </a:r>
          </a:p>
          <a:p xmlns:a="http://schemas.openxmlformats.org/drawingml/2006/main">
            <a:endParaRPr kumimoji="1" lang="en-US" altLang="ja-JP" sz="1800"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 xmlns:a="http://schemas.openxmlformats.org/drawingml/2006/main">
            <a:r>
              <a:rPr kumimoji="1" lang="en-US" altLang="ja-JP" sz="1600">
                <a:latin typeface="Times New Roman" panose="02020603050405020304" pitchFamily="18" charset="0"/>
                <a:cs typeface="Times New Roman" panose="02020603050405020304" pitchFamily="18" charset="0"/>
              </a:rPr>
              <a:t>0</a:t>
            </a:r>
          </a:p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en-US" altLang="ja-JP" sz="18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60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-π</a:t>
            </a:r>
            <a:endParaRPr kumimoji="1" lang="ja-JP" altLang="en-US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dr:txBody>
      </cdr:sp>
      <cdr:sp macro="" textlink="">
        <cdr:nvSpPr>
          <cdr:cNvPr id="8" name="テキスト ボックス 39"/>
          <cdr:cNvSpPr txBox="1"/>
        </cdr:nvSpPr>
        <cdr:spPr>
          <a:xfrm xmlns:a="http://schemas.openxmlformats.org/drawingml/2006/main" rot="16200000">
            <a:off x="7501954" y="983281"/>
            <a:ext cx="1063792" cy="266815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kumimoji="1" lang="en-US" altLang="ja-JP" sz="1400">
                <a:latin typeface="Times New Roman" panose="02020603050405020304" pitchFamily="18" charset="0"/>
                <a:cs typeface="Times New Roman" panose="02020603050405020304" pitchFamily="18" charset="0"/>
              </a:rPr>
              <a:t>Phase[Rad]</a:t>
            </a:r>
            <a:endParaRPr kumimoji="1" lang="ja-JP" altLang="en-US" sz="1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dr:txBody>
      </cdr: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0.86474</cdr:x>
      <cdr:y>0.38995</cdr:y>
    </cdr:from>
    <cdr:to>
      <cdr:x>0.95985</cdr:x>
      <cdr:y>0.85877</cdr:y>
    </cdr:to>
    <cdr:grpSp>
      <cdr:nvGrpSpPr>
        <cdr:cNvPr id="16" name="グループ化 15"/>
        <cdr:cNvGrpSpPr/>
      </cdr:nvGrpSpPr>
      <cdr:grpSpPr>
        <a:xfrm xmlns:a="http://schemas.openxmlformats.org/drawingml/2006/main">
          <a:off x="5067977" y="1708548"/>
          <a:ext cx="557374" cy="2054172"/>
          <a:chOff x="-109536" y="108339"/>
          <a:chExt cx="695814" cy="2225714"/>
        </a:xfrm>
      </cdr:grpSpPr>
      <cdr:sp macro="" textlink="">
        <cdr:nvSpPr>
          <cdr:cNvPr id="17" name="テキスト ボックス 114"/>
          <cdr:cNvSpPr txBox="1"/>
        </cdr:nvSpPr>
        <cdr:spPr>
          <a:xfrm xmlns:a="http://schemas.openxmlformats.org/drawingml/2006/main">
            <a:off x="17383" y="1254052"/>
            <a:ext cx="318613" cy="285164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8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  <cdr:sp macro="" textlink="">
        <cdr:nvSpPr>
          <cdr:cNvPr id="18" name="テキスト ボックス 115"/>
          <cdr:cNvSpPr txBox="1"/>
        </cdr:nvSpPr>
        <cdr:spPr>
          <a:xfrm xmlns:a="http://schemas.openxmlformats.org/drawingml/2006/main">
            <a:off x="-51121" y="951527"/>
            <a:ext cx="637399" cy="280296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16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  <cdr:sp macro="" textlink="">
        <cdr:nvSpPr>
          <cdr:cNvPr id="19" name="テキスト ボックス 116"/>
          <cdr:cNvSpPr txBox="1"/>
        </cdr:nvSpPr>
        <cdr:spPr>
          <a:xfrm xmlns:a="http://schemas.openxmlformats.org/drawingml/2006/main">
            <a:off x="-41620" y="684432"/>
            <a:ext cx="557953" cy="336275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32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  <cdr:sp macro="" textlink="">
        <cdr:nvSpPr>
          <cdr:cNvPr id="20" name="テキスト ボックス 117"/>
          <cdr:cNvSpPr txBox="1"/>
        </cdr:nvSpPr>
        <cdr:spPr>
          <a:xfrm xmlns:a="http://schemas.openxmlformats.org/drawingml/2006/main">
            <a:off x="-40231" y="410676"/>
            <a:ext cx="483209" cy="323997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64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  <cdr:sp macro="" textlink="">
        <cdr:nvSpPr>
          <cdr:cNvPr id="21" name="テキスト ボックス 118"/>
          <cdr:cNvSpPr txBox="1"/>
        </cdr:nvSpPr>
        <cdr:spPr>
          <a:xfrm xmlns:a="http://schemas.openxmlformats.org/drawingml/2006/main">
            <a:off x="16963" y="1531495"/>
            <a:ext cx="393750" cy="334289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4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  <cdr:sp macro="" textlink="">
        <cdr:nvSpPr>
          <cdr:cNvPr id="22" name="テキスト ボックス 124"/>
          <cdr:cNvSpPr txBox="1"/>
        </cdr:nvSpPr>
        <cdr:spPr>
          <a:xfrm xmlns:a="http://schemas.openxmlformats.org/drawingml/2006/main">
            <a:off x="-109536" y="108339"/>
            <a:ext cx="625870" cy="318377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128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  <cdr:sp macro="" textlink="">
        <cdr:nvSpPr>
          <cdr:cNvPr id="23" name="テキスト ボックス 142"/>
          <cdr:cNvSpPr txBox="1"/>
        </cdr:nvSpPr>
        <cdr:spPr>
          <a:xfrm xmlns:a="http://schemas.openxmlformats.org/drawingml/2006/main">
            <a:off x="31325" y="1814622"/>
            <a:ext cx="373094" cy="34199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2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  <cdr:sp macro="" textlink="">
        <cdr:nvSpPr>
          <cdr:cNvPr id="24" name="テキスト ボックス 143"/>
          <cdr:cNvSpPr txBox="1"/>
        </cdr:nvSpPr>
        <cdr:spPr>
          <a:xfrm xmlns:a="http://schemas.openxmlformats.org/drawingml/2006/main">
            <a:off x="26176" y="2062712"/>
            <a:ext cx="393750" cy="271341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1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0.87524</cdr:x>
      <cdr:y>0.13077</cdr:y>
    </cdr:from>
    <cdr:to>
      <cdr:x>0.94047</cdr:x>
      <cdr:y>0.39566</cdr:y>
    </cdr:to>
    <cdr:grpSp>
      <cdr:nvGrpSpPr>
        <cdr:cNvPr id="25" name="グループ化 24"/>
        <cdr:cNvGrpSpPr/>
      </cdr:nvGrpSpPr>
      <cdr:grpSpPr>
        <a:xfrm xmlns:a="http://schemas.openxmlformats.org/drawingml/2006/main">
          <a:off x="5129518" y="572965"/>
          <a:ext cx="382274" cy="1160612"/>
          <a:chOff x="0" y="0"/>
          <a:chExt cx="460484" cy="1261534"/>
        </a:xfrm>
      </cdr:grpSpPr>
      <cdr:sp macro="" textlink="">
        <cdr:nvSpPr>
          <cdr:cNvPr id="26" name="テキスト ボックス 120"/>
          <cdr:cNvSpPr txBox="1"/>
        </cdr:nvSpPr>
        <cdr:spPr>
          <a:xfrm xmlns:a="http://schemas.openxmlformats.org/drawingml/2006/main">
            <a:off x="65126" y="0"/>
            <a:ext cx="305047" cy="299064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π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  <cdr:sp macro="" textlink="">
        <cdr:nvSpPr>
          <cdr:cNvPr id="27" name="テキスト ボックス 121"/>
          <cdr:cNvSpPr txBox="1"/>
        </cdr:nvSpPr>
        <cdr:spPr>
          <a:xfrm xmlns:a="http://schemas.openxmlformats.org/drawingml/2006/main">
            <a:off x="0" y="914985"/>
            <a:ext cx="460484" cy="346549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-π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  <cdr:sp macro="" textlink="">
        <cdr:nvSpPr>
          <cdr:cNvPr id="28" name="テキスト ボックス 122"/>
          <cdr:cNvSpPr txBox="1"/>
        </cdr:nvSpPr>
        <cdr:spPr>
          <a:xfrm xmlns:a="http://schemas.openxmlformats.org/drawingml/2006/main">
            <a:off x="68530" y="454568"/>
            <a:ext cx="312848" cy="31704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" panose="020B0604020202020204" pitchFamily="34" charset="0"/>
                <a:ea typeface="ＭＳ Ｐゴシック" panose="020B0600070205080204" pitchFamily="50" charset="-128"/>
                <a:cs typeface="Arial" panose="020B0604020202020204" pitchFamily="34" charset="0"/>
              </a:rPr>
              <a:t>0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0.94212</cdr:x>
      <cdr:y>0.10118</cdr:y>
    </cdr:from>
    <cdr:to>
      <cdr:x>0.98254</cdr:x>
      <cdr:y>0.36941</cdr:y>
    </cdr:to>
    <cdr:sp macro="" textlink="">
      <cdr:nvSpPr>
        <cdr:cNvPr id="30" name="テキスト ボックス 123"/>
        <cdr:cNvSpPr txBox="1"/>
      </cdr:nvSpPr>
      <cdr:spPr>
        <a:xfrm xmlns:a="http://schemas.openxmlformats.org/drawingml/2006/main" rot="16200000">
          <a:off x="6155018" y="977900"/>
          <a:ext cx="1277469" cy="2853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rPr>
            <a:t>Phase[Rad]</a:t>
          </a:r>
          <a:endParaRPr kumimoji="1" lang="ja-JP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ＭＳ Ｐゴシック" panose="020B0600070205080204" pitchFamily="50" charset="-128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0.94212</cdr:x>
      <cdr:y>0.50895</cdr:y>
    </cdr:from>
    <cdr:to>
      <cdr:x>0.99504</cdr:x>
      <cdr:y>0.69316</cdr:y>
    </cdr:to>
    <cdr:sp macro="" textlink="">
      <cdr:nvSpPr>
        <cdr:cNvPr id="31" name="テキスト ボックス 119"/>
        <cdr:cNvSpPr txBox="1"/>
      </cdr:nvSpPr>
      <cdr:spPr>
        <a:xfrm xmlns:a="http://schemas.openxmlformats.org/drawingml/2006/main" rot="16200000">
          <a:off x="5272974" y="2478432"/>
          <a:ext cx="807111" cy="31018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rPr>
            <a:t>Imp.[Ω]</a:t>
          </a:r>
          <a:endParaRPr kumimoji="1" lang="ja-JP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ＭＳ Ｐゴシック" panose="020B0600070205080204" pitchFamily="50" charset="-128"/>
            <a:cs typeface="Arial" panose="020B0604020202020204" pitchFamily="34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0.86627</cdr:x>
      <cdr:y>0.3856</cdr:y>
    </cdr:from>
    <cdr:to>
      <cdr:x>0.95985</cdr:x>
      <cdr:y>0.86312</cdr:y>
    </cdr:to>
    <cdr:grpSp>
      <cdr:nvGrpSpPr>
        <cdr:cNvPr id="16" name="グループ化 15"/>
        <cdr:cNvGrpSpPr/>
      </cdr:nvGrpSpPr>
      <cdr:grpSpPr>
        <a:xfrm xmlns:a="http://schemas.openxmlformats.org/drawingml/2006/main">
          <a:off x="5076927" y="1689506"/>
          <a:ext cx="548442" cy="2092254"/>
          <a:chOff x="-98311" y="87697"/>
          <a:chExt cx="684589" cy="2266996"/>
        </a:xfrm>
      </cdr:grpSpPr>
      <cdr:sp macro="" textlink="">
        <cdr:nvSpPr>
          <cdr:cNvPr id="17" name="テキスト ボックス 114"/>
          <cdr:cNvSpPr txBox="1"/>
        </cdr:nvSpPr>
        <cdr:spPr>
          <a:xfrm xmlns:a="http://schemas.openxmlformats.org/drawingml/2006/main">
            <a:off x="17383" y="1233410"/>
            <a:ext cx="318614" cy="285164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8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18" name="テキスト ボックス 115"/>
          <cdr:cNvSpPr txBox="1"/>
        </cdr:nvSpPr>
        <cdr:spPr>
          <a:xfrm xmlns:a="http://schemas.openxmlformats.org/drawingml/2006/main">
            <a:off x="-51121" y="941208"/>
            <a:ext cx="637399" cy="280296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16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19" name="テキスト ボックス 116"/>
          <cdr:cNvSpPr txBox="1"/>
        </cdr:nvSpPr>
        <cdr:spPr>
          <a:xfrm xmlns:a="http://schemas.openxmlformats.org/drawingml/2006/main">
            <a:off x="-30395" y="653469"/>
            <a:ext cx="557953" cy="336275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32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0" name="テキスト ボックス 117"/>
          <cdr:cNvSpPr txBox="1"/>
        </cdr:nvSpPr>
        <cdr:spPr>
          <a:xfrm xmlns:a="http://schemas.openxmlformats.org/drawingml/2006/main">
            <a:off x="-29006" y="379715"/>
            <a:ext cx="483209" cy="323997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64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1" name="テキスト ボックス 118"/>
          <cdr:cNvSpPr txBox="1"/>
        </cdr:nvSpPr>
        <cdr:spPr>
          <a:xfrm xmlns:a="http://schemas.openxmlformats.org/drawingml/2006/main">
            <a:off x="5737" y="1521175"/>
            <a:ext cx="393750" cy="334289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4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2" name="テキスト ボックス 124"/>
          <cdr:cNvSpPr txBox="1"/>
        </cdr:nvSpPr>
        <cdr:spPr>
          <a:xfrm xmlns:a="http://schemas.openxmlformats.org/drawingml/2006/main">
            <a:off x="-98311" y="87697"/>
            <a:ext cx="625870" cy="318377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128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3" name="テキスト ボックス 142"/>
          <cdr:cNvSpPr txBox="1"/>
        </cdr:nvSpPr>
        <cdr:spPr>
          <a:xfrm xmlns:a="http://schemas.openxmlformats.org/drawingml/2006/main">
            <a:off x="8875" y="1793980"/>
            <a:ext cx="373094" cy="34199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2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4" name="テキスト ボックス 143"/>
          <cdr:cNvSpPr txBox="1"/>
        </cdr:nvSpPr>
        <cdr:spPr>
          <a:xfrm xmlns:a="http://schemas.openxmlformats.org/drawingml/2006/main">
            <a:off x="-7500" y="2083352"/>
            <a:ext cx="393750" cy="271341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1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</cdr:grpSp>
  </cdr:relSizeAnchor>
  <cdr:relSizeAnchor xmlns:cdr="http://schemas.openxmlformats.org/drawingml/2006/chartDrawing">
    <cdr:from>
      <cdr:x>0.87524</cdr:x>
      <cdr:y>0.13077</cdr:y>
    </cdr:from>
    <cdr:to>
      <cdr:x>0.94047</cdr:x>
      <cdr:y>0.39566</cdr:y>
    </cdr:to>
    <cdr:grpSp>
      <cdr:nvGrpSpPr>
        <cdr:cNvPr id="25" name="グループ化 24"/>
        <cdr:cNvGrpSpPr/>
      </cdr:nvGrpSpPr>
      <cdr:grpSpPr>
        <a:xfrm xmlns:a="http://schemas.openxmlformats.org/drawingml/2006/main">
          <a:off x="5129497" y="572969"/>
          <a:ext cx="382292" cy="1160615"/>
          <a:chOff x="0" y="0"/>
          <a:chExt cx="460484" cy="1261534"/>
        </a:xfrm>
      </cdr:grpSpPr>
      <cdr:sp macro="" textlink="">
        <cdr:nvSpPr>
          <cdr:cNvPr id="26" name="テキスト ボックス 120"/>
          <cdr:cNvSpPr txBox="1"/>
        </cdr:nvSpPr>
        <cdr:spPr>
          <a:xfrm xmlns:a="http://schemas.openxmlformats.org/drawingml/2006/main">
            <a:off x="65126" y="0"/>
            <a:ext cx="305047" cy="299064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π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7" name="テキスト ボックス 121"/>
          <cdr:cNvSpPr txBox="1"/>
        </cdr:nvSpPr>
        <cdr:spPr>
          <a:xfrm xmlns:a="http://schemas.openxmlformats.org/drawingml/2006/main">
            <a:off x="0" y="914985"/>
            <a:ext cx="460484" cy="346549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-π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8" name="テキスト ボックス 122"/>
          <cdr:cNvSpPr txBox="1"/>
        </cdr:nvSpPr>
        <cdr:spPr>
          <a:xfrm xmlns:a="http://schemas.openxmlformats.org/drawingml/2006/main">
            <a:off x="68530" y="454568"/>
            <a:ext cx="312848" cy="31704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0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</cdr:grpSp>
  </cdr:relSizeAnchor>
  <cdr:relSizeAnchor xmlns:cdr="http://schemas.openxmlformats.org/drawingml/2006/chartDrawing">
    <cdr:from>
      <cdr:x>0.93598</cdr:x>
      <cdr:y>0.10652</cdr:y>
    </cdr:from>
    <cdr:to>
      <cdr:x>0.97583</cdr:x>
      <cdr:y>0.3955</cdr:y>
    </cdr:to>
    <cdr:sp macro="" textlink="">
      <cdr:nvSpPr>
        <cdr:cNvPr id="30" name="テキスト ボックス 123"/>
        <cdr:cNvSpPr txBox="1"/>
      </cdr:nvSpPr>
      <cdr:spPr>
        <a:xfrm xmlns:a="http://schemas.openxmlformats.org/drawingml/2006/main" rot="16200000">
          <a:off x="4989299" y="918680"/>
          <a:ext cx="1191667" cy="2328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rPr>
            <a:t>Phase[Rad]</a:t>
          </a:r>
          <a:endParaRPr kumimoji="1" lang="ja-JP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ＭＳ Ｐゴシック" panose="020B0600070205080204" pitchFamily="50" charset="-128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0.93598</cdr:x>
      <cdr:y>0.47391</cdr:y>
    </cdr:from>
    <cdr:to>
      <cdr:x>0.9889</cdr:x>
      <cdr:y>0.69751</cdr:y>
    </cdr:to>
    <cdr:sp macro="" textlink="">
      <cdr:nvSpPr>
        <cdr:cNvPr id="31" name="テキスト ボックス 119"/>
        <cdr:cNvSpPr txBox="1"/>
      </cdr:nvSpPr>
      <cdr:spPr>
        <a:xfrm xmlns:a="http://schemas.openxmlformats.org/drawingml/2006/main" rot="16200000">
          <a:off x="5162282" y="2260733"/>
          <a:ext cx="922053" cy="3091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rPr>
            <a:t>Imp.[Ω]</a:t>
          </a:r>
          <a:endParaRPr kumimoji="1" lang="ja-JP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ＭＳ Ｐゴシック" panose="020B0600070205080204" pitchFamily="50" charset="-128"/>
            <a:cs typeface="Times New Roman" panose="02020603050405020304" pitchFamily="18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0.86627</cdr:x>
      <cdr:y>0.38778</cdr:y>
    </cdr:from>
    <cdr:to>
      <cdr:x>0.95985</cdr:x>
      <cdr:y>0.85877</cdr:y>
    </cdr:to>
    <cdr:grpSp>
      <cdr:nvGrpSpPr>
        <cdr:cNvPr id="16" name="グループ化 15"/>
        <cdr:cNvGrpSpPr/>
      </cdr:nvGrpSpPr>
      <cdr:grpSpPr>
        <a:xfrm xmlns:a="http://schemas.openxmlformats.org/drawingml/2006/main">
          <a:off x="5089546" y="1699058"/>
          <a:ext cx="549805" cy="2063643"/>
          <a:chOff x="-98375" y="98018"/>
          <a:chExt cx="684653" cy="2236035"/>
        </a:xfrm>
      </cdr:grpSpPr>
      <cdr:sp macro="" textlink="">
        <cdr:nvSpPr>
          <cdr:cNvPr id="17" name="テキスト ボックス 114"/>
          <cdr:cNvSpPr txBox="1"/>
        </cdr:nvSpPr>
        <cdr:spPr>
          <a:xfrm xmlns:a="http://schemas.openxmlformats.org/drawingml/2006/main">
            <a:off x="6222" y="1243731"/>
            <a:ext cx="318614" cy="285164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8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18" name="テキスト ボックス 115"/>
          <cdr:cNvSpPr txBox="1"/>
        </cdr:nvSpPr>
        <cdr:spPr>
          <a:xfrm xmlns:a="http://schemas.openxmlformats.org/drawingml/2006/main">
            <a:off x="-51121" y="951527"/>
            <a:ext cx="637399" cy="280296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16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19" name="テキスト ボックス 116"/>
          <cdr:cNvSpPr txBox="1"/>
        </cdr:nvSpPr>
        <cdr:spPr>
          <a:xfrm xmlns:a="http://schemas.openxmlformats.org/drawingml/2006/main">
            <a:off x="-41620" y="653470"/>
            <a:ext cx="557952" cy="336275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32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0" name="テキスト ボックス 117"/>
          <cdr:cNvSpPr txBox="1"/>
        </cdr:nvSpPr>
        <cdr:spPr>
          <a:xfrm xmlns:a="http://schemas.openxmlformats.org/drawingml/2006/main">
            <a:off x="-40231" y="379715"/>
            <a:ext cx="483210" cy="323997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64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1" name="テキスト ボックス 118"/>
          <cdr:cNvSpPr txBox="1"/>
        </cdr:nvSpPr>
        <cdr:spPr>
          <a:xfrm xmlns:a="http://schemas.openxmlformats.org/drawingml/2006/main">
            <a:off x="16963" y="1531495"/>
            <a:ext cx="393750" cy="334289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4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2" name="テキスト ボックス 124"/>
          <cdr:cNvSpPr txBox="1"/>
        </cdr:nvSpPr>
        <cdr:spPr>
          <a:xfrm xmlns:a="http://schemas.openxmlformats.org/drawingml/2006/main">
            <a:off x="-98375" y="98018"/>
            <a:ext cx="625870" cy="318377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128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3" name="テキスト ボックス 142"/>
          <cdr:cNvSpPr txBox="1"/>
        </cdr:nvSpPr>
        <cdr:spPr>
          <a:xfrm xmlns:a="http://schemas.openxmlformats.org/drawingml/2006/main">
            <a:off x="9004" y="1783660"/>
            <a:ext cx="373095" cy="34199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2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4" name="テキスト ボックス 143"/>
          <cdr:cNvSpPr txBox="1"/>
        </cdr:nvSpPr>
        <cdr:spPr>
          <a:xfrm xmlns:a="http://schemas.openxmlformats.org/drawingml/2006/main">
            <a:off x="3854" y="2062712"/>
            <a:ext cx="393750" cy="271341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1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</cdr:grpSp>
  </cdr:relSizeAnchor>
  <cdr:relSizeAnchor xmlns:cdr="http://schemas.openxmlformats.org/drawingml/2006/chartDrawing">
    <cdr:from>
      <cdr:x>0.87524</cdr:x>
      <cdr:y>0.13077</cdr:y>
    </cdr:from>
    <cdr:to>
      <cdr:x>0.94047</cdr:x>
      <cdr:y>0.39566</cdr:y>
    </cdr:to>
    <cdr:grpSp>
      <cdr:nvGrpSpPr>
        <cdr:cNvPr id="25" name="グループ化 24"/>
        <cdr:cNvGrpSpPr/>
      </cdr:nvGrpSpPr>
      <cdr:grpSpPr>
        <a:xfrm xmlns:a="http://schemas.openxmlformats.org/drawingml/2006/main">
          <a:off x="5142247" y="572969"/>
          <a:ext cx="383242" cy="1160615"/>
          <a:chOff x="0" y="0"/>
          <a:chExt cx="460484" cy="1261534"/>
        </a:xfrm>
      </cdr:grpSpPr>
      <cdr:sp macro="" textlink="">
        <cdr:nvSpPr>
          <cdr:cNvPr id="26" name="テキスト ボックス 120"/>
          <cdr:cNvSpPr txBox="1"/>
        </cdr:nvSpPr>
        <cdr:spPr>
          <a:xfrm xmlns:a="http://schemas.openxmlformats.org/drawingml/2006/main">
            <a:off x="65126" y="0"/>
            <a:ext cx="305047" cy="299064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π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7" name="テキスト ボックス 121"/>
          <cdr:cNvSpPr txBox="1"/>
        </cdr:nvSpPr>
        <cdr:spPr>
          <a:xfrm xmlns:a="http://schemas.openxmlformats.org/drawingml/2006/main">
            <a:off x="0" y="914985"/>
            <a:ext cx="460484" cy="346549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-π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8" name="テキスト ボックス 122"/>
          <cdr:cNvSpPr txBox="1"/>
        </cdr:nvSpPr>
        <cdr:spPr>
          <a:xfrm xmlns:a="http://schemas.openxmlformats.org/drawingml/2006/main">
            <a:off x="68530" y="454568"/>
            <a:ext cx="312848" cy="31704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0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</cdr:grpSp>
  </cdr:relSizeAnchor>
  <cdr:relSizeAnchor xmlns:cdr="http://schemas.openxmlformats.org/drawingml/2006/chartDrawing">
    <cdr:from>
      <cdr:x>0.93754</cdr:x>
      <cdr:y>0.10652</cdr:y>
    </cdr:from>
    <cdr:to>
      <cdr:x>0.98436</cdr:x>
      <cdr:y>0.39332</cdr:y>
    </cdr:to>
    <cdr:sp macro="" textlink="">
      <cdr:nvSpPr>
        <cdr:cNvPr id="30" name="テキスト ボックス 123"/>
        <cdr:cNvSpPr txBox="1"/>
      </cdr:nvSpPr>
      <cdr:spPr>
        <a:xfrm xmlns:a="http://schemas.openxmlformats.org/drawingml/2006/main" rot="16200000">
          <a:off x="5055560" y="893054"/>
          <a:ext cx="1182701" cy="2751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rPr>
            <a:t>Phase[Rad]</a:t>
          </a:r>
          <a:endParaRPr kumimoji="1" lang="ja-JP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ＭＳ Ｐゴシック" panose="020B0600070205080204" pitchFamily="50" charset="-128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0.93754</cdr:x>
      <cdr:y>0.48478</cdr:y>
    </cdr:from>
    <cdr:to>
      <cdr:x>0.99046</cdr:x>
      <cdr:y>0.70186</cdr:y>
    </cdr:to>
    <cdr:sp macro="" textlink="">
      <cdr:nvSpPr>
        <cdr:cNvPr id="31" name="テキスト ボックス 119"/>
        <cdr:cNvSpPr txBox="1"/>
      </cdr:nvSpPr>
      <cdr:spPr>
        <a:xfrm xmlns:a="http://schemas.openxmlformats.org/drawingml/2006/main" rot="16200000">
          <a:off x="5217255" y="2291220"/>
          <a:ext cx="895158" cy="3109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rPr>
            <a:t>Imp.[Ω]</a:t>
          </a:r>
          <a:endParaRPr kumimoji="1" lang="ja-JP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 panose="02020603050405020304" pitchFamily="18" charset="0"/>
            <a:ea typeface="ＭＳ Ｐゴシック" panose="020B0600070205080204" pitchFamily="50" charset="-128"/>
            <a:cs typeface="Times New Roman" panose="02020603050405020304" pitchFamily="18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0.84479</cdr:x>
      <cdr:y>0.3856</cdr:y>
    </cdr:from>
    <cdr:to>
      <cdr:x>0.9399</cdr:x>
      <cdr:y>0.8566</cdr:y>
    </cdr:to>
    <cdr:grpSp>
      <cdr:nvGrpSpPr>
        <cdr:cNvPr id="16" name="グループ化 15"/>
        <cdr:cNvGrpSpPr/>
      </cdr:nvGrpSpPr>
      <cdr:grpSpPr>
        <a:xfrm xmlns:a="http://schemas.openxmlformats.org/drawingml/2006/main">
          <a:off x="4969328" y="1689506"/>
          <a:ext cx="559468" cy="2063687"/>
          <a:chOff x="-109536" y="87698"/>
          <a:chExt cx="695814" cy="2236035"/>
        </a:xfrm>
      </cdr:grpSpPr>
      <cdr:sp macro="" textlink="">
        <cdr:nvSpPr>
          <cdr:cNvPr id="17" name="テキスト ボックス 114"/>
          <cdr:cNvSpPr txBox="1"/>
        </cdr:nvSpPr>
        <cdr:spPr>
          <a:xfrm xmlns:a="http://schemas.openxmlformats.org/drawingml/2006/main">
            <a:off x="6158" y="1233410"/>
            <a:ext cx="318614" cy="285164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8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18" name="テキスト ボックス 115"/>
          <cdr:cNvSpPr txBox="1"/>
        </cdr:nvSpPr>
        <cdr:spPr>
          <a:xfrm xmlns:a="http://schemas.openxmlformats.org/drawingml/2006/main">
            <a:off x="-51121" y="951527"/>
            <a:ext cx="637399" cy="280296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16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19" name="テキスト ボックス 116"/>
          <cdr:cNvSpPr txBox="1"/>
        </cdr:nvSpPr>
        <cdr:spPr>
          <a:xfrm xmlns:a="http://schemas.openxmlformats.org/drawingml/2006/main">
            <a:off x="-41620" y="663790"/>
            <a:ext cx="557953" cy="336275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32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0" name="テキスト ボックス 117"/>
          <cdr:cNvSpPr txBox="1"/>
        </cdr:nvSpPr>
        <cdr:spPr>
          <a:xfrm xmlns:a="http://schemas.openxmlformats.org/drawingml/2006/main">
            <a:off x="-40231" y="390036"/>
            <a:ext cx="483210" cy="323997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64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1" name="テキスト ボックス 118"/>
          <cdr:cNvSpPr txBox="1"/>
        </cdr:nvSpPr>
        <cdr:spPr>
          <a:xfrm xmlns:a="http://schemas.openxmlformats.org/drawingml/2006/main">
            <a:off x="5737" y="1500534"/>
            <a:ext cx="393750" cy="334289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4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2" name="テキスト ボックス 124"/>
          <cdr:cNvSpPr txBox="1"/>
        </cdr:nvSpPr>
        <cdr:spPr>
          <a:xfrm xmlns:a="http://schemas.openxmlformats.org/drawingml/2006/main">
            <a:off x="-109536" y="87698"/>
            <a:ext cx="625870" cy="318377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128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3" name="テキスト ボックス 142"/>
          <cdr:cNvSpPr txBox="1"/>
        </cdr:nvSpPr>
        <cdr:spPr>
          <a:xfrm xmlns:a="http://schemas.openxmlformats.org/drawingml/2006/main">
            <a:off x="8875" y="1766065"/>
            <a:ext cx="373095" cy="369905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2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4" name="テキスト ボックス 143"/>
          <cdr:cNvSpPr txBox="1"/>
        </cdr:nvSpPr>
        <cdr:spPr>
          <a:xfrm xmlns:a="http://schemas.openxmlformats.org/drawingml/2006/main">
            <a:off x="3726" y="2052392"/>
            <a:ext cx="393750" cy="271341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1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</cdr:grpSp>
  </cdr:relSizeAnchor>
  <cdr:relSizeAnchor xmlns:cdr="http://schemas.openxmlformats.org/drawingml/2006/chartDrawing">
    <cdr:from>
      <cdr:x>0.85529</cdr:x>
      <cdr:y>0.13077</cdr:y>
    </cdr:from>
    <cdr:to>
      <cdr:x>0.92052</cdr:x>
      <cdr:y>0.39566</cdr:y>
    </cdr:to>
    <cdr:grpSp>
      <cdr:nvGrpSpPr>
        <cdr:cNvPr id="25" name="グループ化 24"/>
        <cdr:cNvGrpSpPr/>
      </cdr:nvGrpSpPr>
      <cdr:grpSpPr>
        <a:xfrm xmlns:a="http://schemas.openxmlformats.org/drawingml/2006/main">
          <a:off x="5031093" y="572969"/>
          <a:ext cx="383704" cy="1160615"/>
          <a:chOff x="0" y="0"/>
          <a:chExt cx="460484" cy="1261534"/>
        </a:xfrm>
      </cdr:grpSpPr>
      <cdr:sp macro="" textlink="">
        <cdr:nvSpPr>
          <cdr:cNvPr id="26" name="テキスト ボックス 120"/>
          <cdr:cNvSpPr txBox="1"/>
        </cdr:nvSpPr>
        <cdr:spPr>
          <a:xfrm xmlns:a="http://schemas.openxmlformats.org/drawingml/2006/main">
            <a:off x="65126" y="0"/>
            <a:ext cx="305047" cy="299064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π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7" name="テキスト ボックス 121"/>
          <cdr:cNvSpPr txBox="1"/>
        </cdr:nvSpPr>
        <cdr:spPr>
          <a:xfrm xmlns:a="http://schemas.openxmlformats.org/drawingml/2006/main">
            <a:off x="0" y="914985"/>
            <a:ext cx="460484" cy="346549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-π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  <cdr:sp macro="" textlink="">
        <cdr:nvSpPr>
          <cdr:cNvPr id="28" name="テキスト ボックス 122"/>
          <cdr:cNvSpPr txBox="1"/>
        </cdr:nvSpPr>
        <cdr:spPr>
          <a:xfrm xmlns:a="http://schemas.openxmlformats.org/drawingml/2006/main">
            <a:off x="68530" y="454568"/>
            <a:ext cx="312848" cy="31704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  <a:effectLst xmlns:a="http://schemas.openxmlformats.org/drawingml/2006/main"/>
        </cdr:spPr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en-US" altLang="ja-JP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imes New Roman" panose="02020603050405020304" pitchFamily="18" charset="0"/>
                <a:ea typeface="ＭＳ Ｐゴシック" panose="020B0600070205080204" pitchFamily="50" charset="-128"/>
                <a:cs typeface="Times New Roman" panose="02020603050405020304" pitchFamily="18" charset="0"/>
              </a:rPr>
              <a:t>0</a:t>
            </a:r>
            <a:endParaRPr kumimoji="1" lang="ja-JP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endParaRPr>
          </a:p>
        </cdr:txBody>
      </cdr:sp>
    </cdr:grpSp>
  </cdr:relSizeAnchor>
  <cdr:relSizeAnchor xmlns:cdr="http://schemas.openxmlformats.org/drawingml/2006/chartDrawing">
    <cdr:from>
      <cdr:x>0.92524</cdr:x>
      <cdr:y>0.08913</cdr:y>
    </cdr:from>
    <cdr:to>
      <cdr:x>0.96206</cdr:x>
      <cdr:y>0.3868</cdr:y>
    </cdr:to>
    <cdr:sp macro="" textlink="">
      <cdr:nvSpPr>
        <cdr:cNvPr id="30" name="テキスト ボックス 123"/>
        <cdr:cNvSpPr txBox="1"/>
      </cdr:nvSpPr>
      <cdr:spPr>
        <a:xfrm xmlns:a="http://schemas.openxmlformats.org/drawingml/2006/main" rot="16200000">
          <a:off x="4899557" y="873763"/>
          <a:ext cx="1227524" cy="2151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rPr>
            <a:t>Phase[Rad</a:t>
          </a:r>
          <a:r>
            <a:rPr kumimoji="1" lang="en-US" altLang="ja-JP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rPr>
            <a:t>]</a:t>
          </a:r>
          <a:endParaRPr kumimoji="1" lang="ja-JP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ＭＳ Ｐゴシック" panose="020B0600070205080204" pitchFamily="50" charset="-128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0.92524</cdr:x>
      <cdr:y>0.48913</cdr:y>
    </cdr:from>
    <cdr:to>
      <cdr:x>0.97816</cdr:x>
      <cdr:y>0.69751</cdr:y>
    </cdr:to>
    <cdr:sp macro="" textlink="">
      <cdr:nvSpPr>
        <cdr:cNvPr id="31" name="テキスト ボックス 119"/>
        <cdr:cNvSpPr txBox="1"/>
      </cdr:nvSpPr>
      <cdr:spPr>
        <a:xfrm xmlns:a="http://schemas.openxmlformats.org/drawingml/2006/main" rot="16200000">
          <a:off x="5130709" y="2292114"/>
          <a:ext cx="859299" cy="30918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Times New Roman" panose="02020603050405020304" pitchFamily="18" charset="0"/>
              <a:ea typeface="ＭＳ Ｐゴシック" panose="020B0600070205080204" pitchFamily="50" charset="-128"/>
              <a:cs typeface="Times New Roman" panose="02020603050405020304" pitchFamily="18" charset="0"/>
            </a:rPr>
            <a:t>Imp</a:t>
          </a:r>
          <a:r>
            <a:rPr kumimoji="1" lang="en-US" altLang="ja-JP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rPr>
            <a:t>.[Ω]</a:t>
          </a:r>
          <a:endParaRPr kumimoji="1" lang="ja-JP" altLang="en-US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ＭＳ Ｐゴシック" panose="020B0600070205080204" pitchFamily="50" charset="-128"/>
            <a:cs typeface="Arial" panose="020B060402020202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47625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157166</xdr:colOff>
      <xdr:row>0</xdr:row>
      <xdr:rowOff>276226</xdr:rowOff>
    </xdr:from>
    <xdr:to>
      <xdr:col>0</xdr:col>
      <xdr:colOff>668343</xdr:colOff>
      <xdr:row>0</xdr:row>
      <xdr:rowOff>1933576</xdr:rowOff>
    </xdr:to>
    <xdr:grpSp>
      <xdr:nvGrpSpPr>
        <xdr:cNvPr id="8" name="グループ化 7"/>
        <xdr:cNvGrpSpPr/>
      </xdr:nvGrpSpPr>
      <xdr:grpSpPr>
        <a:xfrm>
          <a:off x="157166" y="276226"/>
          <a:ext cx="511177" cy="1657350"/>
          <a:chOff x="823913" y="0"/>
          <a:chExt cx="440255" cy="1676400"/>
        </a:xfrm>
      </xdr:grpSpPr>
      <xdr:sp macro="" textlink="">
        <xdr:nvSpPr>
          <xdr:cNvPr id="2" name="正方形/長方形 1"/>
          <xdr:cNvSpPr/>
        </xdr:nvSpPr>
        <xdr:spPr bwMode="auto">
          <a:xfrm>
            <a:off x="1066800" y="0"/>
            <a:ext cx="45719" cy="5810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E1" mc:Ignorable="a14" a14:legacySpreadsheetColorIndex="80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53640926-AAD7-44D8-BBD7-CCE9431645EC}">
              <a14:shadowObscured xmlns:a14="http://schemas.microsoft.com/office/drawing/2010/main" val="1"/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" name="正方形/長方形 3"/>
          <xdr:cNvSpPr/>
        </xdr:nvSpPr>
        <xdr:spPr bwMode="auto">
          <a:xfrm>
            <a:off x="1066800" y="1095375"/>
            <a:ext cx="45719" cy="5810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E1" mc:Ignorable="a14" a14:legacySpreadsheetColorIndex="80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53640926-AAD7-44D8-BBD7-CCE9431645EC}">
              <a14:shadowObscured xmlns:a14="http://schemas.microsoft.com/office/drawing/2010/main" val="1"/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" name="斜め縞 2"/>
          <xdr:cNvSpPr/>
        </xdr:nvSpPr>
        <xdr:spPr bwMode="auto">
          <a:xfrm rot="18855619">
            <a:off x="925503" y="699509"/>
            <a:ext cx="374818" cy="302512"/>
          </a:xfrm>
          <a:prstGeom prst="diagStripe">
            <a:avLst/>
          </a:prstGeom>
          <a:solidFill>
            <a:srgbClr xmlns:mc="http://schemas.openxmlformats.org/markup-compatibility/2006" xmlns:a14="http://schemas.microsoft.com/office/drawing/2010/main" val="FFFFE1" mc:Ignorable="a14" a14:legacySpreadsheetColorIndex="80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53640926-AAD7-44D8-BBD7-CCE9431645EC}">
              <a14:shadowObscured xmlns:a14="http://schemas.microsoft.com/office/drawing/2010/main" val="1"/>
            </a:ext>
          </a:extLst>
        </xdr:spPr>
        <xdr:txBody>
          <a:bodyPr rot="0" spcFirstLastPara="0" vertOverflow="clip" horzOverflow="clip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" name="片側の 2 つの角を丸めた四角形 4"/>
          <xdr:cNvSpPr/>
        </xdr:nvSpPr>
        <xdr:spPr bwMode="auto">
          <a:xfrm rot="16200000">
            <a:off x="771527" y="761999"/>
            <a:ext cx="271461" cy="166690"/>
          </a:xfrm>
          <a:prstGeom prst="round2SameRect">
            <a:avLst/>
          </a:prstGeom>
          <a:solidFill>
            <a:srgbClr xmlns:mc="http://schemas.openxmlformats.org/markup-compatibility/2006" xmlns:a14="http://schemas.microsoft.com/office/drawing/2010/main" val="FFFFE1" mc:Ignorable="a14" a14:legacySpreadsheetColorIndex="80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53640926-AAD7-44D8-BBD7-CCE9431645EC}">
              <a14:shadowObscured xmlns:a14="http://schemas.microsoft.com/office/drawing/2010/main" val="1"/>
            </a:ext>
          </a:extLst>
        </xdr:spPr>
        <xdr:txBody>
          <a:bodyPr rot="0" spcFirstLastPara="0" vertOverflow="clip" horzOverflow="clip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1</xdr:col>
      <xdr:colOff>200025</xdr:colOff>
      <xdr:row>0</xdr:row>
      <xdr:rowOff>228600</xdr:rowOff>
    </xdr:from>
    <xdr:to>
      <xdr:col>2</xdr:col>
      <xdr:colOff>2838450</xdr:colOff>
      <xdr:row>0</xdr:row>
      <xdr:rowOff>1830209</xdr:rowOff>
    </xdr:to>
    <xdr:pic>
      <xdr:nvPicPr>
        <xdr:cNvPr id="11" name="図 1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228600"/>
          <a:ext cx="3438525" cy="1601609"/>
        </a:xfrm>
        <a:prstGeom prst="rect">
          <a:avLst/>
        </a:prstGeom>
        <a:solidFill>
          <a:schemeClr val="bg1"/>
        </a:solidFill>
        <a:effectLst>
          <a:outerShdw blurRad="50800" dist="50800" dir="5400000" algn="ctr" rotWithShape="0">
            <a:schemeClr val="bg1"/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121227</xdr:colOff>
      <xdr:row>22</xdr:row>
      <xdr:rowOff>71006</xdr:rowOff>
    </xdr:from>
    <xdr:to>
      <xdr:col>2</xdr:col>
      <xdr:colOff>85725</xdr:colOff>
      <xdr:row>26</xdr:row>
      <xdr:rowOff>128156</xdr:rowOff>
    </xdr:to>
    <xdr:sp macro="" textlink="">
      <xdr:nvSpPr>
        <xdr:cNvPr id="2" name="テキスト ボックス 1"/>
        <xdr:cNvSpPr txBox="1"/>
      </xdr:nvSpPr>
      <xdr:spPr>
        <a:xfrm>
          <a:off x="121227" y="4052456"/>
          <a:ext cx="1374198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3600"/>
            <a:t>Zm</a:t>
          </a:r>
          <a:r>
            <a:rPr kumimoji="1" lang="ja-JP" altLang="en-US" sz="3600"/>
            <a:t>⇒</a:t>
          </a:r>
        </a:p>
      </xdr:txBody>
    </xdr:sp>
    <xdr:clientData/>
  </xdr:twoCellAnchor>
  <xdr:twoCellAnchor editAs="oneCell">
    <xdr:from>
      <xdr:col>2</xdr:col>
      <xdr:colOff>133350</xdr:colOff>
      <xdr:row>22</xdr:row>
      <xdr:rowOff>22514</xdr:rowOff>
    </xdr:from>
    <xdr:to>
      <xdr:col>9</xdr:col>
      <xdr:colOff>114300</xdr:colOff>
      <xdr:row>33</xdr:row>
      <xdr:rowOff>117764</xdr:rowOff>
    </xdr:to>
    <xdr:pic>
      <xdr:nvPicPr>
        <xdr:cNvPr id="3" name="図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4003964"/>
          <a:ext cx="4781550" cy="208597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22</xdr:col>
      <xdr:colOff>133350</xdr:colOff>
      <xdr:row>15</xdr:row>
      <xdr:rowOff>133350</xdr:rowOff>
    </xdr:to>
    <xdr:pic>
      <xdr:nvPicPr>
        <xdr:cNvPr id="4" name="図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259050" cy="284797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DSGN_2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FRES"/>
      <sheetName val="Hstry"/>
      <sheetName val="CELLINFO"/>
      <sheetName val="Eqvlnt circuit"/>
      <sheetName val="Module1"/>
      <sheetName val="Module2"/>
    </sheetNames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horzOverflow="clip" wrap="square" lIns="18288" tIns="0" rIns="0" bIns="0" rtlCol="0" anchor="t" upright="1"/>
      <a:lstStyle>
        <a:defPPr algn="l">
          <a:defRPr kumimoji="1" sz="1100"/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printerSettings" Target="../printerSettings/printerSettings1.bin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file:///\\10.130.247.42\y\SPLDOC\MNLforUSER.htm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file:///\\10.130.247.42\y\SPLDOC\MNLforUSERe.htm" TargetMode="External"/><Relationship Id="rId6" Type="http://schemas.openxmlformats.org/officeDocument/2006/relationships/image" Target="../media/image1.png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S72"/>
  <sheetViews>
    <sheetView tabSelected="1" zoomScaleNormal="100" workbookViewId="0">
      <pane ySplit="2" topLeftCell="A38" activePane="bottomLeft" state="frozenSplit"/>
      <selection pane="bottomLeft" activeCell="E3" sqref="E3"/>
    </sheetView>
  </sheetViews>
  <sheetFormatPr defaultColWidth="9" defaultRowHeight="15" x14ac:dyDescent="0.25"/>
  <cols>
    <col min="1" max="2" width="3.125" style="7" customWidth="1"/>
    <col min="3" max="3" width="16.625" style="7" customWidth="1"/>
    <col min="4" max="4" width="4.125" style="9" customWidth="1"/>
    <col min="5" max="5" width="7.75" style="10" customWidth="1"/>
    <col min="6" max="7" width="7.75" style="11" customWidth="1"/>
    <col min="8" max="8" width="7.75" style="1" customWidth="1"/>
    <col min="9" max="9" width="18.875" style="8" customWidth="1"/>
    <col min="10" max="10" width="5.125" style="1" customWidth="1"/>
    <col min="11" max="13" width="10.625" style="1" customWidth="1"/>
    <col min="14" max="14" width="10" style="1" customWidth="1"/>
    <col min="15" max="15" width="3.625" style="1" customWidth="1"/>
    <col min="16" max="16" width="11.625" style="1" customWidth="1"/>
    <col min="17" max="18" width="7.75" style="1" customWidth="1"/>
    <col min="19" max="19" width="15.75" style="1" customWidth="1"/>
    <col min="20" max="20" width="4.125" style="1" customWidth="1"/>
    <col min="21" max="22" width="9" style="1"/>
    <col min="23" max="23" width="7.125" style="1" customWidth="1"/>
    <col min="24" max="16384" width="9" style="1"/>
  </cols>
  <sheetData>
    <row r="1" spans="1:97" ht="31.9" customHeight="1" thickBot="1" x14ac:dyDescent="0.35">
      <c r="A1" s="45" t="s">
        <v>296</v>
      </c>
      <c r="B1" s="46"/>
      <c r="C1" s="46"/>
      <c r="D1" s="47"/>
      <c r="E1" s="48"/>
      <c r="F1" s="49"/>
      <c r="G1" s="49"/>
      <c r="H1" s="50" t="s">
        <v>392</v>
      </c>
      <c r="I1" s="51"/>
      <c r="J1" s="52"/>
      <c r="K1" s="53"/>
      <c r="L1" s="54" t="s">
        <v>393</v>
      </c>
      <c r="M1" s="55" t="s">
        <v>378</v>
      </c>
      <c r="N1" s="55">
        <v>1</v>
      </c>
      <c r="O1" s="56"/>
      <c r="P1" s="57"/>
      <c r="Q1" s="57"/>
      <c r="R1" s="58"/>
      <c r="S1" s="58" t="s">
        <v>377</v>
      </c>
      <c r="T1" s="56"/>
      <c r="U1" s="56"/>
      <c r="V1" s="56"/>
      <c r="W1" s="56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  <c r="CB1" s="59"/>
      <c r="CC1" s="59"/>
      <c r="CD1" s="59"/>
      <c r="CE1" s="59"/>
      <c r="CF1" s="59"/>
      <c r="CG1" s="59"/>
      <c r="CH1" s="59"/>
      <c r="CI1" s="59"/>
      <c r="CJ1" s="59"/>
      <c r="CK1" s="59"/>
      <c r="CL1" s="59"/>
      <c r="CM1" s="59"/>
      <c r="CN1" s="59"/>
      <c r="CO1" s="59"/>
      <c r="CP1" s="59"/>
      <c r="CQ1" s="59"/>
      <c r="CR1" s="59"/>
      <c r="CS1" s="59"/>
    </row>
    <row r="2" spans="1:97" s="39" customFormat="1" ht="16.899999999999999" customHeight="1" thickBot="1" x14ac:dyDescent="0.25">
      <c r="A2" s="60"/>
      <c r="B2" s="61" t="s">
        <v>227</v>
      </c>
      <c r="C2" s="62"/>
      <c r="D2" s="63"/>
      <c r="E2" s="64">
        <v>1</v>
      </c>
      <c r="F2" s="65">
        <v>2</v>
      </c>
      <c r="G2" s="66">
        <v>3</v>
      </c>
      <c r="H2" s="67"/>
      <c r="I2" s="68" t="s">
        <v>171</v>
      </c>
      <c r="J2" s="69"/>
      <c r="K2" s="64">
        <v>1</v>
      </c>
      <c r="L2" s="65">
        <v>2</v>
      </c>
      <c r="M2" s="66">
        <v>3</v>
      </c>
      <c r="N2" s="243"/>
      <c r="O2" s="71"/>
      <c r="P2" s="71"/>
      <c r="Q2" s="71"/>
      <c r="R2" s="72" t="s">
        <v>246</v>
      </c>
      <c r="S2" s="71" t="s">
        <v>394</v>
      </c>
      <c r="T2" s="71"/>
      <c r="U2" s="71"/>
      <c r="V2" s="71"/>
      <c r="W2" s="71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</row>
    <row r="3" spans="1:97" s="39" customFormat="1" ht="15" customHeight="1" thickBot="1" x14ac:dyDescent="0.25">
      <c r="A3" s="74"/>
      <c r="B3" s="75"/>
      <c r="C3" s="76" t="s">
        <v>177</v>
      </c>
      <c r="D3" s="77" t="s">
        <v>1</v>
      </c>
      <c r="E3" s="78">
        <v>60</v>
      </c>
      <c r="F3" s="79"/>
      <c r="G3" s="80"/>
      <c r="H3" s="80" t="s">
        <v>2</v>
      </c>
      <c r="I3" s="81" t="s">
        <v>196</v>
      </c>
      <c r="J3" s="82" t="s">
        <v>3</v>
      </c>
      <c r="K3" s="83">
        <f>(2*PI()*$E$3)^2*($K$14+K15)</f>
        <v>734.50478397578172</v>
      </c>
      <c r="L3" s="80"/>
      <c r="M3" s="80"/>
      <c r="N3" s="84" t="s">
        <v>4</v>
      </c>
      <c r="O3" s="71"/>
      <c r="P3" s="70" t="s">
        <v>244</v>
      </c>
      <c r="Q3" s="85"/>
      <c r="R3" s="71"/>
      <c r="S3" s="86" t="s">
        <v>235</v>
      </c>
      <c r="T3" s="87" t="s">
        <v>5</v>
      </c>
      <c r="U3" s="88">
        <v>1</v>
      </c>
      <c r="V3" s="87" t="s">
        <v>6</v>
      </c>
      <c r="W3" s="87"/>
      <c r="X3" s="73" t="s">
        <v>259</v>
      </c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</row>
    <row r="4" spans="1:97" s="39" customFormat="1" ht="15" customHeight="1" thickBot="1" x14ac:dyDescent="0.25">
      <c r="A4" s="74"/>
      <c r="B4" s="89"/>
      <c r="C4" s="90" t="s">
        <v>176</v>
      </c>
      <c r="D4" s="91" t="s">
        <v>7</v>
      </c>
      <c r="E4" s="92"/>
      <c r="F4" s="93">
        <f>1/(2*PI())*SQRT(K6/(F5/1000+L15))</f>
        <v>66.543849785386016</v>
      </c>
      <c r="G4" s="93">
        <f>1/(2*PI())*SQRT(L6/(G5/1000+M15))</f>
        <v>66.543849785386016</v>
      </c>
      <c r="H4" s="94" t="s">
        <v>2</v>
      </c>
      <c r="I4" s="95" t="s">
        <v>197</v>
      </c>
      <c r="J4" s="91" t="s">
        <v>7</v>
      </c>
      <c r="K4" s="96">
        <f>(K6/($E$5*0.001+K15))^0.5/(2*PI())</f>
        <v>66.543849785386001</v>
      </c>
      <c r="L4" s="94"/>
      <c r="M4" s="94"/>
      <c r="N4" s="97" t="s">
        <v>203</v>
      </c>
      <c r="O4" s="71"/>
      <c r="P4" s="70" t="s">
        <v>245</v>
      </c>
      <c r="Q4" s="71"/>
      <c r="R4" s="71"/>
      <c r="S4" s="98" t="s">
        <v>8</v>
      </c>
      <c r="T4" s="99" t="s">
        <v>8</v>
      </c>
      <c r="U4" s="100" t="s">
        <v>9</v>
      </c>
      <c r="V4" s="101" t="s">
        <v>10</v>
      </c>
      <c r="W4" s="99"/>
      <c r="X4" s="73" t="s">
        <v>258</v>
      </c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102"/>
    </row>
    <row r="5" spans="1:97" s="39" customFormat="1" ht="15" customHeight="1" thickBot="1" x14ac:dyDescent="0.25">
      <c r="A5" s="74"/>
      <c r="B5" s="89"/>
      <c r="C5" s="90" t="s">
        <v>237</v>
      </c>
      <c r="D5" s="91" t="s">
        <v>11</v>
      </c>
      <c r="E5" s="103">
        <v>2</v>
      </c>
      <c r="F5" s="104">
        <v>2</v>
      </c>
      <c r="G5" s="104">
        <v>2</v>
      </c>
      <c r="H5" s="106" t="s">
        <v>12</v>
      </c>
      <c r="I5" s="95"/>
      <c r="J5" s="107"/>
      <c r="K5" s="108" t="s">
        <v>13</v>
      </c>
      <c r="L5" s="94"/>
      <c r="M5" s="94"/>
      <c r="N5" s="109"/>
      <c r="O5" s="71"/>
      <c r="P5" s="71"/>
      <c r="Q5" s="71"/>
      <c r="R5" s="71"/>
      <c r="S5" s="98" t="s">
        <v>234</v>
      </c>
      <c r="T5" s="99" t="s">
        <v>14</v>
      </c>
      <c r="U5" s="101">
        <v>1.6899999999999999E-8</v>
      </c>
      <c r="V5" s="101">
        <v>2.55E-8</v>
      </c>
      <c r="W5" s="110" t="s">
        <v>236</v>
      </c>
      <c r="X5" s="73" t="s">
        <v>260</v>
      </c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</row>
    <row r="6" spans="1:97" s="39" customFormat="1" ht="15" customHeight="1" thickBot="1" x14ac:dyDescent="0.25">
      <c r="A6" s="74"/>
      <c r="B6" s="111"/>
      <c r="C6" s="112"/>
      <c r="D6" s="107"/>
      <c r="E6" s="92"/>
      <c r="F6" s="92"/>
      <c r="G6" s="92"/>
      <c r="H6" s="94"/>
      <c r="I6" s="95" t="s">
        <v>198</v>
      </c>
      <c r="J6" s="91" t="s">
        <v>15</v>
      </c>
      <c r="K6" s="113">
        <f>K3-K7</f>
        <v>489.50478397578172</v>
      </c>
      <c r="L6" s="113">
        <f>(2*PI()*F$4)^2*(F$5*0.001+L15)</f>
        <v>489.50478397578189</v>
      </c>
      <c r="M6" s="113">
        <f>(2*PI()*G$4)^2*(G$5*0.001+M15)</f>
        <v>489.50478397578189</v>
      </c>
      <c r="N6" s="109" t="s">
        <v>4</v>
      </c>
      <c r="O6" s="71"/>
      <c r="P6" s="71"/>
      <c r="Q6" s="71"/>
      <c r="R6" s="71"/>
      <c r="S6" s="86" t="s">
        <v>233</v>
      </c>
      <c r="T6" s="99" t="s">
        <v>16</v>
      </c>
      <c r="U6" s="101">
        <v>8930</v>
      </c>
      <c r="V6" s="101">
        <v>3880</v>
      </c>
      <c r="W6" s="99" t="s">
        <v>232</v>
      </c>
      <c r="X6" s="73" t="s">
        <v>261</v>
      </c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</row>
    <row r="7" spans="1:97" s="39" customFormat="1" ht="15" customHeight="1" thickBot="1" x14ac:dyDescent="0.25">
      <c r="A7" s="74"/>
      <c r="B7" s="89"/>
      <c r="C7" s="114" t="s">
        <v>167</v>
      </c>
      <c r="D7" s="91" t="s">
        <v>17</v>
      </c>
      <c r="E7" s="103">
        <v>4</v>
      </c>
      <c r="F7" s="105">
        <v>1</v>
      </c>
      <c r="G7" s="105">
        <v>0.4</v>
      </c>
      <c r="H7" s="106" t="s">
        <v>18</v>
      </c>
      <c r="I7" s="95" t="s">
        <v>199</v>
      </c>
      <c r="J7" s="91" t="s">
        <v>19</v>
      </c>
      <c r="K7" s="113">
        <f>(9.8*$E$8*0.001)/($E$7*0.001)</f>
        <v>245.00000000000003</v>
      </c>
      <c r="L7" s="113">
        <f>(9.8*$F$8*0.001)/($F$7*0.001)</f>
        <v>980.00000000000011</v>
      </c>
      <c r="M7" s="113">
        <f>(9.8*$G$8*0.001)/($G$7*0.001)</f>
        <v>2450</v>
      </c>
      <c r="N7" s="109" t="s">
        <v>4</v>
      </c>
      <c r="O7" s="71"/>
      <c r="P7" s="115">
        <v>1</v>
      </c>
      <c r="Q7" s="71"/>
      <c r="R7" s="71"/>
      <c r="S7" s="116" t="s">
        <v>331</v>
      </c>
      <c r="T7" s="117" t="s">
        <v>305</v>
      </c>
      <c r="U7" s="71"/>
      <c r="V7" s="71"/>
      <c r="W7" s="71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</row>
    <row r="8" spans="1:97" s="39" customFormat="1" ht="15" customHeight="1" thickBot="1" x14ac:dyDescent="0.25">
      <c r="A8" s="74"/>
      <c r="B8" s="89"/>
      <c r="C8" s="90" t="s">
        <v>168</v>
      </c>
      <c r="D8" s="118" t="s">
        <v>359</v>
      </c>
      <c r="E8" s="103">
        <v>100</v>
      </c>
      <c r="F8" s="104">
        <v>100</v>
      </c>
      <c r="G8" s="104">
        <v>100</v>
      </c>
      <c r="H8" s="106" t="s">
        <v>12</v>
      </c>
      <c r="I8" s="95"/>
      <c r="J8" s="107"/>
      <c r="K8" s="94" t="s">
        <v>20</v>
      </c>
      <c r="L8" s="94"/>
      <c r="M8" s="94" t="s">
        <v>21</v>
      </c>
      <c r="N8" s="109"/>
      <c r="O8" s="71"/>
      <c r="P8" s="71"/>
      <c r="Q8" s="71"/>
      <c r="R8" s="71"/>
      <c r="S8" s="71"/>
      <c r="T8" s="71"/>
      <c r="U8" s="71"/>
      <c r="V8" s="71"/>
      <c r="W8" s="71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</row>
    <row r="9" spans="1:97" s="39" customFormat="1" ht="15" customHeight="1" x14ac:dyDescent="0.2">
      <c r="A9" s="74"/>
      <c r="B9" s="119" t="s">
        <v>382</v>
      </c>
      <c r="C9" s="90"/>
      <c r="D9" s="107"/>
      <c r="E9" s="94"/>
      <c r="F9" s="94"/>
      <c r="G9" s="94"/>
      <c r="H9" s="94"/>
      <c r="I9" s="95"/>
      <c r="J9" s="107"/>
      <c r="K9" s="120"/>
      <c r="L9" s="94"/>
      <c r="M9" s="94"/>
      <c r="N9" s="109"/>
      <c r="O9" s="71"/>
      <c r="P9" s="71"/>
      <c r="Q9" s="71"/>
      <c r="R9" s="71"/>
      <c r="S9" s="71"/>
      <c r="T9" s="71"/>
      <c r="U9" s="71"/>
      <c r="V9" s="71"/>
      <c r="W9" s="71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</row>
    <row r="10" spans="1:97" s="39" customFormat="1" ht="15" customHeight="1" x14ac:dyDescent="0.2">
      <c r="A10" s="74"/>
      <c r="B10" s="119" t="s">
        <v>383</v>
      </c>
      <c r="C10" s="121"/>
      <c r="D10" s="122"/>
      <c r="E10" s="122"/>
      <c r="F10" s="122"/>
      <c r="G10" s="122"/>
      <c r="H10" s="94"/>
      <c r="I10" s="95" t="s">
        <v>196</v>
      </c>
      <c r="J10" s="107" t="s">
        <v>0</v>
      </c>
      <c r="K10" s="123">
        <f>$K$6+$K$7</f>
        <v>734.50478397578172</v>
      </c>
      <c r="L10" s="123">
        <f>$L$6+$L$7</f>
        <v>1469.5047839757819</v>
      </c>
      <c r="M10" s="123">
        <f>$M$6+$M$7</f>
        <v>2939.5047839757817</v>
      </c>
      <c r="N10" s="109" t="s">
        <v>4</v>
      </c>
      <c r="O10" s="71"/>
      <c r="P10" s="71"/>
      <c r="Q10" s="71"/>
      <c r="R10" s="71"/>
      <c r="S10" s="71"/>
      <c r="T10" s="71"/>
      <c r="U10" s="71"/>
      <c r="V10" s="71"/>
      <c r="W10" s="71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</row>
    <row r="11" spans="1:97" s="39" customFormat="1" ht="15" customHeight="1" thickBot="1" x14ac:dyDescent="0.25">
      <c r="A11" s="74"/>
      <c r="B11" s="124" t="s">
        <v>218</v>
      </c>
      <c r="C11" s="90"/>
      <c r="D11" s="107"/>
      <c r="E11" s="125"/>
      <c r="F11" s="125"/>
      <c r="G11" s="125"/>
      <c r="H11" s="94"/>
      <c r="I11" s="126" t="s">
        <v>166</v>
      </c>
      <c r="J11" s="127" t="s">
        <v>22</v>
      </c>
      <c r="K11" s="128">
        <f>FRES!E2*CC^2/K$10*(PI()*E$15^2*10^-4)^2*1000</f>
        <v>30.058371354254227</v>
      </c>
      <c r="L11" s="128">
        <f>FRES!F2*CC^2/L$10*(PI()*F$15^2*10^-4)^2*1000</f>
        <v>15.024120914045408</v>
      </c>
      <c r="M11" s="128">
        <f>FRES!G2*CC^2/M$10*(PI()*G$15^2*10^-4)^2*1000</f>
        <v>7.5107949061947243</v>
      </c>
      <c r="N11" s="109" t="s">
        <v>360</v>
      </c>
      <c r="O11" s="71"/>
      <c r="P11" s="71"/>
      <c r="Q11" s="71"/>
      <c r="R11" s="71"/>
      <c r="S11" s="71"/>
      <c r="T11" s="71"/>
      <c r="U11" s="71"/>
      <c r="V11" s="71"/>
      <c r="W11" s="71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</row>
    <row r="12" spans="1:97" s="39" customFormat="1" ht="15" customHeight="1" thickBot="1" x14ac:dyDescent="0.25">
      <c r="A12" s="74"/>
      <c r="B12" s="89"/>
      <c r="C12" s="114" t="s">
        <v>172</v>
      </c>
      <c r="D12" s="107" t="s">
        <v>31</v>
      </c>
      <c r="E12" s="103">
        <v>0.2</v>
      </c>
      <c r="F12" s="104">
        <v>0.2</v>
      </c>
      <c r="G12" s="104">
        <v>0.2</v>
      </c>
      <c r="H12" s="106" t="s">
        <v>12</v>
      </c>
      <c r="I12" s="95" t="s">
        <v>373</v>
      </c>
      <c r="J12" s="107" t="s">
        <v>32</v>
      </c>
      <c r="K12" s="129">
        <f>1/K$10</f>
        <v>1.36146152049157E-3</v>
      </c>
      <c r="L12" s="129">
        <f>1/L$10</f>
        <v>6.8050135726300599E-4</v>
      </c>
      <c r="M12" s="129">
        <f>1/M$10</f>
        <v>3.4019335687131134E-4</v>
      </c>
      <c r="N12" s="109" t="s">
        <v>33</v>
      </c>
      <c r="O12" s="71"/>
      <c r="P12" s="71"/>
      <c r="Q12" s="71"/>
      <c r="R12" s="71"/>
      <c r="S12" s="71"/>
      <c r="T12" s="71"/>
      <c r="U12" s="71"/>
      <c r="V12" s="71"/>
      <c r="W12" s="71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</row>
    <row r="13" spans="1:97" s="39" customFormat="1" ht="15" customHeight="1" thickBot="1" x14ac:dyDescent="0.25">
      <c r="A13" s="74"/>
      <c r="B13" s="89"/>
      <c r="C13" s="90" t="s">
        <v>173</v>
      </c>
      <c r="D13" s="91" t="s">
        <v>178</v>
      </c>
      <c r="E13" s="103">
        <v>0.45</v>
      </c>
      <c r="F13" s="104">
        <v>0.45</v>
      </c>
      <c r="G13" s="104">
        <v>0.45</v>
      </c>
      <c r="H13" s="106" t="s">
        <v>12</v>
      </c>
      <c r="I13" s="95" t="s">
        <v>179</v>
      </c>
      <c r="J13" s="107"/>
      <c r="K13" s="94">
        <f>(E$15*0.01)^2*PI()</f>
        <v>1.2468981242097889E-2</v>
      </c>
      <c r="L13" s="94">
        <f>(F$15*0.01)^2*PI()</f>
        <v>1.2468981242097889E-2</v>
      </c>
      <c r="M13" s="94">
        <f>(G$15*0.01)^2*PI()</f>
        <v>1.2468981242097889E-2</v>
      </c>
      <c r="N13" s="109" t="s">
        <v>361</v>
      </c>
      <c r="O13" s="71"/>
      <c r="P13" s="71"/>
      <c r="Q13" s="71"/>
      <c r="R13" s="71"/>
      <c r="S13" s="71"/>
      <c r="T13" s="71"/>
      <c r="U13" s="71"/>
      <c r="V13" s="71"/>
      <c r="W13" s="71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</row>
    <row r="14" spans="1:97" s="39" customFormat="1" ht="15" customHeight="1" thickBot="1" x14ac:dyDescent="0.25">
      <c r="A14" s="74"/>
      <c r="B14" s="89"/>
      <c r="C14" s="90" t="s">
        <v>174</v>
      </c>
      <c r="D14" s="107" t="s">
        <v>183</v>
      </c>
      <c r="E14" s="103">
        <v>4.8849813083506888E-15</v>
      </c>
      <c r="F14" s="104">
        <v>4.8849813083506888E-15</v>
      </c>
      <c r="G14" s="104">
        <v>4.8849813083506888E-15</v>
      </c>
      <c r="H14" s="106" t="s">
        <v>12</v>
      </c>
      <c r="I14" s="126" t="s">
        <v>231</v>
      </c>
      <c r="J14" s="107" t="s">
        <v>34</v>
      </c>
      <c r="K14" s="130">
        <f>(E$12+E$16+E$13+E$5+E$14)*0.001</f>
        <v>4.3679672460684603E-3</v>
      </c>
      <c r="L14" s="130">
        <f>(F$12+F$16+F$13+F$5+F$14)*0.001</f>
        <v>4.3679672460684603E-3</v>
      </c>
      <c r="M14" s="130">
        <f>(G$12+G$16+G$13+G$5+G$14)*0.001</f>
        <v>4.3679672460684603E-3</v>
      </c>
      <c r="N14" s="109" t="s">
        <v>35</v>
      </c>
      <c r="O14" s="71"/>
      <c r="P14" s="71" t="s">
        <v>22</v>
      </c>
      <c r="Q14" s="131">
        <v>30</v>
      </c>
      <c r="R14" s="71" t="s">
        <v>36</v>
      </c>
      <c r="S14" s="71"/>
      <c r="T14" s="71"/>
      <c r="U14" s="71"/>
      <c r="V14" s="71"/>
      <c r="W14" s="71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</row>
    <row r="15" spans="1:97" s="39" customFormat="1" ht="15" customHeight="1" thickBot="1" x14ac:dyDescent="0.25">
      <c r="A15" s="74"/>
      <c r="B15" s="132" t="s">
        <v>226</v>
      </c>
      <c r="C15" s="90" t="s">
        <v>169</v>
      </c>
      <c r="D15" s="107" t="s">
        <v>37</v>
      </c>
      <c r="E15" s="103">
        <v>6.3</v>
      </c>
      <c r="F15" s="104">
        <v>6.3</v>
      </c>
      <c r="G15" s="104">
        <v>6.3</v>
      </c>
      <c r="H15" s="106" t="s">
        <v>38</v>
      </c>
      <c r="I15" s="95" t="s">
        <v>195</v>
      </c>
      <c r="J15" s="107" t="s">
        <v>161</v>
      </c>
      <c r="K15" s="133">
        <f>8/3*FRES!E2*(E$15*0.01)^3</f>
        <v>8.0015040000000004E-4</v>
      </c>
      <c r="L15" s="133">
        <f>8/3*FRES!F2*(F$15*0.01)^3</f>
        <v>8.0015040000000004E-4</v>
      </c>
      <c r="M15" s="133">
        <f>8/3*FRES!G2*(G$15*0.01)^3</f>
        <v>8.0015040000000004E-4</v>
      </c>
      <c r="N15" s="109" t="s">
        <v>35</v>
      </c>
      <c r="O15" s="71"/>
      <c r="P15" s="71" t="s">
        <v>184</v>
      </c>
      <c r="Q15" s="131">
        <v>10</v>
      </c>
      <c r="R15" s="71" t="s">
        <v>36</v>
      </c>
      <c r="S15" s="71"/>
      <c r="T15" s="71"/>
      <c r="U15" s="71"/>
      <c r="V15" s="71"/>
      <c r="W15" s="71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</row>
    <row r="16" spans="1:97" s="39" customFormat="1" ht="15" customHeight="1" x14ac:dyDescent="0.2">
      <c r="A16" s="74"/>
      <c r="B16" s="89"/>
      <c r="C16" s="134" t="s">
        <v>175</v>
      </c>
      <c r="D16" s="107" t="s">
        <v>39</v>
      </c>
      <c r="E16" s="135">
        <f>K$30*1000-0.00001*E$18^3+0.0016*E$18^2-0.0125*E$18-0.02</f>
        <v>1.7179672460684552</v>
      </c>
      <c r="F16" s="135">
        <f>L$30*1000-0.00001*F$18^3+0.0016*F$18^2-0.0125*F$18-0.02</f>
        <v>1.7179672460684552</v>
      </c>
      <c r="G16" s="135">
        <f>M$30*1000-0.00001*G$18^3+0.0016*G$18^2-0.0125*G$18-0.02</f>
        <v>1.7179672460684552</v>
      </c>
      <c r="H16" s="106" t="s">
        <v>12</v>
      </c>
      <c r="I16" s="136" t="s">
        <v>317</v>
      </c>
      <c r="J16" s="127" t="s">
        <v>40</v>
      </c>
      <c r="K16" s="137">
        <f>K$14+K15</f>
        <v>5.1681176460684607E-3</v>
      </c>
      <c r="L16" s="137">
        <f>L$14+L15</f>
        <v>5.1681176460684607E-3</v>
      </c>
      <c r="M16" s="137">
        <f>M$14+M15</f>
        <v>5.1681176460684607E-3</v>
      </c>
      <c r="N16" s="109" t="s">
        <v>35</v>
      </c>
      <c r="O16" s="71"/>
      <c r="P16" s="138" t="s">
        <v>251</v>
      </c>
      <c r="Q16" s="139">
        <f>1/(1/$Q$14+1/$Q$15)</f>
        <v>7.5</v>
      </c>
      <c r="R16" s="71" t="s">
        <v>36</v>
      </c>
      <c r="S16" s="71"/>
      <c r="T16" s="71"/>
      <c r="U16" s="71"/>
      <c r="V16" s="71"/>
      <c r="W16" s="71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</row>
    <row r="17" spans="1:97" s="39" customFormat="1" ht="15" customHeight="1" thickBot="1" x14ac:dyDescent="0.25">
      <c r="A17" s="74"/>
      <c r="B17" s="124" t="s">
        <v>219</v>
      </c>
      <c r="C17" s="90"/>
      <c r="D17" s="107"/>
      <c r="E17" s="94"/>
      <c r="F17" s="92"/>
      <c r="G17" s="92"/>
      <c r="H17" s="94"/>
      <c r="I17" s="95"/>
      <c r="J17" s="107"/>
      <c r="K17" s="108" t="s">
        <v>362</v>
      </c>
      <c r="L17" s="94"/>
      <c r="M17" s="140">
        <v>1</v>
      </c>
      <c r="N17" s="109"/>
      <c r="O17" s="71"/>
      <c r="P17" s="71"/>
      <c r="Q17" s="71"/>
      <c r="R17" s="71"/>
      <c r="S17" s="71"/>
      <c r="T17" s="71"/>
      <c r="U17" s="71"/>
      <c r="V17" s="71"/>
      <c r="W17" s="71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</row>
    <row r="18" spans="1:97" s="39" customFormat="1" ht="15" customHeight="1" thickBot="1" x14ac:dyDescent="0.25">
      <c r="A18" s="74"/>
      <c r="B18" s="89"/>
      <c r="C18" s="114" t="s">
        <v>209</v>
      </c>
      <c r="D18" s="107" t="s">
        <v>41</v>
      </c>
      <c r="E18" s="141">
        <v>25.38</v>
      </c>
      <c r="F18" s="142">
        <v>25.38</v>
      </c>
      <c r="G18" s="142">
        <v>25.38</v>
      </c>
      <c r="H18" s="106" t="s">
        <v>18</v>
      </c>
      <c r="I18" s="95"/>
      <c r="J18" s="107"/>
      <c r="K18" s="108" t="s">
        <v>189</v>
      </c>
      <c r="L18" s="94"/>
      <c r="M18" s="92"/>
      <c r="N18" s="109"/>
      <c r="O18" s="71"/>
      <c r="P18" s="71"/>
      <c r="Q18" s="71"/>
      <c r="R18" s="71"/>
      <c r="S18" s="71"/>
      <c r="T18" s="71"/>
      <c r="U18" s="71"/>
      <c r="V18" s="71"/>
      <c r="W18" s="71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</row>
    <row r="19" spans="1:97" s="39" customFormat="1" ht="15" customHeight="1" thickBot="1" x14ac:dyDescent="0.25">
      <c r="A19" s="74"/>
      <c r="B19" s="89" t="s">
        <v>8</v>
      </c>
      <c r="C19" s="90" t="s">
        <v>210</v>
      </c>
      <c r="D19" s="107" t="s">
        <v>42</v>
      </c>
      <c r="E19" s="103">
        <v>7.2</v>
      </c>
      <c r="F19" s="143">
        <v>7.2</v>
      </c>
      <c r="G19" s="143">
        <v>7.2</v>
      </c>
      <c r="H19" s="94" t="s">
        <v>201</v>
      </c>
      <c r="I19" s="144" t="str">
        <f>IF(M17=1,"SP f0 (free air)","SP f0 (InfiniteBuffle)")</f>
        <v>SP f0 (free air)</v>
      </c>
      <c r="J19" s="127" t="s">
        <v>43</v>
      </c>
      <c r="K19" s="145">
        <f>SQRT(K$10/(K$16+IF($M$17=1,0,K15)))/(2*PI())</f>
        <v>59.999999999999993</v>
      </c>
      <c r="L19" s="145">
        <f>SQRT(L$10/(L$16+IF($M$17=1,0,L15)))/(2*PI())</f>
        <v>84.86711485151767</v>
      </c>
      <c r="M19" s="145">
        <f>SQRT(M$10/(M$16+IF($M$17=1,0,M15)))/(2*PI())</f>
        <v>120.03033595579944</v>
      </c>
      <c r="N19" s="109" t="s">
        <v>2</v>
      </c>
      <c r="O19" s="71"/>
      <c r="P19" s="71"/>
      <c r="Q19" s="71"/>
      <c r="R19" s="71"/>
      <c r="S19" s="71"/>
      <c r="T19" s="71"/>
      <c r="U19" s="71"/>
      <c r="V19" s="71"/>
      <c r="W19" s="71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</row>
    <row r="20" spans="1:97" s="39" customFormat="1" ht="15" customHeight="1" thickBot="1" x14ac:dyDescent="0.25">
      <c r="A20" s="74"/>
      <c r="B20" s="89"/>
      <c r="C20" s="90" t="s">
        <v>211</v>
      </c>
      <c r="D20" s="107" t="s">
        <v>44</v>
      </c>
      <c r="E20" s="103">
        <v>0.1</v>
      </c>
      <c r="F20" s="143">
        <v>0.1</v>
      </c>
      <c r="G20" s="143">
        <v>0.1</v>
      </c>
      <c r="H20" s="106" t="s">
        <v>18</v>
      </c>
      <c r="I20" s="95"/>
      <c r="J20" s="107"/>
      <c r="K20" s="108" t="s">
        <v>188</v>
      </c>
      <c r="L20" s="94"/>
      <c r="M20" s="94"/>
      <c r="N20" s="109"/>
      <c r="O20" s="71"/>
      <c r="P20" s="71"/>
      <c r="Q20" s="71"/>
      <c r="R20" s="71"/>
      <c r="S20" s="71"/>
      <c r="T20" s="71"/>
      <c r="U20" s="71"/>
      <c r="V20" s="71"/>
      <c r="W20" s="71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</row>
    <row r="21" spans="1:97" s="39" customFormat="1" ht="15" customHeight="1" thickBot="1" x14ac:dyDescent="0.25">
      <c r="A21" s="74"/>
      <c r="B21" s="89"/>
      <c r="C21" s="90" t="s">
        <v>212</v>
      </c>
      <c r="D21" s="107" t="s">
        <v>45</v>
      </c>
      <c r="E21" s="103">
        <v>0.15</v>
      </c>
      <c r="F21" s="143">
        <v>0.15</v>
      </c>
      <c r="G21" s="143">
        <v>0.15</v>
      </c>
      <c r="H21" s="106" t="s">
        <v>18</v>
      </c>
      <c r="I21" s="126" t="s">
        <v>181</v>
      </c>
      <c r="J21" s="127" t="s">
        <v>46</v>
      </c>
      <c r="K21" s="146">
        <f>E$29*0.0001*E$33*K$34*E$34</f>
        <v>3.0632325984523519</v>
      </c>
      <c r="L21" s="146">
        <f>F$29*0.0001*F$33*L$34*F$34</f>
        <v>3.0632325984523519</v>
      </c>
      <c r="M21" s="146">
        <f>G$29*0.0001*G$33*M$34*G$34</f>
        <v>3.0632325984523519</v>
      </c>
      <c r="N21" s="109" t="s">
        <v>208</v>
      </c>
      <c r="O21" s="71"/>
      <c r="P21" s="71"/>
      <c r="Q21" s="71"/>
      <c r="R21" s="71"/>
      <c r="S21" s="71"/>
      <c r="T21" s="71"/>
      <c r="U21" s="71"/>
      <c r="V21" s="71"/>
      <c r="W21" s="71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</row>
    <row r="22" spans="1:97" s="39" customFormat="1" ht="15" customHeight="1" thickBot="1" x14ac:dyDescent="0.25">
      <c r="A22" s="74"/>
      <c r="B22" s="89"/>
      <c r="C22" s="90" t="s">
        <v>213</v>
      </c>
      <c r="D22" s="107" t="s">
        <v>363</v>
      </c>
      <c r="E22" s="103">
        <v>2</v>
      </c>
      <c r="F22" s="143">
        <v>2</v>
      </c>
      <c r="G22" s="143">
        <v>2</v>
      </c>
      <c r="H22" s="94"/>
      <c r="I22" s="136" t="str">
        <f>IF(M17=1,"total Q (free air)","total Q (InfiniteBuffle)")</f>
        <v>total Q (free air)</v>
      </c>
      <c r="J22" s="127" t="s">
        <v>47</v>
      </c>
      <c r="K22" s="147">
        <f>1/(K$21^2/E$19+E$36)*((K$16+IF($M17=1,0,K15))*K$10)^0.5</f>
        <v>0.92634505155096392</v>
      </c>
      <c r="L22" s="147">
        <f>1/(L$21^2/F$19+F$36)*((L$16+IF($M17=1,0,L15))*L$10)^0.5</f>
        <v>1.3102705313685121</v>
      </c>
      <c r="M22" s="147">
        <f>1/(M$21^2/G$19+G$36)*((M$16+IF($M17=1,0,M15))*M$10)^0.5</f>
        <v>1.8531584624775759</v>
      </c>
      <c r="N22" s="109"/>
      <c r="O22" s="71"/>
      <c r="P22" s="71"/>
      <c r="Q22" s="71"/>
      <c r="R22" s="71"/>
      <c r="S22" s="71"/>
      <c r="T22" s="71"/>
      <c r="U22" s="71"/>
      <c r="V22" s="71"/>
      <c r="W22" s="71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</row>
    <row r="23" spans="1:97" s="39" customFormat="1" ht="15" customHeight="1" thickBot="1" x14ac:dyDescent="0.25">
      <c r="A23" s="74"/>
      <c r="B23" s="89"/>
      <c r="C23" s="90" t="s">
        <v>214</v>
      </c>
      <c r="D23" s="107" t="s">
        <v>364</v>
      </c>
      <c r="E23" s="103">
        <v>0.06</v>
      </c>
      <c r="F23" s="143">
        <v>0.06</v>
      </c>
      <c r="G23" s="143">
        <v>0.06</v>
      </c>
      <c r="H23" s="94" t="s">
        <v>48</v>
      </c>
      <c r="I23" s="148" t="str">
        <f>IF(M17=1,"electrical Q(free air)","electrical Q(InfiniteBuffle)")</f>
        <v>electrical Q(free air)</v>
      </c>
      <c r="J23" s="94" t="s">
        <v>49</v>
      </c>
      <c r="K23" s="96">
        <f>K$22*K$24/(K$24-K$22)</f>
        <v>1.4949823190580502</v>
      </c>
      <c r="L23" s="96">
        <f>L$22*L$24/(L$24-L$22)</f>
        <v>2.1145806028747964</v>
      </c>
      <c r="M23" s="96">
        <f>M$22*M$24/(M$24-M$22)</f>
        <v>2.9907205000752985</v>
      </c>
      <c r="N23" s="109"/>
      <c r="O23" s="71"/>
      <c r="P23" s="71"/>
      <c r="Q23" s="71"/>
      <c r="R23" s="71"/>
      <c r="S23" s="71"/>
      <c r="T23" s="71"/>
      <c r="U23" s="71"/>
      <c r="V23" s="71"/>
      <c r="W23" s="71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</row>
    <row r="24" spans="1:97" s="39" customFormat="1" ht="15" customHeight="1" x14ac:dyDescent="0.2">
      <c r="A24" s="74"/>
      <c r="B24" s="89"/>
      <c r="C24" s="90" t="s">
        <v>215</v>
      </c>
      <c r="D24" s="107" t="s">
        <v>365</v>
      </c>
      <c r="E24" s="94">
        <v>1</v>
      </c>
      <c r="F24" s="94">
        <v>1</v>
      </c>
      <c r="G24" s="94">
        <v>1</v>
      </c>
      <c r="H24" s="94"/>
      <c r="I24" s="148" t="str">
        <f>IF(M17=1,"mechanical Q(free air)","mechanical Q(InfiniteBuffle)")</f>
        <v>mechanical Q(free air)</v>
      </c>
      <c r="J24" s="94" t="s">
        <v>186</v>
      </c>
      <c r="K24" s="96">
        <f>2*PI()*K$19*(K$16+IF($M$17=1,0,K15))/E$36</f>
        <v>2.4354180644664671</v>
      </c>
      <c r="L24" s="96">
        <f>2*PI()*L$19*(L$16+IF($M$17=1,0,L15))/F$36</f>
        <v>3.4447817431422765</v>
      </c>
      <c r="M24" s="96">
        <f>2*PI()*M$19*(M$16+IF($M$17=1,0,M15))/G$36</f>
        <v>4.8720674745122157</v>
      </c>
      <c r="N24" s="109"/>
      <c r="O24" s="71"/>
      <c r="P24" s="71"/>
      <c r="Q24" s="71"/>
      <c r="R24" s="71"/>
      <c r="S24" s="71"/>
      <c r="T24" s="71"/>
      <c r="U24" s="71"/>
      <c r="V24" s="71"/>
      <c r="W24" s="71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</row>
    <row r="25" spans="1:97" s="39" customFormat="1" ht="15" customHeight="1" x14ac:dyDescent="0.2">
      <c r="A25" s="74"/>
      <c r="B25" s="89"/>
      <c r="C25" s="134" t="s">
        <v>193</v>
      </c>
      <c r="D25" s="107" t="s">
        <v>50</v>
      </c>
      <c r="E25" s="149">
        <f>K$32*1000</f>
        <v>8.3612753469301335</v>
      </c>
      <c r="F25" s="149">
        <f>L$32*1000</f>
        <v>8.3612753469301335</v>
      </c>
      <c r="G25" s="149">
        <f>M$32*1000</f>
        <v>8.3612753469301335</v>
      </c>
      <c r="H25" s="94" t="s">
        <v>18</v>
      </c>
      <c r="I25" s="150"/>
      <c r="J25" s="151"/>
      <c r="K25" s="151"/>
      <c r="L25" s="151"/>
      <c r="M25" s="151"/>
      <c r="N25" s="109"/>
      <c r="O25" s="71"/>
      <c r="P25" s="71"/>
      <c r="Q25" s="71"/>
      <c r="R25" s="71"/>
      <c r="S25" s="71"/>
      <c r="T25" s="71"/>
      <c r="U25" s="71"/>
      <c r="V25" s="71"/>
      <c r="W25" s="71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</row>
    <row r="26" spans="1:97" s="39" customFormat="1" ht="15" customHeight="1" x14ac:dyDescent="0.2">
      <c r="A26" s="74"/>
      <c r="B26" s="89"/>
      <c r="C26" s="134" t="s">
        <v>194</v>
      </c>
      <c r="D26" s="107" t="s">
        <v>8</v>
      </c>
      <c r="E26" s="149">
        <f>E$18+2*(E$20+E$22*(E$21*1.03+0.026))</f>
        <v>26.302</v>
      </c>
      <c r="F26" s="149">
        <f>F$18+2*(F$20+F$22*(F$21*1.03+0.026))</f>
        <v>26.302</v>
      </c>
      <c r="G26" s="149">
        <f>G$18+2*(G$20+G$22*(G$21*1.03+0.026))</f>
        <v>26.302</v>
      </c>
      <c r="H26" s="94" t="s">
        <v>18</v>
      </c>
      <c r="I26" s="95"/>
      <c r="J26" s="94"/>
      <c r="K26" s="94"/>
      <c r="L26" s="94"/>
      <c r="M26" s="94"/>
      <c r="N26" s="109"/>
      <c r="O26" s="71"/>
      <c r="P26" s="71"/>
      <c r="Q26" s="71"/>
      <c r="R26" s="71"/>
      <c r="S26" s="71"/>
      <c r="T26" s="71"/>
      <c r="U26" s="71"/>
      <c r="V26" s="71"/>
      <c r="W26" s="71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</row>
    <row r="27" spans="1:97" s="39" customFormat="1" ht="15" customHeight="1" thickBot="1" x14ac:dyDescent="0.25">
      <c r="A27" s="74"/>
      <c r="B27" s="124" t="s">
        <v>220</v>
      </c>
      <c r="C27" s="90"/>
      <c r="D27" s="107"/>
      <c r="E27" s="94"/>
      <c r="F27" s="94"/>
      <c r="G27" s="94"/>
      <c r="H27" s="94"/>
      <c r="I27" s="152" t="s">
        <v>187</v>
      </c>
      <c r="J27" s="94"/>
      <c r="K27" s="94"/>
      <c r="L27" s="94"/>
      <c r="M27" s="94"/>
      <c r="N27" s="109"/>
      <c r="O27" s="71"/>
      <c r="P27" s="71"/>
      <c r="Q27" s="71"/>
      <c r="R27" s="71"/>
      <c r="S27" s="71"/>
      <c r="T27" s="71"/>
      <c r="U27" s="71"/>
      <c r="V27" s="71"/>
      <c r="W27" s="71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</row>
    <row r="28" spans="1:97" s="39" customFormat="1" ht="15" customHeight="1" thickBot="1" x14ac:dyDescent="0.25">
      <c r="A28" s="74"/>
      <c r="B28" s="89"/>
      <c r="C28" s="90" t="s">
        <v>216</v>
      </c>
      <c r="D28" s="107" t="s">
        <v>51</v>
      </c>
      <c r="E28" s="103">
        <v>4.5</v>
      </c>
      <c r="F28" s="143">
        <v>4.5</v>
      </c>
      <c r="G28" s="143">
        <v>4.5</v>
      </c>
      <c r="H28" s="94" t="s">
        <v>202</v>
      </c>
      <c r="I28" s="95" t="s">
        <v>190</v>
      </c>
      <c r="J28" s="94" t="s">
        <v>52</v>
      </c>
      <c r="K28" s="129">
        <f>PI()*(($E$21*0.001)/2)^2</f>
        <v>1.7671458676442583E-8</v>
      </c>
      <c r="L28" s="129">
        <f>PI()*(($F$21*0.001)/2)^2</f>
        <v>1.7671458676442583E-8</v>
      </c>
      <c r="M28" s="129">
        <f>PI()*(($G$21*0.001)/2)^2</f>
        <v>1.7671458676442583E-8</v>
      </c>
      <c r="N28" s="109" t="s">
        <v>361</v>
      </c>
      <c r="O28" s="71"/>
      <c r="P28" s="71"/>
      <c r="Q28" s="71"/>
      <c r="R28" s="71"/>
      <c r="S28" s="71"/>
      <c r="T28" s="71"/>
      <c r="U28" s="71"/>
      <c r="V28" s="71"/>
      <c r="W28" s="71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</row>
    <row r="29" spans="1:97" s="39" customFormat="1" ht="15" customHeight="1" thickBot="1" x14ac:dyDescent="0.25">
      <c r="A29" s="74"/>
      <c r="B29" s="89"/>
      <c r="C29" s="90" t="s">
        <v>217</v>
      </c>
      <c r="D29" s="107" t="s">
        <v>53</v>
      </c>
      <c r="E29" s="153">
        <v>9000</v>
      </c>
      <c r="F29" s="154">
        <v>9000</v>
      </c>
      <c r="G29" s="154">
        <v>9000</v>
      </c>
      <c r="H29" s="108" t="s">
        <v>366</v>
      </c>
      <c r="I29" s="95" t="s">
        <v>191</v>
      </c>
      <c r="J29" s="94" t="s">
        <v>247</v>
      </c>
      <c r="K29" s="155">
        <f>K$28*E$19/IF(E24=2,$V$5,$U$5)</f>
        <v>7.5286687852299767</v>
      </c>
      <c r="L29" s="155">
        <f>L$28*F$19/IF(F24=2,$V$5,$U$5)</f>
        <v>7.5286687852299767</v>
      </c>
      <c r="M29" s="155">
        <f>M$28*G$19/IF(G24=2,$V$5,$U$5)</f>
        <v>7.5286687852299767</v>
      </c>
      <c r="N29" s="109" t="s">
        <v>48</v>
      </c>
      <c r="O29" s="71"/>
      <c r="P29" s="71"/>
      <c r="Q29" s="71"/>
      <c r="R29" s="71"/>
      <c r="S29" s="71"/>
      <c r="T29" s="71"/>
      <c r="U29" s="71"/>
      <c r="V29" s="71"/>
      <c r="W29" s="71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</row>
    <row r="30" spans="1:97" s="39" customFormat="1" ht="15" customHeight="1" x14ac:dyDescent="0.2">
      <c r="A30" s="74"/>
      <c r="B30" s="89"/>
      <c r="C30" s="90"/>
      <c r="D30" s="107"/>
      <c r="E30" s="94"/>
      <c r="F30" s="94"/>
      <c r="G30" s="94"/>
      <c r="H30" s="94" t="s">
        <v>224</v>
      </c>
      <c r="I30" s="95" t="s">
        <v>192</v>
      </c>
      <c r="J30" s="94" t="s">
        <v>31</v>
      </c>
      <c r="K30" s="133">
        <f>K$28*K$29*IF(E24=2,$V$6,$U$6)</f>
        <v>1.1880700547884555E-3</v>
      </c>
      <c r="L30" s="133">
        <f>L$28*L$29*IF(F24=2,$V$6,$U$6)</f>
        <v>1.1880700547884555E-3</v>
      </c>
      <c r="M30" s="133">
        <f>M$28*M$29*IF(G24=2,$V$6,$U$6)</f>
        <v>1.1880700547884555E-3</v>
      </c>
      <c r="N30" s="109" t="s">
        <v>35</v>
      </c>
      <c r="O30" s="71"/>
      <c r="P30" s="71"/>
      <c r="Q30" s="71"/>
      <c r="R30" s="71"/>
      <c r="S30" s="71"/>
      <c r="T30" s="71"/>
      <c r="U30" s="71"/>
      <c r="V30" s="71"/>
      <c r="W30" s="71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</row>
    <row r="31" spans="1:97" s="39" customFormat="1" ht="15" customHeight="1" x14ac:dyDescent="0.2">
      <c r="A31" s="74"/>
      <c r="B31" s="89"/>
      <c r="C31" s="90"/>
      <c r="D31" s="107"/>
      <c r="E31" s="140"/>
      <c r="F31" s="92"/>
      <c r="G31" s="92"/>
      <c r="H31" s="94"/>
      <c r="I31" s="95" t="s">
        <v>182</v>
      </c>
      <c r="J31" s="94" t="s">
        <v>54</v>
      </c>
      <c r="K31" s="156">
        <f>(K$29-E$23)/(PI()*(E$18+2*E$20+(E$21*1.03+0.026)*E$22)*0.001)</f>
        <v>91.644543809837103</v>
      </c>
      <c r="L31" s="156">
        <f>(L$29-F$23)/(PI()*(F$18+2*F$20+(F$21*1.03+0.026)*F$22)*0.001)</f>
        <v>91.644543809837103</v>
      </c>
      <c r="M31" s="156">
        <f>(M$29-G$23)/(PI()*(G$18+2*G$20+(G$21*1.03+0.026)*G$22)*0.001)</f>
        <v>91.644543809837103</v>
      </c>
      <c r="N31" s="109" t="s">
        <v>55</v>
      </c>
      <c r="O31" s="71"/>
      <c r="P31" s="71"/>
      <c r="Q31" s="71"/>
      <c r="R31" s="71"/>
      <c r="S31" s="71"/>
      <c r="T31" s="71"/>
      <c r="U31" s="71"/>
      <c r="V31" s="71"/>
      <c r="W31" s="71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</row>
    <row r="32" spans="1:97" s="39" customFormat="1" ht="15" customHeight="1" thickBot="1" x14ac:dyDescent="0.25">
      <c r="A32" s="74"/>
      <c r="B32" s="124" t="s">
        <v>221</v>
      </c>
      <c r="C32" s="114"/>
      <c r="D32" s="107"/>
      <c r="E32" s="140"/>
      <c r="F32" s="92"/>
      <c r="G32" s="92"/>
      <c r="H32" s="94"/>
      <c r="I32" s="126" t="s">
        <v>248</v>
      </c>
      <c r="J32" s="94" t="s">
        <v>50</v>
      </c>
      <c r="K32" s="133">
        <f>(K$29-E$23)/(PI()*(E$18+2*E$20+(E$21*1.15+0.01)*E$22)*0.001)/E$22*(E$21*1.15+0.01)*0.001</f>
        <v>8.3612753469301335E-3</v>
      </c>
      <c r="L32" s="133">
        <f>(L$29-F$23)/(PI()*(F$18+2*F$20+(F$21*1.15+0.01)*F$22)*0.001)/F$22*(F$21*1.15+0.01)*0.001</f>
        <v>8.3612753469301335E-3</v>
      </c>
      <c r="M32" s="133">
        <f>(M$29-G$23)/(PI()*(G$18+2*G$20+(G$21*1.15+0.01)*G$22)*0.001)/G$22*(G$21*1.15+0.01)*0.001</f>
        <v>8.3612753469301335E-3</v>
      </c>
      <c r="N32" s="109" t="s">
        <v>204</v>
      </c>
      <c r="O32" s="71"/>
      <c r="P32" s="71"/>
      <c r="Q32" s="71"/>
      <c r="R32" s="71"/>
      <c r="S32" s="71"/>
      <c r="T32" s="71"/>
      <c r="U32" s="71"/>
      <c r="V32" s="71"/>
      <c r="W32" s="71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</row>
    <row r="33" spans="1:97" s="39" customFormat="1" ht="15" customHeight="1" thickBot="1" x14ac:dyDescent="0.25">
      <c r="A33" s="74"/>
      <c r="B33" s="89"/>
      <c r="C33" s="114" t="s">
        <v>170</v>
      </c>
      <c r="D33" s="107" t="s">
        <v>367</v>
      </c>
      <c r="E33" s="157">
        <v>1</v>
      </c>
      <c r="F33" s="143">
        <v>1</v>
      </c>
      <c r="G33" s="143">
        <v>1</v>
      </c>
      <c r="H33" s="94"/>
      <c r="I33" s="158" t="s">
        <v>205</v>
      </c>
      <c r="J33" s="94" t="s">
        <v>249</v>
      </c>
      <c r="K33" s="156">
        <f>IF(K$32*1000&gt;(E$28*E$35),K$31*E$35/(K$32*1000)*E$28,K$31)</f>
        <v>59.187207218910352</v>
      </c>
      <c r="L33" s="156">
        <f>IF(L$32*1000&gt;(F$28*F$35),L$31*F$35/(L$32*1000)*F$28,L$31)</f>
        <v>59.187207218910352</v>
      </c>
      <c r="M33" s="156">
        <f>IF(M$32*1000&gt;(G$28*G$35),M$31*G$35/(M$32*1000)*G$28,M$31)</f>
        <v>59.187207218910352</v>
      </c>
      <c r="N33" s="109" t="s">
        <v>55</v>
      </c>
      <c r="O33" s="71"/>
      <c r="P33" s="71"/>
      <c r="Q33" s="71"/>
      <c r="R33" s="71"/>
      <c r="S33" s="71"/>
      <c r="T33" s="71"/>
      <c r="U33" s="71"/>
      <c r="V33" s="71"/>
      <c r="W33" s="71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</row>
    <row r="34" spans="1:97" s="39" customFormat="1" ht="15" customHeight="1" thickBot="1" x14ac:dyDescent="0.25">
      <c r="A34" s="74"/>
      <c r="B34" s="89"/>
      <c r="C34" s="90" t="s">
        <v>162</v>
      </c>
      <c r="D34" s="107" t="s">
        <v>368</v>
      </c>
      <c r="E34" s="157">
        <v>1</v>
      </c>
      <c r="F34" s="143">
        <v>1</v>
      </c>
      <c r="G34" s="143">
        <v>1</v>
      </c>
      <c r="H34" s="94"/>
      <c r="I34" s="95" t="s">
        <v>206</v>
      </c>
      <c r="J34" s="94" t="s">
        <v>250</v>
      </c>
      <c r="K34" s="155">
        <f t="shared" ref="K34:M34" si="0">K$29*K$33/K$31*0.7</f>
        <v>3.4035917760581684</v>
      </c>
      <c r="L34" s="155">
        <f t="shared" si="0"/>
        <v>3.4035917760581684</v>
      </c>
      <c r="M34" s="155">
        <f t="shared" si="0"/>
        <v>3.4035917760581684</v>
      </c>
      <c r="N34" s="109" t="s">
        <v>48</v>
      </c>
      <c r="O34" s="71"/>
      <c r="P34" s="71"/>
      <c r="Q34" s="71"/>
      <c r="R34" s="71"/>
      <c r="S34" s="71"/>
      <c r="T34" s="71"/>
      <c r="U34" s="71"/>
      <c r="V34" s="71"/>
      <c r="W34" s="71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</row>
    <row r="35" spans="1:97" s="39" customFormat="1" ht="15" customHeight="1" thickBot="1" x14ac:dyDescent="0.25">
      <c r="A35" s="74"/>
      <c r="B35" s="89"/>
      <c r="C35" s="90" t="s">
        <v>163</v>
      </c>
      <c r="D35" s="107" t="s">
        <v>369</v>
      </c>
      <c r="E35" s="157">
        <v>1.2</v>
      </c>
      <c r="F35" s="143">
        <v>1.2</v>
      </c>
      <c r="G35" s="143">
        <v>1.2</v>
      </c>
      <c r="H35" s="94"/>
      <c r="I35" s="158" t="s">
        <v>207</v>
      </c>
      <c r="J35" s="94" t="s">
        <v>56</v>
      </c>
      <c r="K35" s="129">
        <f>$K$28*$K$34</f>
        <v>6.0146431422091741E-8</v>
      </c>
      <c r="L35" s="129">
        <f>$L$28*$L$34</f>
        <v>6.0146431422091741E-8</v>
      </c>
      <c r="M35" s="129">
        <f>$M$28*$M$34</f>
        <v>6.0146431422091741E-8</v>
      </c>
      <c r="N35" s="109" t="s">
        <v>370</v>
      </c>
      <c r="O35" s="71"/>
      <c r="P35" s="71"/>
      <c r="Q35" s="71"/>
      <c r="R35" s="71"/>
      <c r="S35" s="71"/>
      <c r="T35" s="71"/>
      <c r="U35" s="71"/>
      <c r="V35" s="71"/>
      <c r="W35" s="71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</row>
    <row r="36" spans="1:97" s="39" customFormat="1" ht="15" customHeight="1" thickBot="1" x14ac:dyDescent="0.25">
      <c r="A36" s="74"/>
      <c r="B36" s="159" t="s">
        <v>225</v>
      </c>
      <c r="C36" s="160"/>
      <c r="D36" s="107" t="s">
        <v>371</v>
      </c>
      <c r="E36" s="161">
        <v>0.8</v>
      </c>
      <c r="F36" s="162">
        <v>0.8</v>
      </c>
      <c r="G36" s="162">
        <v>0.8</v>
      </c>
      <c r="H36" s="94"/>
      <c r="I36" s="95" t="s">
        <v>180</v>
      </c>
      <c r="J36" s="94" t="s">
        <v>57</v>
      </c>
      <c r="K36" s="163">
        <f>IF(K37=1,PI()^2*K$31^2*(E$18*0.001)^2/K$32*10^(-7)*(0.87*EXP(-((E$18/E$25)^0.77)/2.25)+0.13),0)</f>
        <v>2.7840363980592085E-4</v>
      </c>
      <c r="L36" s="163">
        <f>IF(L37=1,PI()^2*L$31^2*(F$18*0.001)^2/L$32*10^(-7)*(0.87*EXP(-((F$18/F$25)^0.77)/2.25)+0.13),0)</f>
        <v>2.7840363980592085E-4</v>
      </c>
      <c r="M36" s="163">
        <f>IF(M37=1,PI()^2*M$31^2*(G$18*0.001)^2/M$32*10^(-7)*(0.87*EXP(-((G$18/G$25)^0.77)/2.25)+0.13),0)</f>
        <v>2.7840363980592085E-4</v>
      </c>
      <c r="N36" s="109" t="s">
        <v>58</v>
      </c>
      <c r="O36" s="71"/>
      <c r="P36" s="71"/>
      <c r="Q36" s="71"/>
      <c r="R36" s="71"/>
      <c r="S36" s="71"/>
      <c r="T36" s="71"/>
      <c r="U36" s="71"/>
      <c r="V36" s="71"/>
      <c r="W36" s="71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</row>
    <row r="37" spans="1:97" s="39" customFormat="1" ht="15" customHeight="1" thickBot="1" x14ac:dyDescent="0.25">
      <c r="A37" s="74"/>
      <c r="B37" s="124" t="s">
        <v>222</v>
      </c>
      <c r="C37" s="90"/>
      <c r="D37" s="107"/>
      <c r="E37" s="94"/>
      <c r="F37" s="164"/>
      <c r="G37" s="164"/>
      <c r="H37" s="94"/>
      <c r="I37" s="95" t="s">
        <v>180</v>
      </c>
      <c r="J37" s="94"/>
      <c r="K37" s="151">
        <v>1</v>
      </c>
      <c r="L37" s="151">
        <f t="shared" ref="L37:M37" si="1">K37</f>
        <v>1</v>
      </c>
      <c r="M37" s="151">
        <f t="shared" si="1"/>
        <v>1</v>
      </c>
      <c r="N37" s="109"/>
      <c r="O37" s="71"/>
      <c r="P37" s="71"/>
      <c r="Q37" s="71"/>
      <c r="R37" s="71"/>
      <c r="S37" s="71"/>
      <c r="T37" s="71"/>
      <c r="U37" s="71"/>
      <c r="V37" s="71"/>
      <c r="W37" s="71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</row>
    <row r="38" spans="1:97" s="39" customFormat="1" ht="15" customHeight="1" thickBot="1" x14ac:dyDescent="0.25">
      <c r="A38" s="74"/>
      <c r="B38" s="89"/>
      <c r="C38" s="90" t="s">
        <v>164</v>
      </c>
      <c r="D38" s="107" t="s">
        <v>59</v>
      </c>
      <c r="E38" s="103">
        <v>2.83</v>
      </c>
      <c r="F38" s="143">
        <v>2.83</v>
      </c>
      <c r="G38" s="143">
        <v>2.83</v>
      </c>
      <c r="H38" s="107" t="s">
        <v>60</v>
      </c>
      <c r="I38" s="165" t="s">
        <v>230</v>
      </c>
      <c r="J38" s="166" t="s">
        <v>200</v>
      </c>
      <c r="K38" s="167">
        <f>AVERAGE(K39:K42)</f>
        <v>87.749510186970241</v>
      </c>
      <c r="L38" s="167">
        <f>AVERAGE(L39:L42)</f>
        <v>88.146915940790734</v>
      </c>
      <c r="M38" s="167">
        <f>AVERAGE(M39:M42)</f>
        <v>89.00646783827365</v>
      </c>
      <c r="N38" s="168" t="s">
        <v>61</v>
      </c>
      <c r="O38" s="71"/>
      <c r="P38" s="71"/>
      <c r="Q38" s="71"/>
      <c r="R38" s="71"/>
      <c r="S38" s="71"/>
      <c r="T38" s="71"/>
      <c r="U38" s="71"/>
      <c r="V38" s="71"/>
      <c r="W38" s="71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</row>
    <row r="39" spans="1:97" s="39" customFormat="1" ht="15" customHeight="1" thickBot="1" x14ac:dyDescent="0.25">
      <c r="A39" s="74"/>
      <c r="B39" s="89"/>
      <c r="C39" s="90" t="s">
        <v>165</v>
      </c>
      <c r="D39" s="107" t="s">
        <v>372</v>
      </c>
      <c r="E39" s="157">
        <v>8</v>
      </c>
      <c r="F39" s="143">
        <v>8</v>
      </c>
      <c r="G39" s="143">
        <v>8</v>
      </c>
      <c r="H39" s="169" t="s">
        <v>62</v>
      </c>
      <c r="I39" s="170">
        <v>200</v>
      </c>
      <c r="J39" s="94" t="s">
        <v>2</v>
      </c>
      <c r="K39" s="171">
        <f>FRES!AG185</f>
        <v>87.895102190842479</v>
      </c>
      <c r="L39" s="171">
        <f>FRES!AH185</f>
        <v>88.580333503541837</v>
      </c>
      <c r="M39" s="171">
        <f>FRES!AI185</f>
        <v>90.105233655817898</v>
      </c>
      <c r="N39" s="109" t="s">
        <v>61</v>
      </c>
      <c r="O39" s="71"/>
      <c r="P39" s="71"/>
      <c r="Q39" s="71"/>
      <c r="R39" s="71"/>
      <c r="S39" s="71"/>
      <c r="T39" s="71"/>
      <c r="U39" s="71"/>
      <c r="V39" s="71"/>
      <c r="W39" s="71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</row>
    <row r="40" spans="1:97" s="39" customFormat="1" ht="15" customHeight="1" thickBot="1" x14ac:dyDescent="0.25">
      <c r="A40" s="74"/>
      <c r="B40" s="89"/>
      <c r="C40" s="134" t="s">
        <v>185</v>
      </c>
      <c r="D40" s="107"/>
      <c r="E40" s="172">
        <f>E38^2/E39</f>
        <v>1.0011125000000001</v>
      </c>
      <c r="F40" s="172">
        <f>F38^2/F39</f>
        <v>1.0011125000000001</v>
      </c>
      <c r="G40" s="172">
        <f>G38^2/G39</f>
        <v>1.0011125000000001</v>
      </c>
      <c r="H40" s="169" t="s">
        <v>63</v>
      </c>
      <c r="I40" s="170">
        <v>250</v>
      </c>
      <c r="J40" s="94" t="s">
        <v>2</v>
      </c>
      <c r="K40" s="171">
        <f>FRES!AG186</f>
        <v>87.777621252939397</v>
      </c>
      <c r="L40" s="171">
        <f>FRES!AH186</f>
        <v>88.213181179752553</v>
      </c>
      <c r="M40" s="171">
        <f>FRES!AI186</f>
        <v>89.148514834366907</v>
      </c>
      <c r="N40" s="109" t="s">
        <v>61</v>
      </c>
      <c r="O40" s="71"/>
      <c r="P40" s="71"/>
      <c r="Q40" s="71"/>
      <c r="R40" s="71"/>
      <c r="S40" s="71"/>
      <c r="T40" s="71"/>
      <c r="U40" s="71"/>
      <c r="V40" s="71"/>
      <c r="W40" s="71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</row>
    <row r="41" spans="1:97" s="39" customFormat="1" ht="15" customHeight="1" thickBot="1" x14ac:dyDescent="0.25">
      <c r="A41" s="74"/>
      <c r="B41" s="173"/>
      <c r="C41" s="174"/>
      <c r="D41" s="94"/>
      <c r="E41" s="92"/>
      <c r="F41" s="94"/>
      <c r="G41" s="94"/>
      <c r="H41" s="94"/>
      <c r="I41" s="170">
        <v>300</v>
      </c>
      <c r="J41" s="94" t="s">
        <v>2</v>
      </c>
      <c r="K41" s="171">
        <f>FRES!AG187</f>
        <v>87.706361433381801</v>
      </c>
      <c r="L41" s="171">
        <f>FRES!AH187</f>
        <v>88.00719457243099</v>
      </c>
      <c r="M41" s="171">
        <f>FRES!AI187</f>
        <v>88.639607529202181</v>
      </c>
      <c r="N41" s="109" t="s">
        <v>61</v>
      </c>
      <c r="O41" s="71"/>
      <c r="P41" s="71"/>
      <c r="Q41" s="71"/>
      <c r="R41" s="71"/>
      <c r="S41" s="71"/>
      <c r="T41" s="71"/>
      <c r="U41" s="71"/>
      <c r="V41" s="71"/>
      <c r="W41" s="71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</row>
    <row r="42" spans="1:97" s="39" customFormat="1" ht="15" customHeight="1" thickBot="1" x14ac:dyDescent="0.25">
      <c r="A42" s="74"/>
      <c r="B42" s="175" t="s">
        <v>223</v>
      </c>
      <c r="C42" s="176"/>
      <c r="D42" s="177"/>
      <c r="E42" s="178"/>
      <c r="F42" s="179"/>
      <c r="G42" s="179"/>
      <c r="H42" s="179"/>
      <c r="I42" s="170">
        <v>400</v>
      </c>
      <c r="J42" s="94" t="s">
        <v>2</v>
      </c>
      <c r="K42" s="171">
        <f>FRES!AG188</f>
        <v>87.618955870717315</v>
      </c>
      <c r="L42" s="171">
        <f>FRES!AH188</f>
        <v>87.786954507437542</v>
      </c>
      <c r="M42" s="171">
        <f>FRES!AI188</f>
        <v>88.132515333707588</v>
      </c>
      <c r="N42" s="109" t="s">
        <v>61</v>
      </c>
      <c r="O42" s="71"/>
      <c r="P42" s="71"/>
      <c r="Q42" s="71"/>
      <c r="R42" s="71"/>
      <c r="S42" s="71"/>
      <c r="T42" s="71"/>
      <c r="U42" s="71"/>
      <c r="V42" s="71"/>
      <c r="W42" s="71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</row>
    <row r="43" spans="1:97" x14ac:dyDescent="0.25">
      <c r="A43" s="180"/>
      <c r="B43" s="181"/>
      <c r="C43" s="181"/>
      <c r="D43" s="182"/>
      <c r="E43" s="183"/>
      <c r="F43" s="184"/>
      <c r="G43" s="184"/>
      <c r="H43" s="59"/>
      <c r="I43" s="185"/>
      <c r="J43" s="59"/>
      <c r="K43" s="59"/>
      <c r="L43" s="59"/>
      <c r="M43" s="59"/>
      <c r="N43" s="186"/>
      <c r="O43" s="56"/>
      <c r="P43" s="187"/>
      <c r="Q43" s="56"/>
      <c r="R43" s="56"/>
      <c r="S43" s="56"/>
      <c r="T43" s="56"/>
      <c r="U43" s="56"/>
      <c r="V43" s="56"/>
      <c r="W43" s="56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</row>
    <row r="44" spans="1:97" ht="15.75" x14ac:dyDescent="0.25">
      <c r="A44" s="180"/>
      <c r="B44" s="188"/>
      <c r="C44" s="189"/>
      <c r="D44" s="190"/>
      <c r="E44" s="191"/>
      <c r="F44" s="192"/>
      <c r="G44" s="192"/>
      <c r="H44" s="193"/>
      <c r="I44" s="194"/>
      <c r="J44" s="193"/>
      <c r="K44" s="193"/>
      <c r="L44" s="193"/>
      <c r="M44" s="193"/>
      <c r="N44" s="195"/>
      <c r="O44" s="56"/>
      <c r="P44" s="196" t="s">
        <v>356</v>
      </c>
      <c r="Q44" s="56"/>
      <c r="R44" s="56"/>
      <c r="S44" s="56"/>
      <c r="T44" s="56"/>
      <c r="U44" s="56"/>
      <c r="V44" s="56"/>
      <c r="W44" s="56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</row>
    <row r="45" spans="1:97" ht="15.75" x14ac:dyDescent="0.25">
      <c r="A45" s="180"/>
      <c r="B45" s="188"/>
      <c r="C45" s="189"/>
      <c r="D45" s="190"/>
      <c r="E45" s="191"/>
      <c r="F45" s="192"/>
      <c r="G45" s="192"/>
      <c r="H45" s="193"/>
      <c r="I45" s="194"/>
      <c r="J45" s="193"/>
      <c r="K45" s="193"/>
      <c r="L45" s="193"/>
      <c r="M45" s="193"/>
      <c r="N45" s="195"/>
      <c r="O45" s="197" t="s">
        <v>357</v>
      </c>
      <c r="P45" s="198">
        <v>10</v>
      </c>
      <c r="Q45" s="56"/>
      <c r="R45" s="56"/>
      <c r="S45" s="56"/>
      <c r="T45" s="56"/>
      <c r="U45" s="56"/>
      <c r="V45" s="56"/>
      <c r="W45" s="56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</row>
    <row r="46" spans="1:97" ht="15.75" x14ac:dyDescent="0.25">
      <c r="A46" s="180"/>
      <c r="B46" s="188"/>
      <c r="C46" s="189"/>
      <c r="D46" s="190"/>
      <c r="E46" s="191"/>
      <c r="F46" s="192"/>
      <c r="G46" s="192"/>
      <c r="H46" s="193"/>
      <c r="I46" s="194"/>
      <c r="J46" s="193"/>
      <c r="K46" s="193"/>
      <c r="L46" s="193"/>
      <c r="M46" s="193"/>
      <c r="N46" s="195"/>
      <c r="O46" s="197" t="s">
        <v>357</v>
      </c>
      <c r="P46" s="198">
        <v>100000</v>
      </c>
      <c r="Q46" s="56"/>
      <c r="R46" s="56"/>
      <c r="S46" s="56"/>
      <c r="T46" s="56"/>
      <c r="U46" s="56"/>
      <c r="V46" s="56"/>
      <c r="W46" s="56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</row>
    <row r="47" spans="1:97" ht="15.75" x14ac:dyDescent="0.25">
      <c r="A47" s="180"/>
      <c r="B47" s="188"/>
      <c r="C47" s="189"/>
      <c r="D47" s="190"/>
      <c r="E47" s="191"/>
      <c r="F47" s="192"/>
      <c r="G47" s="192"/>
      <c r="H47" s="193"/>
      <c r="I47" s="194"/>
      <c r="J47" s="193"/>
      <c r="K47" s="193"/>
      <c r="L47" s="193"/>
      <c r="M47" s="193"/>
      <c r="N47" s="195" t="str">
        <f>"↑"&amp;CONCATENATE(CELLINFO!J6,"to",CELLINFO!J7,"Hz")</f>
        <v>↑80to2kHz</v>
      </c>
      <c r="O47" s="57"/>
      <c r="P47" s="199"/>
      <c r="Q47" s="57"/>
      <c r="R47" s="56"/>
      <c r="S47" s="56"/>
      <c r="T47" s="56"/>
      <c r="U47" s="56"/>
      <c r="V47" s="56"/>
      <c r="W47" s="56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</row>
    <row r="48" spans="1:97" ht="15.75" x14ac:dyDescent="0.25">
      <c r="A48" s="180"/>
      <c r="B48" s="188"/>
      <c r="C48" s="189"/>
      <c r="D48" s="190"/>
      <c r="E48" s="191"/>
      <c r="F48" s="192"/>
      <c r="G48" s="192"/>
      <c r="H48" s="193"/>
      <c r="I48" s="194"/>
      <c r="J48" s="193"/>
      <c r="K48" s="193"/>
      <c r="L48" s="193"/>
      <c r="M48" s="193"/>
      <c r="N48" s="195" t="str">
        <f>CELLINFO!J8</f>
        <v>30p/oct</v>
      </c>
      <c r="O48" s="57"/>
      <c r="P48" s="199"/>
      <c r="Q48" s="57"/>
      <c r="R48" s="56"/>
      <c r="S48" s="200"/>
      <c r="T48" s="56"/>
      <c r="U48" s="56"/>
      <c r="V48" s="56"/>
      <c r="W48" s="56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</row>
    <row r="49" spans="1:97" ht="15.75" x14ac:dyDescent="0.25">
      <c r="A49" s="180"/>
      <c r="B49" s="188"/>
      <c r="C49" s="189"/>
      <c r="D49" s="190"/>
      <c r="E49" s="191"/>
      <c r="F49" s="192"/>
      <c r="G49" s="192"/>
      <c r="H49" s="193"/>
      <c r="I49" s="194"/>
      <c r="J49" s="193"/>
      <c r="K49" s="193"/>
      <c r="L49" s="193"/>
      <c r="M49" s="193"/>
      <c r="N49" s="195"/>
      <c r="O49" s="57"/>
      <c r="P49" s="199"/>
      <c r="Q49" s="57"/>
      <c r="R49" s="56"/>
      <c r="S49" s="56"/>
      <c r="T49" s="56"/>
      <c r="U49" s="56"/>
      <c r="V49" s="56"/>
      <c r="W49" s="56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</row>
    <row r="50" spans="1:97" ht="15.75" x14ac:dyDescent="0.25">
      <c r="A50" s="180"/>
      <c r="B50" s="188"/>
      <c r="C50" s="189"/>
      <c r="D50" s="190"/>
      <c r="E50" s="191"/>
      <c r="F50" s="192"/>
      <c r="G50" s="192"/>
      <c r="H50" s="193"/>
      <c r="I50" s="194"/>
      <c r="J50" s="193"/>
      <c r="K50" s="193"/>
      <c r="L50" s="193"/>
      <c r="M50" s="193"/>
      <c r="N50" s="201"/>
      <c r="O50" s="197" t="s">
        <v>357</v>
      </c>
      <c r="P50" s="202">
        <v>10</v>
      </c>
      <c r="Q50" s="57"/>
      <c r="R50" s="56"/>
      <c r="S50" s="56"/>
      <c r="T50" s="56"/>
      <c r="U50" s="56"/>
      <c r="V50" s="56"/>
      <c r="W50" s="56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</row>
    <row r="51" spans="1:97" ht="15.75" x14ac:dyDescent="0.25">
      <c r="A51" s="180"/>
      <c r="B51" s="188"/>
      <c r="C51" s="189"/>
      <c r="D51" s="190"/>
      <c r="E51" s="191"/>
      <c r="F51" s="192"/>
      <c r="G51" s="192"/>
      <c r="H51" s="193"/>
      <c r="I51" s="194"/>
      <c r="J51" s="193"/>
      <c r="K51" s="193"/>
      <c r="L51" s="193"/>
      <c r="M51" s="193"/>
      <c r="N51" s="201"/>
      <c r="O51" s="197" t="s">
        <v>357</v>
      </c>
      <c r="P51" s="202">
        <v>100000</v>
      </c>
      <c r="Q51" s="203"/>
      <c r="R51" s="204"/>
      <c r="S51" s="204"/>
      <c r="T51" s="56"/>
      <c r="U51" s="56"/>
      <c r="V51" s="56"/>
      <c r="W51" s="56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</row>
    <row r="52" spans="1:97" ht="15.75" x14ac:dyDescent="0.25">
      <c r="A52" s="180"/>
      <c r="B52" s="188"/>
      <c r="C52" s="189"/>
      <c r="D52" s="190"/>
      <c r="E52" s="191"/>
      <c r="F52" s="192"/>
      <c r="G52" s="192"/>
      <c r="H52" s="193"/>
      <c r="I52" s="194"/>
      <c r="J52" s="193"/>
      <c r="K52" s="193"/>
      <c r="L52" s="193"/>
      <c r="M52" s="193"/>
      <c r="N52" s="195" t="str">
        <f>"↑"&amp;CONCATENATE(CELLINFO!I6,"to",CELLINFO!I7,"Hz")</f>
        <v>↑20to500Hz</v>
      </c>
      <c r="O52" s="57"/>
      <c r="P52" s="205"/>
      <c r="Q52" s="203"/>
      <c r="R52" s="204"/>
      <c r="S52" s="204"/>
      <c r="T52" s="56"/>
      <c r="U52" s="56"/>
      <c r="V52" s="56"/>
      <c r="W52" s="56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</row>
    <row r="53" spans="1:97" ht="15.75" x14ac:dyDescent="0.25">
      <c r="A53" s="180"/>
      <c r="B53" s="188"/>
      <c r="C53" s="189"/>
      <c r="D53" s="190"/>
      <c r="E53" s="191"/>
      <c r="F53" s="192"/>
      <c r="G53" s="192"/>
      <c r="H53" s="193"/>
      <c r="I53" s="194"/>
      <c r="J53" s="193"/>
      <c r="K53" s="193"/>
      <c r="L53" s="193"/>
      <c r="M53" s="193"/>
      <c r="N53" s="195" t="str">
        <f>CELLINFO!I8</f>
        <v>30p/oct</v>
      </c>
      <c r="O53" s="57"/>
      <c r="P53" s="205"/>
      <c r="Q53" s="203"/>
      <c r="R53" s="204"/>
      <c r="S53" s="204"/>
      <c r="T53" s="56"/>
      <c r="U53" s="56"/>
      <c r="V53" s="56"/>
      <c r="W53" s="56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</row>
    <row r="54" spans="1:97" ht="15.75" x14ac:dyDescent="0.25">
      <c r="A54" s="180"/>
      <c r="B54" s="188"/>
      <c r="C54" s="189"/>
      <c r="D54" s="190"/>
      <c r="E54" s="191"/>
      <c r="F54" s="192"/>
      <c r="G54" s="192"/>
      <c r="H54" s="193"/>
      <c r="I54" s="194"/>
      <c r="J54" s="193"/>
      <c r="K54" s="193"/>
      <c r="L54" s="193"/>
      <c r="M54" s="193"/>
      <c r="N54" s="59"/>
      <c r="O54" s="57"/>
      <c r="P54" s="205"/>
      <c r="Q54" s="203"/>
      <c r="R54" s="204"/>
      <c r="S54" s="204"/>
      <c r="T54" s="56"/>
      <c r="U54" s="56"/>
      <c r="V54" s="56"/>
      <c r="W54" s="56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</row>
    <row r="55" spans="1:97" ht="15.75" x14ac:dyDescent="0.25">
      <c r="A55" s="180"/>
      <c r="B55" s="188"/>
      <c r="C55" s="189"/>
      <c r="D55" s="190"/>
      <c r="E55" s="191"/>
      <c r="F55" s="192"/>
      <c r="G55" s="192"/>
      <c r="H55" s="193"/>
      <c r="I55" s="194"/>
      <c r="J55" s="193"/>
      <c r="K55" s="193"/>
      <c r="L55" s="193"/>
      <c r="M55" s="193"/>
      <c r="N55" s="201"/>
      <c r="O55" s="197" t="s">
        <v>357</v>
      </c>
      <c r="P55" s="202">
        <v>1</v>
      </c>
      <c r="Q55" s="203"/>
      <c r="R55" s="204"/>
      <c r="S55" s="206"/>
      <c r="T55" s="56"/>
      <c r="U55" s="56"/>
      <c r="V55" s="56"/>
      <c r="W55" s="56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59"/>
      <c r="AX55" s="59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</row>
    <row r="56" spans="1:97" ht="15.75" x14ac:dyDescent="0.25">
      <c r="A56" s="180"/>
      <c r="B56" s="188"/>
      <c r="C56" s="189"/>
      <c r="D56" s="190"/>
      <c r="E56" s="191"/>
      <c r="F56" s="192"/>
      <c r="G56" s="192"/>
      <c r="H56" s="193"/>
      <c r="I56" s="194"/>
      <c r="J56" s="193"/>
      <c r="K56" s="193"/>
      <c r="L56" s="193"/>
      <c r="M56" s="193"/>
      <c r="N56" s="19"/>
      <c r="O56" s="197" t="s">
        <v>357</v>
      </c>
      <c r="P56" s="202">
        <v>10000</v>
      </c>
      <c r="Q56" s="207"/>
      <c r="R56" s="207"/>
      <c r="S56" s="207"/>
      <c r="T56" s="56"/>
      <c r="U56" s="56"/>
      <c r="V56" s="56"/>
      <c r="W56" s="56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</row>
    <row r="57" spans="1:97" x14ac:dyDescent="0.25">
      <c r="A57" s="180"/>
      <c r="B57" s="188"/>
      <c r="C57" s="189"/>
      <c r="D57" s="190"/>
      <c r="E57" s="191"/>
      <c r="F57" s="192"/>
      <c r="G57" s="192"/>
      <c r="H57" s="193"/>
      <c r="I57" s="194"/>
      <c r="J57" s="193"/>
      <c r="K57" s="193"/>
      <c r="L57" s="193"/>
      <c r="M57" s="193"/>
      <c r="N57" s="195" t="str">
        <f>"↑"&amp;CONCATENATE(CELLINFO!H6,"to",CELLINFO!H7,"Hz")</f>
        <v>↑10to300Hz</v>
      </c>
      <c r="O57" s="208"/>
      <c r="P57" s="209" t="s">
        <v>329</v>
      </c>
      <c r="Q57" s="210"/>
      <c r="R57" s="210"/>
      <c r="S57" s="211"/>
      <c r="T57" s="56"/>
      <c r="U57" s="56"/>
      <c r="V57" s="56"/>
      <c r="W57" s="56"/>
      <c r="X57" s="59"/>
      <c r="Y57" s="59"/>
      <c r="Z57" s="59"/>
      <c r="AA57" s="59"/>
      <c r="AB57" s="59"/>
      <c r="AC57" s="59"/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</row>
    <row r="58" spans="1:97" x14ac:dyDescent="0.25">
      <c r="A58" s="180"/>
      <c r="B58" s="188"/>
      <c r="C58" s="189"/>
      <c r="D58" s="190"/>
      <c r="E58" s="191"/>
      <c r="F58" s="192"/>
      <c r="G58" s="192"/>
      <c r="H58" s="193"/>
      <c r="I58" s="194"/>
      <c r="J58" s="193"/>
      <c r="K58" s="193"/>
      <c r="L58" s="193"/>
      <c r="M58" s="193"/>
      <c r="N58" s="195" t="str">
        <f>CELLINFO!H8</f>
        <v>30p/oct</v>
      </c>
      <c r="O58" s="208"/>
      <c r="P58" s="209" t="s">
        <v>330</v>
      </c>
      <c r="Q58" s="207"/>
      <c r="R58" s="207"/>
      <c r="S58" s="212"/>
      <c r="T58" s="56"/>
      <c r="U58" s="56"/>
      <c r="V58" s="56"/>
      <c r="W58" s="56"/>
      <c r="X58" s="59"/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</row>
    <row r="59" spans="1:97" ht="17.25" x14ac:dyDescent="0.25">
      <c r="A59" s="180"/>
      <c r="B59" s="188"/>
      <c r="C59" s="189"/>
      <c r="D59" s="190"/>
      <c r="E59" s="191"/>
      <c r="F59" s="192"/>
      <c r="G59" s="192"/>
      <c r="H59" s="193"/>
      <c r="I59" s="194"/>
      <c r="J59" s="193"/>
      <c r="K59" s="193"/>
      <c r="L59" s="193"/>
      <c r="M59" s="193"/>
      <c r="N59" s="213"/>
      <c r="O59" s="57"/>
      <c r="P59" s="214" t="s">
        <v>323</v>
      </c>
      <c r="Q59" s="57"/>
      <c r="R59" s="56"/>
      <c r="S59" s="56"/>
      <c r="T59" s="56"/>
      <c r="U59" s="56"/>
      <c r="V59" s="56"/>
      <c r="W59" s="56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</row>
    <row r="60" spans="1:97" ht="17.25" x14ac:dyDescent="0.25">
      <c r="A60" s="180"/>
      <c r="B60" s="188"/>
      <c r="C60" s="189"/>
      <c r="D60" s="190"/>
      <c r="E60" s="191"/>
      <c r="F60" s="192"/>
      <c r="G60" s="192"/>
      <c r="H60" s="193"/>
      <c r="I60" s="194"/>
      <c r="J60" s="193"/>
      <c r="K60" s="193"/>
      <c r="L60" s="193"/>
      <c r="M60" s="193"/>
      <c r="N60" s="213"/>
      <c r="O60" s="57"/>
      <c r="P60" s="214" t="s">
        <v>324</v>
      </c>
      <c r="Q60" s="57"/>
      <c r="R60" s="56"/>
      <c r="S60" s="56"/>
      <c r="T60" s="56"/>
      <c r="U60" s="56"/>
      <c r="V60" s="56"/>
      <c r="W60" s="56"/>
      <c r="X60" s="5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</row>
    <row r="61" spans="1:97" ht="20.25" x14ac:dyDescent="0.45">
      <c r="A61" s="180"/>
      <c r="B61" s="188"/>
      <c r="C61" s="189"/>
      <c r="D61" s="190"/>
      <c r="E61" s="191"/>
      <c r="F61" s="192"/>
      <c r="G61" s="192"/>
      <c r="H61" s="193"/>
      <c r="I61" s="194"/>
      <c r="J61" s="193"/>
      <c r="K61" s="193"/>
      <c r="L61" s="193"/>
      <c r="M61" s="193"/>
      <c r="N61" s="195"/>
      <c r="O61" s="57"/>
      <c r="P61" s="180" t="s">
        <v>325</v>
      </c>
      <c r="Q61" s="57"/>
      <c r="R61" s="56"/>
      <c r="S61" s="56"/>
      <c r="T61" s="56"/>
      <c r="U61" s="56"/>
      <c r="V61" s="56"/>
      <c r="W61" s="56"/>
      <c r="X61" s="59"/>
      <c r="Y61" s="59"/>
      <c r="Z61" s="59"/>
      <c r="AA61" s="59"/>
      <c r="AB61" s="59"/>
      <c r="AC61" s="59"/>
      <c r="AD61" s="59"/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</row>
    <row r="62" spans="1:97" x14ac:dyDescent="0.25">
      <c r="A62" s="180"/>
      <c r="B62" s="188"/>
      <c r="C62" s="189"/>
      <c r="D62" s="190"/>
      <c r="E62" s="191"/>
      <c r="F62" s="192"/>
      <c r="G62" s="192"/>
      <c r="H62" s="193"/>
      <c r="I62" s="194"/>
      <c r="J62" s="193"/>
      <c r="K62" s="193"/>
      <c r="L62" s="193"/>
      <c r="M62" s="193"/>
      <c r="N62" s="195"/>
      <c r="O62" s="57"/>
      <c r="P62" s="180" t="s">
        <v>322</v>
      </c>
      <c r="Q62" s="57"/>
      <c r="R62" s="56"/>
      <c r="S62" s="56"/>
      <c r="T62" s="56"/>
      <c r="U62" s="56"/>
      <c r="V62" s="56"/>
      <c r="W62" s="56"/>
      <c r="X62" s="59"/>
      <c r="Y62" s="59"/>
      <c r="Z62" s="59"/>
      <c r="AA62" s="59"/>
      <c r="AB62" s="59"/>
      <c r="AC62" s="59"/>
      <c r="AD62" s="59"/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</row>
    <row r="63" spans="1:97" x14ac:dyDescent="0.25">
      <c r="A63" s="180"/>
      <c r="B63" s="188"/>
      <c r="C63" s="189"/>
      <c r="D63" s="190"/>
      <c r="E63" s="191"/>
      <c r="F63" s="192"/>
      <c r="G63" s="192"/>
      <c r="H63" s="193"/>
      <c r="I63" s="194"/>
      <c r="J63" s="193"/>
      <c r="K63" s="193"/>
      <c r="L63" s="193"/>
      <c r="M63" s="193"/>
      <c r="N63" s="195"/>
      <c r="O63" s="57"/>
      <c r="P63" s="180"/>
      <c r="Q63" s="57"/>
      <c r="R63" s="56"/>
      <c r="S63" s="56"/>
      <c r="T63" s="56"/>
      <c r="U63" s="56"/>
      <c r="V63" s="56"/>
      <c r="W63" s="56"/>
      <c r="X63" s="59"/>
      <c r="Y63" s="59"/>
      <c r="Z63" s="59"/>
      <c r="AA63" s="59"/>
      <c r="AB63" s="59"/>
      <c r="AC63" s="59"/>
      <c r="AD63" s="59"/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</row>
    <row r="64" spans="1:97" x14ac:dyDescent="0.25">
      <c r="A64" s="180"/>
      <c r="B64" s="188"/>
      <c r="C64" s="189"/>
      <c r="D64" s="190"/>
      <c r="E64" s="191"/>
      <c r="F64" s="192"/>
      <c r="G64" s="192"/>
      <c r="H64" s="193"/>
      <c r="I64" s="194"/>
      <c r="J64" s="193"/>
      <c r="K64" s="193"/>
      <c r="L64" s="193"/>
      <c r="M64" s="193"/>
      <c r="N64" s="195"/>
      <c r="O64" s="57"/>
      <c r="P64" s="180" t="s">
        <v>326</v>
      </c>
      <c r="Q64" s="57"/>
      <c r="R64" s="56"/>
      <c r="S64" s="56"/>
      <c r="T64" s="56"/>
      <c r="U64" s="56"/>
      <c r="V64" s="56"/>
      <c r="W64" s="56"/>
      <c r="X64" s="59"/>
      <c r="Y64" s="59"/>
      <c r="Z64" s="59"/>
      <c r="AA64" s="59"/>
      <c r="AB64" s="59"/>
      <c r="AC64" s="59"/>
      <c r="AD64" s="59"/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</row>
    <row r="65" spans="1:97" x14ac:dyDescent="0.25">
      <c r="A65" s="180"/>
      <c r="B65" s="188"/>
      <c r="C65" s="189"/>
      <c r="D65" s="190"/>
      <c r="E65" s="191"/>
      <c r="F65" s="192"/>
      <c r="G65" s="192"/>
      <c r="H65" s="193"/>
      <c r="I65" s="194"/>
      <c r="J65" s="193"/>
      <c r="K65" s="193"/>
      <c r="L65" s="193"/>
      <c r="M65" s="193"/>
      <c r="N65" s="195"/>
      <c r="O65" s="57"/>
      <c r="P65" s="180" t="s">
        <v>321</v>
      </c>
      <c r="Q65" s="57"/>
      <c r="R65" s="56"/>
      <c r="S65" s="56"/>
      <c r="T65" s="56"/>
      <c r="U65" s="56"/>
      <c r="V65" s="56"/>
      <c r="W65" s="56"/>
      <c r="X65" s="59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</row>
    <row r="66" spans="1:97" x14ac:dyDescent="0.25">
      <c r="A66" s="180"/>
      <c r="B66" s="188"/>
      <c r="C66" s="189"/>
      <c r="D66" s="190"/>
      <c r="E66" s="191"/>
      <c r="F66" s="192"/>
      <c r="G66" s="192"/>
      <c r="H66" s="193"/>
      <c r="I66" s="194"/>
      <c r="J66" s="193"/>
      <c r="K66" s="193"/>
      <c r="L66" s="193"/>
      <c r="M66" s="193"/>
      <c r="N66" s="195"/>
      <c r="O66" s="57"/>
      <c r="P66" s="57"/>
      <c r="Q66" s="57"/>
      <c r="R66" s="56"/>
      <c r="S66" s="56"/>
      <c r="T66" s="56"/>
      <c r="U66" s="56"/>
      <c r="V66" s="56"/>
      <c r="W66" s="56"/>
      <c r="X66" s="59"/>
      <c r="Y66" s="59"/>
      <c r="Z66" s="59"/>
      <c r="AA66" s="59"/>
      <c r="AB66" s="59"/>
      <c r="AC66" s="59"/>
      <c r="AD66" s="59"/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</row>
    <row r="67" spans="1:97" x14ac:dyDescent="0.25">
      <c r="A67" s="180"/>
      <c r="B67" s="188"/>
      <c r="C67" s="189"/>
      <c r="D67" s="190"/>
      <c r="E67" s="191"/>
      <c r="F67" s="192"/>
      <c r="G67" s="192"/>
      <c r="H67" s="193"/>
      <c r="I67" s="194"/>
      <c r="J67" s="193"/>
      <c r="K67" s="193"/>
      <c r="L67" s="193"/>
      <c r="M67" s="193"/>
      <c r="N67" s="195"/>
      <c r="O67" s="57"/>
      <c r="P67" s="57"/>
      <c r="Q67" s="57"/>
      <c r="R67" s="56"/>
      <c r="S67" s="56"/>
      <c r="T67" s="56"/>
      <c r="U67" s="56"/>
      <c r="V67" s="56"/>
      <c r="W67" s="56"/>
      <c r="X67" s="59"/>
      <c r="Y67" s="59"/>
      <c r="Z67" s="59"/>
      <c r="AA67" s="59"/>
      <c r="AB67" s="59"/>
      <c r="AC67" s="59"/>
      <c r="AD67" s="59"/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</row>
    <row r="68" spans="1:97" x14ac:dyDescent="0.25">
      <c r="A68" s="180"/>
      <c r="B68" s="188"/>
      <c r="C68" s="215"/>
      <c r="D68" s="216"/>
      <c r="E68" s="217"/>
      <c r="F68" s="218"/>
      <c r="G68" s="218"/>
      <c r="H68" s="219"/>
      <c r="I68" s="220"/>
      <c r="J68" s="219"/>
      <c r="K68" s="219"/>
      <c r="L68" s="219"/>
      <c r="M68" s="219"/>
      <c r="N68" s="195"/>
      <c r="O68" s="57"/>
      <c r="P68" s="57"/>
      <c r="Q68" s="57"/>
      <c r="R68" s="56"/>
      <c r="S68" s="56"/>
      <c r="T68" s="56"/>
      <c r="U68" s="56"/>
      <c r="V68" s="56"/>
      <c r="W68" s="56"/>
      <c r="X68" s="59"/>
      <c r="Y68" s="59"/>
      <c r="Z68" s="59"/>
      <c r="AA68" s="59"/>
      <c r="AB68" s="59"/>
      <c r="AC68" s="59"/>
      <c r="AD68" s="59"/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</row>
    <row r="69" spans="1:97" x14ac:dyDescent="0.25">
      <c r="A69" s="180"/>
      <c r="B69" s="188"/>
      <c r="C69" s="189"/>
      <c r="D69" s="190"/>
      <c r="E69" s="192"/>
      <c r="F69" s="192"/>
      <c r="G69" s="192"/>
      <c r="H69" s="193"/>
      <c r="I69" s="194"/>
      <c r="J69" s="193"/>
      <c r="K69" s="193"/>
      <c r="L69" s="193"/>
      <c r="M69" s="193"/>
      <c r="N69" s="221"/>
      <c r="O69" s="57"/>
      <c r="P69" s="57"/>
      <c r="Q69" s="57"/>
      <c r="R69" s="56"/>
      <c r="S69" s="56"/>
      <c r="T69" s="56"/>
      <c r="U69" s="56"/>
      <c r="V69" s="56"/>
      <c r="W69" s="56"/>
      <c r="X69" s="59"/>
      <c r="Y69" s="59"/>
      <c r="Z69" s="59"/>
      <c r="AA69" s="59"/>
      <c r="AB69" s="59"/>
      <c r="AC69" s="59"/>
      <c r="AD69" s="59"/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</row>
    <row r="70" spans="1:97" x14ac:dyDescent="0.25">
      <c r="A70" s="180"/>
      <c r="B70" s="222"/>
      <c r="C70" s="223"/>
      <c r="D70" s="224"/>
      <c r="E70" s="225"/>
      <c r="F70" s="226"/>
      <c r="G70" s="226"/>
      <c r="H70" s="227"/>
      <c r="I70" s="228"/>
      <c r="J70" s="227"/>
      <c r="K70" s="227"/>
      <c r="L70" s="227"/>
      <c r="M70" s="227"/>
      <c r="N70" s="195"/>
      <c r="O70" s="57"/>
      <c r="P70" s="57"/>
      <c r="Q70" s="57"/>
      <c r="R70" s="56"/>
      <c r="S70" s="56"/>
      <c r="T70" s="56"/>
      <c r="U70" s="56"/>
      <c r="V70" s="56"/>
      <c r="W70" s="56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</row>
    <row r="71" spans="1:97" ht="15.75" thickBot="1" x14ac:dyDescent="0.3">
      <c r="A71" s="180"/>
      <c r="B71" s="229"/>
      <c r="C71" s="230"/>
      <c r="D71" s="231"/>
      <c r="E71" s="232"/>
      <c r="F71" s="233"/>
      <c r="G71" s="233"/>
      <c r="H71" s="234"/>
      <c r="I71" s="235"/>
      <c r="J71" s="234"/>
      <c r="K71" s="234"/>
      <c r="L71" s="234"/>
      <c r="M71" s="234"/>
      <c r="N71" s="236"/>
      <c r="O71" s="57"/>
      <c r="P71" s="57"/>
      <c r="Q71" s="57"/>
      <c r="R71" s="56"/>
      <c r="S71" s="56"/>
      <c r="T71" s="56"/>
      <c r="U71" s="56"/>
      <c r="V71" s="56"/>
      <c r="W71" s="56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</row>
    <row r="72" spans="1:97" x14ac:dyDescent="0.25">
      <c r="A72" s="180"/>
      <c r="B72" s="237"/>
      <c r="C72" s="237"/>
      <c r="D72" s="238"/>
      <c r="E72" s="239"/>
      <c r="F72" s="240"/>
      <c r="G72" s="240"/>
      <c r="H72" s="56"/>
      <c r="I72" s="241"/>
      <c r="J72" s="56"/>
      <c r="K72" s="56"/>
      <c r="L72" s="56"/>
      <c r="M72" s="56"/>
      <c r="N72" s="242"/>
      <c r="O72" s="57"/>
      <c r="P72" s="57"/>
      <c r="Q72" s="57"/>
      <c r="R72" s="56"/>
      <c r="S72" s="56"/>
      <c r="T72" s="56"/>
      <c r="U72" s="56"/>
      <c r="V72" s="56"/>
      <c r="W72" s="56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</row>
  </sheetData>
  <sheetProtection algorithmName="SHA-512" hashValue="JleNqaVtC9IAzodXxaL7uHHwDNz+rT7zBq2WvZuMXh1NuoqxlwV7cVek8GO4yr+FhuNVOotCSG8c7vO0UDViyw==" saltValue="cNXVk3mOZ2HudE5GknBPaw==" spinCount="100000" sheet="1" objects="1" scenarios="1"/>
  <phoneticPr fontId="2"/>
  <hyperlinks>
    <hyperlink ref="P4" r:id="rId1" display="../../../SPLDOC/MNLforUSERe.htm"/>
    <hyperlink ref="P3" r:id="rId2" display="../../../SPLDOC/MNLforUSER.htm"/>
    <hyperlink ref="F3"/>
  </hyperlinks>
  <printOptions gridLinesSet="0"/>
  <pageMargins left="0.7" right="0.7" top="0.75" bottom="0.75" header="0.3" footer="0.3"/>
  <pageSetup paperSize="9" scale="65" orientation="portrait" horizontalDpi="300" verticalDpi="300" r:id="rId3"/>
  <headerFooter alignWithMargins="0">
    <oddHeader>&amp;F</oddHeader>
    <oddFooter>- &amp;P -</oddFooter>
  </headerFooter>
  <drawing r:id="rId4"/>
  <legacyDrawing r:id="rId5"/>
  <picture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7" name="Button 4">
              <controlPr defaultSize="0" print="0" autoFill="0" autoLine="0" autoPict="0" macro="[0]!DOUSUPEKKU">
                <anchor moveWithCells="1" sizeWithCells="1">
                  <from>
                    <xdr:col>4</xdr:col>
                    <xdr:colOff>361950</xdr:colOff>
                    <xdr:row>0</xdr:row>
                    <xdr:rowOff>47625</xdr:rowOff>
                  </from>
                  <to>
                    <xdr:col>6</xdr:col>
                    <xdr:colOff>457200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Line="0" autoPict="0" macro="[0]!BUTTON">
                <anchor moveWithCells="1" sizeWithCells="1">
                  <from>
                    <xdr:col>2</xdr:col>
                    <xdr:colOff>857250</xdr:colOff>
                    <xdr:row>0</xdr:row>
                    <xdr:rowOff>47625</xdr:rowOff>
                  </from>
                  <to>
                    <xdr:col>4</xdr:col>
                    <xdr:colOff>257175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Line="0" autoPict="0" macro="[0]!KISONDEITARIYOU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15</xdr:col>
                    <xdr:colOff>762000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Line="0" autoPict="0" macro="[0]!DATAHYOUJI">
                <anchor moveWithCells="1" siz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16</xdr:col>
                    <xdr:colOff>200025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Line="0" autoPict="0" macro="[0]!GRFHYOUJI">
                <anchor moveWithCells="1" sizeWithCells="1">
                  <from>
                    <xdr:col>14</xdr:col>
                    <xdr:colOff>0</xdr:colOff>
                    <xdr:row>4</xdr:row>
                    <xdr:rowOff>161925</xdr:rowOff>
                  </from>
                  <to>
                    <xdr:col>16</xdr:col>
                    <xdr:colOff>200025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Line="0" autoPict="0" macro="[0]!SYURYOU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Drop Down 16">
              <controlPr defaultSize="0" autoFill="0" autoLine="0" autoPict="0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Drop Down 17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Drop Down 18">
              <controlPr defaultSize="0" autoFill="0" autoLine="0" autoPict="0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_H">
              <controlPr defaultSize="0" autoFill="0" autoLine="0" autoPict="0" macro="[0]!RANGE_H">
                <anchor moveWithCells="1" siz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_M">
              <controlPr defaultSize="0" autoFill="0" autoLine="0" autoPict="0" macro="[0]!RANGE_M">
                <anchor moveWithCells="1" siz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_L">
              <controlPr defaultSize="0" autoFill="0" autoLine="0" autoPict="0" macro="[0]!RANGE_L">
                <anchor moveWithCells="1" sizeWithCells="1">
                  <from>
                    <xdr:col>13</xdr:col>
                    <xdr:colOff>0</xdr:colOff>
                    <xdr:row>53</xdr:row>
                    <xdr:rowOff>0</xdr:rowOff>
                  </from>
                  <to>
                    <xdr:col>14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Drop Down 23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Drop Down 26">
              <controlPr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Drop Down 27">
              <controlPr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2" name="Button 884">
              <controlPr defaultSize="0" print="0" autoFill="0" autoPict="0" macro="[0]!SPLIMPUP">
                <anchor moveWithCells="1" sizeWithCells="1">
                  <from>
                    <xdr:col>13</xdr:col>
                    <xdr:colOff>0</xdr:colOff>
                    <xdr:row>58</xdr:row>
                    <xdr:rowOff>0</xdr:rowOff>
                  </from>
                  <to>
                    <xdr:col>14</xdr:col>
                    <xdr:colOff>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3" name="Button 885">
              <controlPr defaultSize="0" print="0" autoFill="0" autoPict="0" macro="[0]!SPLIMPDOWN">
                <anchor moveWithCells="1" sizeWithCells="1">
                  <from>
                    <xdr:col>13</xdr:col>
                    <xdr:colOff>19050</xdr:colOff>
                    <xdr:row>60</xdr:row>
                    <xdr:rowOff>104775</xdr:rowOff>
                  </from>
                  <to>
                    <xdr:col>14</xdr:col>
                    <xdr:colOff>0</xdr:colOff>
                    <xdr:row>62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4" name="Drop Down 886">
              <controlPr defaultSize="0" autoLine="0" autoPict="0">
                <anchor moveWithCells="1">
                  <from>
                    <xdr:col>11</xdr:col>
                    <xdr:colOff>419100</xdr:colOff>
                    <xdr:row>16</xdr:row>
                    <xdr:rowOff>0</xdr:rowOff>
                  </from>
                  <to>
                    <xdr:col>13</xdr:col>
                    <xdr:colOff>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5" name="Drop Down 887">
              <controlPr defaultSize="0" autoLine="0" autoPict="0">
                <anchor moveWithCells="1">
                  <from>
                    <xdr:col>20</xdr:col>
                    <xdr:colOff>0</xdr:colOff>
                    <xdr:row>6</xdr:row>
                    <xdr:rowOff>19050</xdr:rowOff>
                  </from>
                  <to>
                    <xdr:col>21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6" name="Button 889">
              <controlPr defaultSize="0" print="0" autoFill="0" autoPict="0" macro="[0]!DIFF_BOLD">
                <anchor moveWithCells="1" sizeWithCells="1">
                  <from>
                    <xdr:col>0</xdr:col>
                    <xdr:colOff>9525</xdr:colOff>
                    <xdr:row>38</xdr:row>
                    <xdr:rowOff>95250</xdr:rowOff>
                  </from>
                  <to>
                    <xdr:col>2</xdr:col>
                    <xdr:colOff>361950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7" name="Button 890">
              <controlPr defaultSize="0" print="0" autoFill="0" autoPict="0" macro="[0]!IMPUP">
                <anchor moveWithCells="1" sizeWithCells="1">
                  <from>
                    <xdr:col>13</xdr:col>
                    <xdr:colOff>19050</xdr:colOff>
                    <xdr:row>63</xdr:row>
                    <xdr:rowOff>133350</xdr:rowOff>
                  </from>
                  <to>
                    <xdr:col>14</xdr:col>
                    <xdr:colOff>28575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8" name="Button 891">
              <controlPr defaultSize="0" print="0" autoFill="0" autoPict="0" macro="[0]!IMPDOWN">
                <anchor moveWithCells="1" sizeWithCells="1">
                  <from>
                    <xdr:col>13</xdr:col>
                    <xdr:colOff>19050</xdr:colOff>
                    <xdr:row>65</xdr:row>
                    <xdr:rowOff>47625</xdr:rowOff>
                  </from>
                  <to>
                    <xdr:col>14</xdr:col>
                    <xdr:colOff>19050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9" name="Button 892">
              <controlPr defaultSize="0" print="0" autoFill="0" autoPict="0" macro="[0]!PHLINEONOFF">
                <anchor moveWithCells="1" sizeWithCells="1">
                  <from>
                    <xdr:col>7</xdr:col>
                    <xdr:colOff>361950</xdr:colOff>
                    <xdr:row>39</xdr:row>
                    <xdr:rowOff>152400</xdr:rowOff>
                  </from>
                  <to>
                    <xdr:col>8</xdr:col>
                    <xdr:colOff>504825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A188"/>
  <sheetViews>
    <sheetView topLeftCell="AM1" zoomScale="85" zoomScaleNormal="85" workbookViewId="0">
      <selection activeCell="AU2" sqref="AU2"/>
    </sheetView>
  </sheetViews>
  <sheetFormatPr defaultRowHeight="14.25" x14ac:dyDescent="0.2"/>
  <cols>
    <col min="2" max="2" width="9.625" customWidth="1"/>
    <col min="3" max="3" width="13.5" customWidth="1"/>
    <col min="4" max="4" width="12.75" customWidth="1"/>
    <col min="9" max="9" width="13.75" bestFit="1" customWidth="1"/>
    <col min="27" max="27" width="9" customWidth="1"/>
  </cols>
  <sheetData>
    <row r="1" spans="1:53" x14ac:dyDescent="0.2">
      <c r="A1" s="14" t="s">
        <v>240</v>
      </c>
      <c r="B1" s="2"/>
      <c r="C1" s="2"/>
      <c r="E1">
        <v>1</v>
      </c>
      <c r="F1" s="2">
        <v>2</v>
      </c>
      <c r="G1" s="2">
        <v>3</v>
      </c>
      <c r="H1" s="2"/>
      <c r="I1" s="2"/>
      <c r="J1" s="2"/>
      <c r="K1" s="2"/>
      <c r="O1" s="12" t="s">
        <v>304</v>
      </c>
      <c r="P1" s="2" t="s">
        <v>289</v>
      </c>
      <c r="Q1" s="2"/>
      <c r="R1" s="32" t="s">
        <v>276</v>
      </c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S1" s="16" t="s">
        <v>313</v>
      </c>
      <c r="AV1" s="16" t="s">
        <v>313</v>
      </c>
      <c r="AX1" s="16" t="s">
        <v>390</v>
      </c>
    </row>
    <row r="2" spans="1:53" x14ac:dyDescent="0.2">
      <c r="A2" s="14" t="s">
        <v>241</v>
      </c>
      <c r="B2" s="2"/>
      <c r="C2" s="2"/>
      <c r="D2" s="12" t="s">
        <v>264</v>
      </c>
      <c r="E2" s="31">
        <v>1.2</v>
      </c>
      <c r="F2" s="31">
        <v>1.2</v>
      </c>
      <c r="G2" s="31">
        <v>1.2</v>
      </c>
      <c r="H2" s="2" t="s">
        <v>265</v>
      </c>
      <c r="I2" s="2"/>
      <c r="J2" s="2"/>
      <c r="K2" s="2"/>
      <c r="O2" s="2"/>
      <c r="P2" s="2" t="s">
        <v>290</v>
      </c>
      <c r="Q2" s="2"/>
      <c r="R2" s="32" t="s">
        <v>303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S2" s="1">
        <v>110</v>
      </c>
      <c r="AV2" s="1">
        <v>110</v>
      </c>
      <c r="AX2" t="s">
        <v>391</v>
      </c>
    </row>
    <row r="3" spans="1:53" x14ac:dyDescent="0.2">
      <c r="A3" s="2"/>
      <c r="B3" s="2"/>
      <c r="C3" s="2"/>
      <c r="D3" s="12" t="s">
        <v>267</v>
      </c>
      <c r="E3" s="31">
        <v>344</v>
      </c>
      <c r="F3" s="31">
        <f>E3</f>
        <v>344</v>
      </c>
      <c r="G3" s="31">
        <f>F3</f>
        <v>344</v>
      </c>
      <c r="H3" s="2" t="s">
        <v>266</v>
      </c>
      <c r="I3" s="2"/>
      <c r="J3" s="2"/>
      <c r="K3" s="2"/>
      <c r="M3" s="2"/>
      <c r="N3" s="2"/>
      <c r="O3" s="1">
        <v>2</v>
      </c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t="s">
        <v>299</v>
      </c>
      <c r="AB3" s="2"/>
      <c r="AC3" s="2"/>
      <c r="AD3" s="2"/>
      <c r="AE3" s="2"/>
      <c r="AF3" s="2"/>
      <c r="AG3" s="2" t="s">
        <v>242</v>
      </c>
      <c r="AH3" s="2"/>
      <c r="AI3" s="2"/>
      <c r="AJ3" s="2"/>
      <c r="AK3" s="2"/>
      <c r="AL3" s="2"/>
      <c r="AM3" s="2"/>
      <c r="AN3" s="2"/>
      <c r="AO3" s="2"/>
      <c r="AP3" s="16" t="s">
        <v>268</v>
      </c>
      <c r="AV3" t="s">
        <v>385</v>
      </c>
    </row>
    <row r="4" spans="1:53" ht="15" x14ac:dyDescent="0.25">
      <c r="A4" s="2"/>
      <c r="B4" s="2"/>
      <c r="C4" s="40" t="s">
        <v>23</v>
      </c>
      <c r="D4" s="12" t="s">
        <v>24</v>
      </c>
      <c r="E4" s="2"/>
      <c r="F4" s="2" t="s">
        <v>280</v>
      </c>
      <c r="G4" s="2" t="s">
        <v>281</v>
      </c>
      <c r="H4" s="2" t="s">
        <v>282</v>
      </c>
      <c r="I4" s="2" t="s">
        <v>350</v>
      </c>
      <c r="J4" s="2" t="s">
        <v>351</v>
      </c>
      <c r="K4" s="2" t="s">
        <v>352</v>
      </c>
      <c r="L4" s="2" t="s">
        <v>277</v>
      </c>
      <c r="M4" s="2" t="s">
        <v>278</v>
      </c>
      <c r="N4" s="2" t="s">
        <v>279</v>
      </c>
      <c r="O4" s="2" t="s">
        <v>283</v>
      </c>
      <c r="P4" s="2" t="s">
        <v>284</v>
      </c>
      <c r="Q4" s="2" t="s">
        <v>285</v>
      </c>
      <c r="R4" s="2" t="s">
        <v>286</v>
      </c>
      <c r="S4" s="2" t="s">
        <v>287</v>
      </c>
      <c r="T4" s="2" t="s">
        <v>288</v>
      </c>
      <c r="U4" s="2" t="s">
        <v>291</v>
      </c>
      <c r="V4" s="2" t="s">
        <v>292</v>
      </c>
      <c r="W4" s="2" t="s">
        <v>293</v>
      </c>
      <c r="X4" s="2" t="s">
        <v>294</v>
      </c>
      <c r="Y4" s="2" t="s">
        <v>297</v>
      </c>
      <c r="Z4" s="2" t="s">
        <v>298</v>
      </c>
      <c r="AA4" s="41">
        <v>1</v>
      </c>
      <c r="AB4" s="41">
        <v>2</v>
      </c>
      <c r="AC4" s="41">
        <v>3</v>
      </c>
      <c r="AD4" s="41" t="s">
        <v>300</v>
      </c>
      <c r="AE4" s="41" t="s">
        <v>301</v>
      </c>
      <c r="AF4" s="41" t="s">
        <v>302</v>
      </c>
      <c r="AG4" s="33" t="s">
        <v>334</v>
      </c>
      <c r="AH4" s="33" t="s">
        <v>335</v>
      </c>
      <c r="AI4" s="33" t="s">
        <v>336</v>
      </c>
      <c r="AJ4" s="40" t="s">
        <v>25</v>
      </c>
      <c r="AK4" s="40" t="s">
        <v>26</v>
      </c>
      <c r="AL4" s="40" t="s">
        <v>27</v>
      </c>
      <c r="AM4" s="33" t="s">
        <v>28</v>
      </c>
      <c r="AN4" s="33" t="s">
        <v>29</v>
      </c>
      <c r="AO4" s="33" t="s">
        <v>30</v>
      </c>
      <c r="AP4" s="33" t="s">
        <v>295</v>
      </c>
      <c r="AQ4" s="33" t="s">
        <v>319</v>
      </c>
      <c r="AR4" s="33" t="s">
        <v>320</v>
      </c>
      <c r="AS4" s="33" t="s">
        <v>379</v>
      </c>
      <c r="AT4" s="33" t="s">
        <v>380</v>
      </c>
      <c r="AU4" s="33" t="s">
        <v>381</v>
      </c>
      <c r="AV4" s="33" t="s">
        <v>379</v>
      </c>
      <c r="AW4" s="33" t="s">
        <v>380</v>
      </c>
      <c r="AX4" s="33" t="s">
        <v>381</v>
      </c>
      <c r="AY4" s="244" t="s">
        <v>386</v>
      </c>
      <c r="AZ4" s="244" t="s">
        <v>387</v>
      </c>
      <c r="BA4" s="244" t="s">
        <v>388</v>
      </c>
    </row>
    <row r="5" spans="1:53" x14ac:dyDescent="0.2">
      <c r="A5" s="2">
        <v>1</v>
      </c>
      <c r="B5" s="42">
        <f t="shared" ref="B5:B24" si="0">20*2^(($A5-1)/6)</f>
        <v>20</v>
      </c>
      <c r="C5" s="43">
        <v>10</v>
      </c>
      <c r="D5" s="2">
        <f t="shared" ref="D5:D37" si="1">C5*2*PI()</f>
        <v>62.831853071795862</v>
      </c>
      <c r="E5" s="2" t="s">
        <v>243</v>
      </c>
      <c r="F5" s="2">
        <f>$D5*BASE!E$15/100/E$3</f>
        <v>1.1506996347450987E-2</v>
      </c>
      <c r="G5" s="2">
        <f>$D5*BASE!F$15/100/F$3</f>
        <v>1.1506996347450987E-2</v>
      </c>
      <c r="H5" s="2">
        <f>$D5*BASE!G$15/100/G$3</f>
        <v>1.1506996347450987E-2</v>
      </c>
      <c r="I5" s="2">
        <f>(1-BESSELJ(2*F5,1)/F5)*BASE!K$13*E$2*E$3</f>
        <v>3.4076425764357999E-4</v>
      </c>
      <c r="J5" s="2">
        <f>(1-BESSELJ(2*G5,1)/G5)*BASE!L$13*F$2*F$3</f>
        <v>3.4076425764357999E-4</v>
      </c>
      <c r="K5" s="2">
        <f>(1-BESSELJ(2*H5,1)/H5)*BASE!M$13*G$2*G$3</f>
        <v>3.4076425764357999E-4</v>
      </c>
      <c r="L5" s="2" t="str">
        <f>IMPRODUCT(COMPLEX(1-BESSELJ(2*F5,1)/F5,(STRUVE(2*F5)/(2*F5^2))),PI()*(BASE!E$15/100)^2*E$2*E$3)</f>
        <v>0.00034076425764358+0.0502731572077199i</v>
      </c>
      <c r="M5" s="2" t="str">
        <f>IMPRODUCT(COMPLEX(1-BESSELJ(2*G5,1)/G5,(STRUVE(2*G5)/(2*G5^2))),PI()*(BASE!F$15/100)^2*F$2*F$3)</f>
        <v>0.00034076425764358+0.0502731572077199i</v>
      </c>
      <c r="N5" s="2" t="str">
        <f>IMPRODUCT(COMPLEX(1-BESSELJ(2*H5,1)/H5,(STRUVE(2*H5)/(2*H5^2))),PI()*(BASE!G$15/100)^2*G$2*G$3)</f>
        <v>0.00034076425764358+0.0502731572077199i</v>
      </c>
      <c r="O5" s="2" t="str">
        <f>IMSUM(IMPRODUCT(IF($O$3=1,L5,COMPLEX(I5,$D5*BASE!K$15)),2),COMPLEX(BASE!E$36,$D5*BASE!K$14-BASE!K$10/$D5))</f>
        <v>0.800681528515287-11.3150093684754i</v>
      </c>
      <c r="P5" s="2" t="str">
        <f>IMSUM(IMPRODUCT(IF($O$3=1,M5,COMPLEX(J5,$D5*BASE!L$15)),2),COMPLEX(BASE!F$36,$D5*BASE!L$14-BASE!L$10/$D5))</f>
        <v>0.800681528515287-23.0128976857297i</v>
      </c>
      <c r="Q5" s="2" t="str">
        <f>IMSUM(IMPRODUCT(IF($O$3=1,N5,COMPLEX(K5,$D5*BASE!M$15)),2),COMPLEX(BASE!G$36,$D5*BASE!M$14-BASE!M$10/$D5))</f>
        <v>0.800681528515287-46.4086743202383i</v>
      </c>
      <c r="R5" s="2" t="str">
        <f>COMPLEX(BASE!E$19,FRES!$D5*BASE!K$36)</f>
        <v>7.2+0.0174926165909388i</v>
      </c>
      <c r="S5" s="2" t="str">
        <f>COMPLEX(BASE!F$19,FRES!$D5*BASE!L$36)</f>
        <v>7.2+0.0174926165909388i</v>
      </c>
      <c r="T5" s="2" t="str">
        <f>COMPLEX(BASE!G$19,FRES!$D5*BASE!M$36)</f>
        <v>7.2+0.0174926165909388i</v>
      </c>
      <c r="U5" s="2" t="str">
        <f>IMDIV(BASE!K$21*BASE!E$38,IMPRODUCT(FRES!R5,IMSUM(FRES!O5,IMDIV(BASE!K$21^2,FRES!R5))))</f>
        <v>0.0193639634195182+0.102779214049732i</v>
      </c>
      <c r="V5" s="2" t="str">
        <f>IMDIV(BASE!L$21*BASE!F$38,IMPRODUCT(FRES!S5,IMSUM(FRES!P5,IMDIV(BASE!L$21^2,FRES!S5))))</f>
        <v>0.00486829833369837+0.051866859673502i</v>
      </c>
      <c r="W5" s="2" t="str">
        <f>IMDIV(BASE!M$21*BASE!G$38,IMPRODUCT(FRES!T5,IMSUM(FRES!Q5,IMDIV(BASE!M$21^2,FRES!T5))))</f>
        <v>0.00123647578093844+0.0258858950429182i</v>
      </c>
      <c r="X5" s="2" t="str">
        <f t="shared" ref="X5:X36" si="2">IMDIV(U5,COMPLEX(0,$D5))</f>
        <v>0.00163578199631148-0.000308187049606696i</v>
      </c>
      <c r="Y5" s="2" t="str">
        <f t="shared" ref="Y5:Z20" si="3">IMDIV(V5,COMPLEX(0,$D5))</f>
        <v>0.000825486709969153-0.0000774813744254133i</v>
      </c>
      <c r="Z5" s="2" t="str">
        <f t="shared" si="3"/>
        <v>0.000411986815243842-0.0000196791232549764i</v>
      </c>
      <c r="AA5" s="44" t="str">
        <f>IMPRODUCT(COMPLEX(0,$D5),U5,E$2,BASE!E$15^2/10000,1/(2*BASE!$U$3))</f>
        <v>-0.0153786251047641+0.00289738675980771i</v>
      </c>
      <c r="AB5" s="44" t="str">
        <f>IMPRODUCT(COMPLEX(0,$D5),V5,F$2,BASE!F$15^2/10000,1/(2*BASE!$U$3))</f>
        <v>-0.00776072280426504+0.000728432647245857i</v>
      </c>
      <c r="AC5" s="44" t="str">
        <f>IMPRODUCT(COMPLEX(0,$D5),W5,G$2,BASE!G$15^2/10000,1/(2*BASE!$U$3))</f>
        <v>-0.00387324887670074+0.000185011119825957i</v>
      </c>
      <c r="AD5" s="44">
        <f>IMARGUMENT(AA5)</f>
        <v>2.9553720337418397</v>
      </c>
      <c r="AE5" s="44">
        <f>IMARGUMENT(AB5)</f>
        <v>3.0480054007405606</v>
      </c>
      <c r="AF5" s="44">
        <f>IMARGUMENT(AC5)</f>
        <v>3.0938625414363097</v>
      </c>
      <c r="AG5" s="31">
        <f>20*LOG10(IMABS(AA5)/0.00002)</f>
        <v>57.869234030299083</v>
      </c>
      <c r="AH5" s="31">
        <f>20*LOG10(IMABS(AB5)/0.00002)</f>
        <v>51.815537179952216</v>
      </c>
      <c r="AI5" s="31">
        <f>20*LOG10(IMABS(AC5)/0.00002)</f>
        <v>45.750805856448835</v>
      </c>
      <c r="AJ5" s="2" t="str">
        <f>IMSUM(R5,IMDIV(BASE!K$21^2,FRES!O5))</f>
        <v>7.25839029600522+0.842648090768267i</v>
      </c>
      <c r="AK5" s="2" t="str">
        <f>IMSUM(S5,IMDIV(BASE!L$21^2,FRES!P5))</f>
        <v>7.21416940899256+0.424744623537567i</v>
      </c>
      <c r="AL5" s="2" t="str">
        <f>IMSUM(T5,IMDIV(BASE!M$21^2,FRES!Q5))</f>
        <v>7.20348732305489+0.219622969471464i</v>
      </c>
      <c r="AM5" s="31">
        <f>IMABS(U5)</f>
        <v>0.10458742716021399</v>
      </c>
      <c r="AN5" s="31">
        <f t="shared" ref="AN5:AO20" si="4">IMABS(V5)</f>
        <v>5.2094831423632026E-2</v>
      </c>
      <c r="AO5" s="31">
        <f t="shared" si="4"/>
        <v>2.5915409210155727E-2</v>
      </c>
      <c r="AP5" s="31">
        <f>IMABS(X5)*SQRT(2)*1000</f>
        <v>2.3540441784308346</v>
      </c>
      <c r="AQ5" s="31">
        <f>IMABS(Y5)*SQRT(2)*1000</f>
        <v>1.1725456679537456</v>
      </c>
      <c r="AR5" s="31">
        <f>IMABS(Z5)*SQRT(2)*1000</f>
        <v>0.58330164379478322</v>
      </c>
      <c r="AS5" s="2">
        <f>$AS$2+AD5/PI()*10</f>
        <v>119.40724135691123</v>
      </c>
      <c r="AT5" s="2">
        <f t="shared" ref="AT5:AU5" si="5">$AS$2+AE5/PI()*10</f>
        <v>119.70210252197307</v>
      </c>
      <c r="AU5" s="2">
        <f t="shared" si="5"/>
        <v>119.84807033432885</v>
      </c>
      <c r="AV5" s="2">
        <f>IF(OR($AG$166&gt;$AV$2-4,$AH$166&gt;$AV$2-4,$AI$166&gt;$AV$2-4),"",$AV$2+AD5/PI()*10)</f>
        <v>119.40724135691123</v>
      </c>
      <c r="AW5" s="2">
        <f>IF(OR($AG$166&gt;$AV$2-4,$AH$166&gt;$AV$2-4,$AI$166&gt;$AV$2-4),"",$AV$2+AE5/PI()*10)</f>
        <v>119.70210252197307</v>
      </c>
      <c r="AX5" s="2">
        <f>IF(OR($AG$166&gt;$AV$2-4,$AH$166&gt;$AV$2-4,$AI$166&gt;$AV$2-4),"",$AV$2+AF5/PI()*10)</f>
        <v>119.84807033432885</v>
      </c>
      <c r="AY5">
        <f>IMABS(AJ5)</f>
        <v>7.3071393509374207</v>
      </c>
      <c r="AZ5">
        <f>IMABS(AK5)</f>
        <v>7.2266623178939353</v>
      </c>
      <c r="BA5">
        <f>IMABS(AL5)</f>
        <v>7.2068345244033445</v>
      </c>
    </row>
    <row r="6" spans="1:53" x14ac:dyDescent="0.2">
      <c r="A6" s="2">
        <v>2</v>
      </c>
      <c r="B6" s="42">
        <f t="shared" si="0"/>
        <v>22.44924096618746</v>
      </c>
      <c r="C6" s="43">
        <v>10.594630943592954</v>
      </c>
      <c r="D6" s="2">
        <f t="shared" si="1"/>
        <v>66.568029479773443</v>
      </c>
      <c r="E6" s="2"/>
      <c r="F6" s="2">
        <f>$D6*BASE!E$15/100/E$3</f>
        <v>1.2191237957051532E-2</v>
      </c>
      <c r="G6" s="2">
        <f>$D6*BASE!F$15/100/F$3</f>
        <v>1.2191237957051532E-2</v>
      </c>
      <c r="H6" s="2">
        <f>$D6*BASE!G$15/100/G$3</f>
        <v>1.2191237957051532E-2</v>
      </c>
      <c r="I6" s="2">
        <f>(1-BESSELJ(2*F6,1)/F6)*BASE!K$13*E$2*E$3</f>
        <v>3.8249400873050654E-4</v>
      </c>
      <c r="J6" s="2">
        <f>(1-BESSELJ(2*G6,1)/G6)*BASE!L$13*F$2*F$3</f>
        <v>3.8249400873050654E-4</v>
      </c>
      <c r="K6" s="2">
        <f>(1-BESSELJ(2*H6,1)/H6)*BASE!M$13*G$2*G$3</f>
        <v>3.8249400873050654E-4</v>
      </c>
      <c r="L6" s="2" t="str">
        <f>IMPRODUCT(COMPLEX(1-BESSELJ(2*F6,1)/F6,(STRUVE(2*F6)/(2*F6^2))),PI()*(BASE!E$15/100)^2*E$2*E$3)</f>
        <v>0.000382494008730507+0.0532623243859643i</v>
      </c>
      <c r="M6" s="2" t="str">
        <f>IMPRODUCT(COMPLEX(1-BESSELJ(2*G6,1)/G6,(STRUVE(2*G6)/(2*G6^2))),PI()*(BASE!F$15/100)^2*F$2*F$3)</f>
        <v>0.000382494008730507+0.0532623243859643i</v>
      </c>
      <c r="N6" s="2" t="str">
        <f>IMPRODUCT(COMPLEX(1-BESSELJ(2*H6,1)/H6,(STRUVE(2*H6)/(2*H6^2))),PI()*(BASE!G$15/100)^2*G$2*G$3)</f>
        <v>0.000382494008730507+0.0532623243859643i</v>
      </c>
      <c r="O6" s="2" t="str">
        <f>IMSUM(IMPRODUCT(IF($O$3=1,L6,COMPLEX(I6,$D6*BASE!K$15)),2),COMPLEX(BASE!E$36,$D6*BASE!K$14-BASE!K$10/$D6))</f>
        <v>0.800764988017461-10.6366012048823i</v>
      </c>
      <c r="P6" s="2" t="str">
        <f>IMSUM(IMPRODUCT(IF($O$3=1,M6,COMPLEX(J6,$D6*BASE!L$15)),2),COMPLEX(BASE!F$36,$D6*BASE!L$14-BASE!L$10/$D6))</f>
        <v>0.800764988017461-21.6779375001579i</v>
      </c>
      <c r="Q6" s="2" t="str">
        <f>IMSUM(IMPRODUCT(IF($O$3=1,N6,COMPLEX(K6,$D6*BASE!M$15)),2),COMPLEX(BASE!G$36,$D6*BASE!M$14-BASE!M$10/$D6))</f>
        <v>0.800764988017461-43.7606100907091i</v>
      </c>
      <c r="R6" s="2" t="str">
        <f>COMPLEX(BASE!E$19,FRES!$D6*BASE!K$36)</f>
        <v>7.2+0.0185327817018768i</v>
      </c>
      <c r="S6" s="2" t="str">
        <f>COMPLEX(BASE!F$19,FRES!$D6*BASE!L$36)</f>
        <v>7.2+0.0185327817018768i</v>
      </c>
      <c r="T6" s="2" t="str">
        <f>COMPLEX(BASE!G$19,FRES!$D6*BASE!M$36)</f>
        <v>7.2+0.0185327817018768i</v>
      </c>
      <c r="U6" s="2" t="str">
        <f>IMDIV(BASE!K$21*BASE!E$38,IMPRODUCT(FRES!R6,IMSUM(FRES!O6,IMDIV(BASE!K$21^2,FRES!R6))))</f>
        <v>0.0218150455528968+0.108845719430371i</v>
      </c>
      <c r="V6" s="2" t="str">
        <f>IMDIV(BASE!L$21*BASE!F$38,IMPRODUCT(FRES!S6,IMSUM(FRES!P6,IMDIV(BASE!L$21^2,FRES!S6))))</f>
        <v>0.0054803232328585+0.0550005037178759i</v>
      </c>
      <c r="W6" s="2" t="str">
        <f>IMDIV(BASE!M$21*BASE!G$38,IMPRODUCT(FRES!T6,IMSUM(FRES!Q6,IMDIV(BASE!M$21^2,FRES!T6))))</f>
        <v>0.00139025018948428+0.0274446689135982i</v>
      </c>
      <c r="X6" s="2" t="str">
        <f t="shared" si="2"/>
        <v>0.00163510502385298-0.000327710549994953i</v>
      </c>
      <c r="Y6" s="2" t="str">
        <f t="shared" si="3"/>
        <v>0.000826230010828061-0.0000823266555385073i</v>
      </c>
      <c r="Z6" s="2" t="str">
        <f t="shared" si="3"/>
        <v>0.00041228002583338-0.0000208846528934239i</v>
      </c>
      <c r="AA6" s="44" t="str">
        <f>IMPRODUCT(COMPLEX(0,$D6),U6,E$2,BASE!E$15^2/10000,1/(2*BASE!$U$3))</f>
        <v>-0.0172547791453793+0.0034582323956471i</v>
      </c>
      <c r="AB6" s="44" t="str">
        <f>IMPRODUCT(COMPLEX(0,$D6),V6,F$2,BASE!F$15^2/10000,1/(2*BASE!$U$3))</f>
        <v>-0.00871896064910165+0.000868768818132129i</v>
      </c>
      <c r="AC6" s="44" t="str">
        <f>IMPRODUCT(COMPLEX(0,$D6),W6,G$2,BASE!G$15^2/10000,1/(2*BASE!$U$3))</f>
        <v>-0.00435066903228222+0.00022038955782472i</v>
      </c>
      <c r="AD6" s="44">
        <f t="shared" ref="AD6:AD69" si="6">IMARGUMENT(AA6)</f>
        <v>2.9437916332696918</v>
      </c>
      <c r="AE6" s="44">
        <f t="shared" ref="AE6:AE69" si="7">IMARGUMENT(AB6)</f>
        <v>3.0422791344559736</v>
      </c>
      <c r="AF6" s="44">
        <f t="shared" ref="AF6:AF69" si="8">IMARGUMENT(AC6)</f>
        <v>3.0909794413224394</v>
      </c>
      <c r="AG6" s="31">
        <f t="shared" ref="AG6:AG69" si="9">20*LOG10(IMABS(AA6)/0.00002)</f>
        <v>58.888626676431542</v>
      </c>
      <c r="AH6" s="31">
        <f t="shared" ref="AH6:AH69" si="10">20*LOG10(IMABS(AB6)/0.00002)</f>
        <v>52.831600264545678</v>
      </c>
      <c r="AI6" s="31">
        <f t="shared" ref="AI6:AI69" si="11">20*LOG10(IMABS(AC6)/0.00002)</f>
        <v>46.761651080495604</v>
      </c>
      <c r="AJ6" s="2" t="str">
        <f>IMSUM(R6,IMDIV(BASE!K$21^2,FRES!O6))</f>
        <v>7.26603965337314+0.895740785485674i</v>
      </c>
      <c r="AK6" s="2" t="str">
        <f>IMSUM(S6,IMDIV(BASE!L$21^2,FRES!P6))</f>
        <v>7.21596749963013+0.450797508800703i</v>
      </c>
      <c r="AL6" s="2" t="str">
        <f>IMSUM(T6,IMDIV(BASE!M$21^2,FRES!Q6))</f>
        <v>7.20392240914877+0.232886580811677i</v>
      </c>
      <c r="AM6" s="31">
        <f>IMABS(U6)</f>
        <v>0.11101030065174133</v>
      </c>
      <c r="AN6" s="31">
        <f t="shared" si="4"/>
        <v>5.5272862708174338E-2</v>
      </c>
      <c r="AO6" s="31">
        <f t="shared" si="4"/>
        <v>2.7479858940074355E-2</v>
      </c>
      <c r="AP6" s="31">
        <f t="shared" ref="AP6:AP69" si="12">IMABS(X6)*SQRT(2)*1000</f>
        <v>2.3583734410000674</v>
      </c>
      <c r="AQ6" s="31">
        <f t="shared" ref="AQ6:AQ69" si="13">IMABS(Y6)*SQRT(2)*1000</f>
        <v>1.1742518545909084</v>
      </c>
      <c r="AR6" s="31">
        <f t="shared" ref="AR6:AR69" si="14">IMABS(Z6)*SQRT(2)*1000</f>
        <v>0.58379960333602721</v>
      </c>
      <c r="AS6" s="2">
        <f t="shared" ref="AS6:AS69" si="15">$AS$2+AD6/PI()*10</f>
        <v>119.3703797973487</v>
      </c>
      <c r="AT6" s="2">
        <f t="shared" ref="AT6:AT69" si="16">$AS$2+AE6/PI()*10</f>
        <v>119.68387525028002</v>
      </c>
      <c r="AU6" s="2">
        <f t="shared" ref="AU6:AU69" si="17">$AS$2+AF6/PI()*10</f>
        <v>119.83889314163783</v>
      </c>
      <c r="AV6" s="2">
        <f t="shared" ref="AV6:AV69" si="18">IF(OR($AG$166&gt;$AV$2-4,$AH$166&gt;$AV$2-4,$AI$166&gt;$AV$2-4),"",$AV$2+AD6/PI()*10)</f>
        <v>119.3703797973487</v>
      </c>
      <c r="AW6" s="2">
        <f t="shared" ref="AW6:AW69" si="19">IF(OR($AG$166&gt;$AV$2-4,$AH$166&gt;$AV$2-4,$AI$166&gt;$AV$2-4),"",$AV$2+AE6/PI()*10)</f>
        <v>119.68387525028002</v>
      </c>
      <c r="AX6" s="2">
        <f t="shared" ref="AX6:AX69" si="20">IF(OR($AG$166&gt;$AV$2-4,$AH$166&gt;$AV$2-4,$AI$166&gt;$AV$2-4),"",$AV$2+AF6/PI()*10)</f>
        <v>119.83889314163783</v>
      </c>
      <c r="AY6">
        <f t="shared" ref="AY6:AY69" si="21">IMABS(AJ6)</f>
        <v>7.3210439009183208</v>
      </c>
      <c r="AZ6">
        <f t="shared" ref="AZ6:AZ69" si="22">IMABS(AK6)</f>
        <v>7.2300349480247492</v>
      </c>
      <c r="BA6">
        <f t="shared" ref="BA6:BA69" si="23">IMABS(AL6)</f>
        <v>7.2076857753760315</v>
      </c>
    </row>
    <row r="7" spans="1:53" x14ac:dyDescent="0.2">
      <c r="A7" s="2">
        <v>3</v>
      </c>
      <c r="B7" s="42">
        <f t="shared" si="0"/>
        <v>25.198420997897465</v>
      </c>
      <c r="C7" s="43">
        <v>11.22462048309373</v>
      </c>
      <c r="D7" s="2">
        <f t="shared" si="1"/>
        <v>70.526370498041558</v>
      </c>
      <c r="E7" s="2"/>
      <c r="F7" s="2">
        <f>$D7*BASE!E$15/100/E$3</f>
        <v>1.2916166690048306E-2</v>
      </c>
      <c r="G7" s="2">
        <f>$D7*BASE!F$15/100/F$3</f>
        <v>1.2916166690048306E-2</v>
      </c>
      <c r="H7" s="2">
        <f>$D7*BASE!G$15/100/G$3</f>
        <v>1.2916166690048306E-2</v>
      </c>
      <c r="I7" s="2">
        <f>(1-BESSELJ(2*F7,1)/F7)*BASE!K$13*E$2*E$3</f>
        <v>4.2933380192959988E-4</v>
      </c>
      <c r="J7" s="2">
        <f>(1-BESSELJ(2*G7,1)/G7)*BASE!L$13*F$2*F$3</f>
        <v>4.2933380192959988E-4</v>
      </c>
      <c r="K7" s="2">
        <f>(1-BESSELJ(2*H7,1)/H7)*BASE!M$13*G$2*G$3</f>
        <v>4.2933380192959988E-4</v>
      </c>
      <c r="L7" s="2" t="str">
        <f>IMPRODUCT(COMPLEX(1-BESSELJ(2*F7,1)/F7,(STRUVE(2*F7)/(2*F7^2))),PI()*(BASE!E$15/100)^2*E$2*E$3)</f>
        <v>0.0004293338019296+0.0564291931184911i</v>
      </c>
      <c r="M7" s="2" t="str">
        <f>IMPRODUCT(COMPLEX(1-BESSELJ(2*G7,1)/G7,(STRUVE(2*G7)/(2*G7^2))),PI()*(BASE!F$15/100)^2*F$2*F$3)</f>
        <v>0.0004293338019296+0.0564291931184911i</v>
      </c>
      <c r="N7" s="2" t="str">
        <f>IMPRODUCT(COMPLEX(1-BESSELJ(2*H7,1)/H7,(STRUVE(2*H7)/(2*H7^2))),PI()*(BASE!G$15/100)^2*G$2*G$3)</f>
        <v>0.0004293338019296+0.0564291931184911i</v>
      </c>
      <c r="O7" s="2" t="str">
        <f>IMSUM(IMPRODUCT(IF($O$3=1,L7,COMPLEX(I7,$D7*BASE!K$15)),2),COMPLEX(BASE!E$36,$D7*BASE!K$14-BASE!K$10/$D7))</f>
        <v>0.800858667603859-9.99369170904259i</v>
      </c>
      <c r="P7" s="2" t="str">
        <f>IMSUM(IMPRODUCT(IF($O$3=1,M7,COMPLEX(J7,$D7*BASE!L$15)),2),COMPLEX(BASE!F$36,$D7*BASE!L$14-BASE!L$10/$D7))</f>
        <v>0.800858667603859-20.4153254158333i</v>
      </c>
      <c r="Q7" s="2" t="str">
        <f>IMSUM(IMPRODUCT(IF($O$3=1,N7,COMPLEX(K7,$D7*BASE!M$15)),2),COMPLEX(BASE!G$36,$D7*BASE!M$14-BASE!M$10/$D7))</f>
        <v>0.800858667603859-41.2585928294147i</v>
      </c>
      <c r="R7" s="2" t="str">
        <f>COMPLEX(BASE!E$19,FRES!$D7*BASE!K$36)</f>
        <v>7.2+0.0196347982489557i</v>
      </c>
      <c r="S7" s="2" t="str">
        <f>COMPLEX(BASE!F$19,FRES!$D7*BASE!L$36)</f>
        <v>7.2+0.0196347982489557i</v>
      </c>
      <c r="T7" s="2" t="str">
        <f>COMPLEX(BASE!G$19,FRES!$D7*BASE!M$36)</f>
        <v>7.2+0.0196347982489557i</v>
      </c>
      <c r="U7" s="2" t="str">
        <f>IMDIV(BASE!K$21*BASE!E$38,IMPRODUCT(FRES!R7,IMSUM(FRES!O7,IMDIV(BASE!K$21^2,FRES!R7))))</f>
        <v>0.0245868619078644+0.115259592419614i</v>
      </c>
      <c r="V7" s="2" t="str">
        <f>IMDIV(BASE!L$21*BASE!F$38,IMPRODUCT(FRES!S7,IMSUM(FRES!P7,IMDIV(BASE!L$21^2,FRES!S7))))</f>
        <v>0.00617148113073928+0.0583296570882445i</v>
      </c>
      <c r="W7" s="2" t="str">
        <f>IMDIV(BASE!M$21*BASE!G$38,IMPRODUCT(FRES!T7,IMSUM(FRES!Q7,IMDIV(BASE!M$21^2,FRES!T7))))</f>
        <v>0.001563474843035+0.0290998414850683i</v>
      </c>
      <c r="X7" s="2" t="str">
        <f t="shared" si="2"/>
        <v>0.00163427653522613-0.000348619413337698i</v>
      </c>
      <c r="Y7" s="2" t="str">
        <f t="shared" si="3"/>
        <v>0.000827061660430466-0.0000875060078543337i</v>
      </c>
      <c r="Z7" s="2" t="str">
        <f t="shared" si="3"/>
        <v>0.000412609372630006-0.0000221686559508746i</v>
      </c>
      <c r="AA7" s="44" t="str">
        <f>IMPRODUCT(COMPLEX(0,$D7),U7,E$2,BASE!E$15^2/10000,1/(2*BASE!$U$3))</f>
        <v>-0.0193580212868905+0.00412940030585501i</v>
      </c>
      <c r="AB7" s="44" t="str">
        <f>IMPRODUCT(COMPLEX(0,$D7),V7,F$2,BASE!F$15^2/10000,1/(2*BASE!$U$3))</f>
        <v>-0.00979655332686317+0.00103650950513134i</v>
      </c>
      <c r="AC7" s="44" t="str">
        <f>IMPRODUCT(COMPLEX(0,$D7),W7,G$2,BASE!G$15^2/10000,1/(2*BASE!$U$3))</f>
        <v>-0.00488736198946711+0.000262587943073786i</v>
      </c>
      <c r="AD7" s="44">
        <f t="shared" si="6"/>
        <v>2.9314254284884278</v>
      </c>
      <c r="AE7" s="44">
        <f t="shared" si="7"/>
        <v>3.0361813370213868</v>
      </c>
      <c r="AF7" s="44">
        <f t="shared" si="8"/>
        <v>3.0879163124188671</v>
      </c>
      <c r="AG7" s="31">
        <f t="shared" si="9"/>
        <v>59.909877410983448</v>
      </c>
      <c r="AH7" s="31">
        <f t="shared" si="10"/>
        <v>53.849212687573456</v>
      </c>
      <c r="AI7" s="31">
        <f t="shared" si="11"/>
        <v>47.773408910804534</v>
      </c>
      <c r="AJ7" s="2" t="str">
        <f>IMSUM(R7,IMDIV(BASE!K$21^2,FRES!O7))</f>
        <v>7.27476251100481+0.952575298988529i</v>
      </c>
      <c r="AK7" s="2" t="str">
        <f>IMSUM(S7,IMDIV(BASE!L$21^2,FRES!P7))</f>
        <v>7.21800260745605+0.478553586814251i</v>
      </c>
      <c r="AL7" s="2" t="str">
        <f>IMSUM(T7,IMDIV(BASE!M$21^2,FRES!Q7))</f>
        <v>7.20441289308955+0.246977981942171i</v>
      </c>
      <c r="AM7" s="31">
        <f t="shared" ref="AM7:AO70" si="24">IMABS(U7)</f>
        <v>0.11785282102356283</v>
      </c>
      <c r="AN7" s="31">
        <f t="shared" si="4"/>
        <v>5.8655230588407568E-2</v>
      </c>
      <c r="AO7" s="31">
        <f t="shared" si="4"/>
        <v>2.9141812367128185E-2</v>
      </c>
      <c r="AP7" s="31">
        <f t="shared" si="12"/>
        <v>2.3632161513271042</v>
      </c>
      <c r="AQ7" s="31">
        <f t="shared" si="13"/>
        <v>1.1761703036249487</v>
      </c>
      <c r="AR7" s="31">
        <f t="shared" si="14"/>
        <v>0.58435938203950388</v>
      </c>
      <c r="AS7" s="2">
        <f t="shared" si="15"/>
        <v>119.33101694498421</v>
      </c>
      <c r="AT7" s="2">
        <f t="shared" si="16"/>
        <v>119.66446535820627</v>
      </c>
      <c r="AU7" s="2">
        <f t="shared" si="17"/>
        <v>119.8291428995112</v>
      </c>
      <c r="AV7" s="2">
        <f t="shared" si="18"/>
        <v>119.33101694498421</v>
      </c>
      <c r="AW7" s="2">
        <f t="shared" si="19"/>
        <v>119.66446535820627</v>
      </c>
      <c r="AX7" s="2">
        <f t="shared" si="20"/>
        <v>119.8291428995112</v>
      </c>
      <c r="AY7">
        <f t="shared" si="21"/>
        <v>7.3368637231288476</v>
      </c>
      <c r="AZ7">
        <f t="shared" si="22"/>
        <v>7.2338492641673922</v>
      </c>
      <c r="BA7">
        <f t="shared" si="23"/>
        <v>7.2086450361825403</v>
      </c>
    </row>
    <row r="8" spans="1:53" x14ac:dyDescent="0.2">
      <c r="A8" s="2">
        <v>4</v>
      </c>
      <c r="B8" s="42">
        <f t="shared" si="0"/>
        <v>28.284271247461902</v>
      </c>
      <c r="C8" s="43">
        <v>11.89207115002721</v>
      </c>
      <c r="D8" s="2">
        <f t="shared" si="1"/>
        <v>74.720086721785208</v>
      </c>
      <c r="E8" s="2"/>
      <c r="F8" s="2">
        <f>$D8*BASE!E$15/100/E$3</f>
        <v>1.3684201928699034E-2</v>
      </c>
      <c r="G8" s="2">
        <f>$D8*BASE!F$15/100/F$3</f>
        <v>1.3684201928699034E-2</v>
      </c>
      <c r="H8" s="2">
        <f>$D8*BASE!G$15/100/G$3</f>
        <v>1.3684201928699034E-2</v>
      </c>
      <c r="I8" s="2">
        <f>(1-BESSELJ(2*F8,1)/F8)*BASE!K$13*E$2*E$3</f>
        <v>4.8190935363279393E-4</v>
      </c>
      <c r="J8" s="2">
        <f>(1-BESSELJ(2*G8,1)/G8)*BASE!L$13*F$2*F$3</f>
        <v>4.8190935363279393E-4</v>
      </c>
      <c r="K8" s="2">
        <f>(1-BESSELJ(2*H8,1)/H8)*BASE!M$13*G$2*G$3</f>
        <v>4.8190935363279393E-4</v>
      </c>
      <c r="L8" s="2" t="str">
        <f>IMPRODUCT(COMPLEX(1-BESSELJ(2*F8,1)/F8,(STRUVE(2*F8)/(2*F8^2))),PI()*(BASE!E$15/100)^2*E$2*E$3)</f>
        <v>0.000481909353632794+0.0597843218451191i</v>
      </c>
      <c r="M8" s="2" t="str">
        <f>IMPRODUCT(COMPLEX(1-BESSELJ(2*G8,1)/G8,(STRUVE(2*G8)/(2*G8^2))),PI()*(BASE!F$15/100)^2*F$2*F$3)</f>
        <v>0.000481909353632794+0.0597843218451191i</v>
      </c>
      <c r="N8" s="2" t="str">
        <f>IMPRODUCT(COMPLEX(1-BESSELJ(2*H8,1)/H8,(STRUVE(2*H8)/(2*H8^2))),PI()*(BASE!G$15/100)^2*G$2*G$3)</f>
        <v>0.000481909353632794+0.0597843218451191i</v>
      </c>
      <c r="O8" s="2" t="str">
        <f>IMSUM(IMPRODUCT(IF($O$3=1,L8,COMPLEX(I8,$D8*BASE!K$15)),2),COMPLEX(BASE!E$36,$D8*BASE!K$14-BASE!K$10/$D8))</f>
        <v>0.800963818707266-9.38413523027807i</v>
      </c>
      <c r="P8" s="2" t="str">
        <f>IMSUM(IMPRODUCT(IF($O$3=1,M8,COMPLEX(J8,$D8*BASE!L$15)),2),COMPLEX(BASE!F$36,$D8*BASE!L$14-BASE!L$10/$D8))</f>
        <v>0.800963818707266-19.2208475822956i</v>
      </c>
      <c r="Q8" s="2" t="str">
        <f>IMSUM(IMPRODUCT(IF($O$3=1,N8,COMPLEX(K8,$D8*BASE!M$15)),2),COMPLEX(BASE!G$36,$D8*BASE!M$14-BASE!M$10/$D8))</f>
        <v>0.800963818707266-38.8942722863305i</v>
      </c>
      <c r="R8" s="2" t="str">
        <f>COMPLEX(BASE!E$19,FRES!$D8*BASE!K$36)</f>
        <v>7.2+0.0208023441099591i</v>
      </c>
      <c r="S8" s="2" t="str">
        <f>COMPLEX(BASE!F$19,FRES!$D8*BASE!L$36)</f>
        <v>7.2+0.0208023441099591i</v>
      </c>
      <c r="T8" s="2" t="str">
        <f>COMPLEX(BASE!G$19,FRES!$D8*BASE!M$36)</f>
        <v>7.2+0.0208023441099591i</v>
      </c>
      <c r="U8" s="2" t="str">
        <f>IMDIV(BASE!K$21*BASE!E$38,IMPRODUCT(FRES!R8,IMSUM(FRES!O8,IMDIV(BASE!K$21^2,FRES!R8))))</f>
        <v>0.027723953695793+0.122037268151065i</v>
      </c>
      <c r="V8" s="2" t="str">
        <f>IMDIV(BASE!L$21*BASE!F$38,IMPRODUCT(FRES!S8,IMSUM(FRES!P8,IMDIV(BASE!L$21^2,FRES!S8))))</f>
        <v>0.006952577224466+0.0618676130312003i</v>
      </c>
      <c r="W8" s="2" t="str">
        <f>IMDIV(BASE!M$21*BASE!G$38,IMPRODUCT(FRES!T8,IMSUM(FRES!Q8,IMDIV(BASE!M$21^2,FRES!T8))))</f>
        <v>0.00175869544858805+0.0308578520403159i</v>
      </c>
      <c r="X8" s="2" t="str">
        <f t="shared" si="2"/>
        <v>0.00163325918779326-0.000371037493559411i</v>
      </c>
      <c r="Y8" s="2" t="str">
        <f t="shared" si="3"/>
        <v>0.000827991718767135-0.0000930483023976326i</v>
      </c>
      <c r="Z8" s="2" t="str">
        <f t="shared" si="3"/>
        <v>0.000412979339213201-0.0000235371173368203i</v>
      </c>
      <c r="AA8" s="44" t="str">
        <f>IMPRODUCT(COMPLEX(0,$D8),U8,E$2,BASE!E$15^2/10000,1/(2*BASE!$U$3))</f>
        <v>-0.0217151180070622+0.00493315636483476i</v>
      </c>
      <c r="AB8" s="44" t="str">
        <f>IMPRODUCT(COMPLEX(0,$D8),V8,F$2,BASE!F$15^2/10000,1/(2*BASE!$U$3))</f>
        <v>-0.0110086249728628+0.00123713056814419i</v>
      </c>
      <c r="AC8" s="44" t="str">
        <f>IMPRODUCT(COMPLEX(0,$D8),W8,G$2,BASE!G$15^2/10000,1/(2*BASE!$U$3))</f>
        <v>-0.0054907972675237+0.000312939479743995i</v>
      </c>
      <c r="AD8" s="44">
        <f t="shared" si="6"/>
        <v>2.9182079118397142</v>
      </c>
      <c r="AE8" s="44">
        <f t="shared" si="7"/>
        <v>3.0296838710232055</v>
      </c>
      <c r="AF8" s="44">
        <f t="shared" si="8"/>
        <v>3.0846607932809089</v>
      </c>
      <c r="AG8" s="31">
        <f t="shared" si="9"/>
        <v>60.933186871760668</v>
      </c>
      <c r="AH8" s="31">
        <f t="shared" si="10"/>
        <v>54.868564729884646</v>
      </c>
      <c r="AI8" s="31">
        <f t="shared" si="11"/>
        <v>48.786192387428294</v>
      </c>
      <c r="AJ8" s="2" t="str">
        <f>IMSUM(R8,IMDIV(BASE!K$21^2,FRES!O8))</f>
        <v>7.28472896686639+1.01349148240243i</v>
      </c>
      <c r="AK8" s="2" t="str">
        <f>IMSUM(S8,IMDIV(BASE!L$21^2,FRES!P8))</f>
        <v>7.22030833273213+0.508144417469541i</v>
      </c>
      <c r="AL8" s="2" t="str">
        <f>IMSUM(T8,IMDIV(BASE!M$21^2,FRES!Q8))</f>
        <v>7.20496612227811+0.261953951187424i</v>
      </c>
      <c r="AM8" s="31">
        <f t="shared" si="24"/>
        <v>0.1251467635470507</v>
      </c>
      <c r="AN8" s="31">
        <f t="shared" si="4"/>
        <v>6.2257046767739535E-2</v>
      </c>
      <c r="AO8" s="31">
        <f t="shared" si="4"/>
        <v>3.0907928468645592E-2</v>
      </c>
      <c r="AP8" s="31">
        <f t="shared" si="12"/>
        <v>2.3686301510104739</v>
      </c>
      <c r="AQ8" s="31">
        <f t="shared" si="13"/>
        <v>1.1783278600848202</v>
      </c>
      <c r="AR8" s="31">
        <f t="shared" si="14"/>
        <v>0.58498876999391958</v>
      </c>
      <c r="AS8" s="2">
        <f t="shared" si="15"/>
        <v>119.28894428278338</v>
      </c>
      <c r="AT8" s="2">
        <f t="shared" si="16"/>
        <v>119.64378328158263</v>
      </c>
      <c r="AU8" s="2">
        <f t="shared" si="17"/>
        <v>119.81878026024847</v>
      </c>
      <c r="AV8" s="2">
        <f t="shared" si="18"/>
        <v>119.28894428278338</v>
      </c>
      <c r="AW8" s="2">
        <f t="shared" si="19"/>
        <v>119.64378328158263</v>
      </c>
      <c r="AX8" s="2">
        <f t="shared" si="20"/>
        <v>119.81878026024847</v>
      </c>
      <c r="AY8">
        <f t="shared" si="21"/>
        <v>7.3548923245418436</v>
      </c>
      <c r="AZ8">
        <f t="shared" si="22"/>
        <v>7.2381671138988279</v>
      </c>
      <c r="BA8">
        <f t="shared" si="23"/>
        <v>7.2097265340453767</v>
      </c>
    </row>
    <row r="9" spans="1:53" x14ac:dyDescent="0.2">
      <c r="A9" s="2">
        <v>5</v>
      </c>
      <c r="B9" s="42">
        <f t="shared" si="0"/>
        <v>31.748021039363987</v>
      </c>
      <c r="C9" s="43">
        <v>12.599210498948732</v>
      </c>
      <c r="D9" s="2">
        <f t="shared" si="1"/>
        <v>79.163174289057466</v>
      </c>
      <c r="E9" s="2"/>
      <c r="F9" s="2">
        <f>$D9*BASE!E$15/100/E$3</f>
        <v>1.4497906919216919E-2</v>
      </c>
      <c r="G9" s="2">
        <f>$D9*BASE!F$15/100/F$3</f>
        <v>1.4497906919216919E-2</v>
      </c>
      <c r="H9" s="2">
        <f>$D9*BASE!G$15/100/G$3</f>
        <v>1.4497906919216919E-2</v>
      </c>
      <c r="I9" s="2">
        <f>(1-BESSELJ(2*F9,1)/F9)*BASE!K$13*E$2*E$3</f>
        <v>5.4092298858868747E-4</v>
      </c>
      <c r="J9" s="2">
        <f>(1-BESSELJ(2*G9,1)/G9)*BASE!L$13*F$2*F$3</f>
        <v>5.4092298858868747E-4</v>
      </c>
      <c r="K9" s="2">
        <f>(1-BESSELJ(2*H9,1)/H9)*BASE!M$13*G$2*G$3</f>
        <v>5.4092298858868747E-4</v>
      </c>
      <c r="L9" s="2" t="str">
        <f>IMPRODUCT(COMPLEX(1-BESSELJ(2*F9,1)/F9,(STRUVE(2*F9)/(2*F9^2))),PI()*(BASE!E$15/100)^2*E$2*E$3)</f>
        <v>0.000540922988588688+0.0633388952833799i</v>
      </c>
      <c r="M9" s="2" t="str">
        <f>IMPRODUCT(COMPLEX(1-BESSELJ(2*G9,1)/G9,(STRUVE(2*G9)/(2*G9^2))),PI()*(BASE!F$15/100)^2*F$2*F$3)</f>
        <v>0.000540922988588688+0.0633388952833799i</v>
      </c>
      <c r="N9" s="2" t="str">
        <f>IMPRODUCT(COMPLEX(1-BESSELJ(2*H9,1)/H9,(STRUVE(2*H9)/(2*H9^2))),PI()*(BASE!G$15/100)^2*G$2*G$3)</f>
        <v>0.000540922988588688+0.0633388952833799i</v>
      </c>
      <c r="O9" s="2" t="str">
        <f>IMSUM(IMPRODUCT(IF($O$3=1,L9,COMPLEX(I9,$D9*BASE!K$15)),2),COMPLEX(BASE!E$36,$D9*BASE!K$14-BASE!K$10/$D9))</f>
        <v>0.801081845977177-8.80589743050469i</v>
      </c>
      <c r="P9" s="2" t="str">
        <f>IMSUM(IMPRODUCT(IF($O$3=1,M9,COMPLEX(J9,$D9*BASE!L$15)),2),COMPLEX(BASE!F$36,$D9*BASE!L$14-BASE!L$10/$D9))</f>
        <v>0.801081845977177-18.0905175408127i</v>
      </c>
      <c r="Q9" s="2" t="str">
        <f>IMSUM(IMPRODUCT(IF($O$3=1,N9,COMPLEX(K9,$D9*BASE!M$15)),2),COMPLEX(BASE!G$36,$D9*BASE!M$14-BASE!M$10/$D9))</f>
        <v>0.801081845977177-36.6597577614287i</v>
      </c>
      <c r="R9" s="2" t="str">
        <f>COMPLEX(BASE!E$19,FRES!$D9*BASE!K$36)</f>
        <v>7.2+0.0220393158606641i</v>
      </c>
      <c r="S9" s="2" t="str">
        <f>COMPLEX(BASE!F$19,FRES!$D9*BASE!L$36)</f>
        <v>7.2+0.0220393158606641i</v>
      </c>
      <c r="T9" s="2" t="str">
        <f>COMPLEX(BASE!G$19,FRES!$D9*BASE!M$36)</f>
        <v>7.2+0.0220393158606641i</v>
      </c>
      <c r="U9" s="2" t="str">
        <f>IMDIV(BASE!K$21*BASE!E$38,IMPRODUCT(FRES!R9,IMSUM(FRES!O9,IMDIV(BASE!K$21^2,FRES!R9))))</f>
        <v>0.0312776387143539+0.129194759294711i</v>
      </c>
      <c r="V9" s="2" t="str">
        <f>IMDIV(BASE!L$21*BASE!F$38,IMPRODUCT(FRES!S9,IMSUM(FRES!P9,IMDIV(BASE!L$21^2,FRES!S9))))</f>
        <v>0.007836040876807+0.0656287455869856i</v>
      </c>
      <c r="W9" s="2" t="str">
        <f>IMDIV(BASE!M$21*BASE!G$38,IMPRODUCT(FRES!T9,IMSUM(FRES!Q9,IMDIV(BASE!M$21^2,FRES!T9))))</f>
        <v>0.00197881328639948+0.0327256582843206i</v>
      </c>
      <c r="X9" s="2" t="str">
        <f t="shared" si="2"/>
        <v>0.00163200579631847-0.000395103392394882i</v>
      </c>
      <c r="Y9" s="2" t="str">
        <f t="shared" si="3"/>
        <v>0.000829031253185325-0.0000989859356598609i</v>
      </c>
      <c r="Z9" s="2" t="str">
        <f t="shared" si="3"/>
        <v>0.000413394972829484-0.0000249966389570738i</v>
      </c>
      <c r="AA9" s="44" t="str">
        <f>IMPRODUCT(COMPLEX(0,$D9),U9,E$2,BASE!E$15^2/10000,1/(2*BASE!$U$3))</f>
        <v>-0.0243556905026727+0.00589643490447993i</v>
      </c>
      <c r="AB9" s="44" t="str">
        <f>IMPRODUCT(COMPLEX(0,$D9),V9,F$2,BASE!F$15^2/10000,1/(2*BASE!$U$3))</f>
        <v>-0.0123722775159093+0.00147724402602464i</v>
      </c>
      <c r="AC9" s="44" t="str">
        <f>IMPRODUCT(COMPLEX(0,$D9),W9,G$2,BASE!G$15^2/10000,1/(2*BASE!$U$3))</f>
        <v>-0.00616941437114291+0.00037304426456016i</v>
      </c>
      <c r="AD9" s="44">
        <f t="shared" si="6"/>
        <v>2.9040660095961881</v>
      </c>
      <c r="AE9" s="44">
        <f t="shared" si="7"/>
        <v>3.0227557230542845</v>
      </c>
      <c r="AF9" s="44">
        <f t="shared" si="8"/>
        <v>3.0811994635083857</v>
      </c>
      <c r="AG9" s="31">
        <f t="shared" si="9"/>
        <v>61.958772486293334</v>
      </c>
      <c r="AH9" s="31">
        <f t="shared" si="10"/>
        <v>55.889870052403452</v>
      </c>
      <c r="AI9" s="31">
        <f t="shared" si="11"/>
        <v>49.800128725946102</v>
      </c>
      <c r="AJ9" s="2" t="str">
        <f>IMSUM(R9,IMDIV(BASE!K$21^2,FRES!O9))</f>
        <v>7.29614136404738+1.07887388885908i</v>
      </c>
      <c r="AK9" s="2" t="str">
        <f>IMSUM(S9,IMDIV(BASE!L$21^2,FRES!P9))</f>
        <v>7.22292366694278+0.539715507139454i</v>
      </c>
      <c r="AL9" s="2" t="str">
        <f>IMSUM(T9,IMDIV(BASE!M$21^2,FRES!Q9))</f>
        <v>7.20559049587655+0.277876126581012i</v>
      </c>
      <c r="AM9" s="31">
        <f t="shared" si="24"/>
        <v>0.1329269593151215</v>
      </c>
      <c r="AN9" s="31">
        <f t="shared" si="4"/>
        <v>6.6094899833075413E-2</v>
      </c>
      <c r="AO9" s="31">
        <f t="shared" si="4"/>
        <v>3.2785429876159199E-2</v>
      </c>
      <c r="AP9" s="31">
        <f t="shared" si="12"/>
        <v>2.374678761390276</v>
      </c>
      <c r="AQ9" s="31">
        <f t="shared" si="13"/>
        <v>1.1807548722884769</v>
      </c>
      <c r="AR9" s="31">
        <f t="shared" si="14"/>
        <v>0.58569656908648537</v>
      </c>
      <c r="AS9" s="2">
        <f t="shared" si="15"/>
        <v>119.24392920984778</v>
      </c>
      <c r="AT9" s="2">
        <f t="shared" si="16"/>
        <v>119.62173030166811</v>
      </c>
      <c r="AU9" s="2">
        <f t="shared" si="17"/>
        <v>119.80776250538911</v>
      </c>
      <c r="AV9" s="2">
        <f t="shared" si="18"/>
        <v>119.24392920984778</v>
      </c>
      <c r="AW9" s="2">
        <f t="shared" si="19"/>
        <v>119.62173030166811</v>
      </c>
      <c r="AX9" s="2">
        <f t="shared" si="20"/>
        <v>119.80776250538911</v>
      </c>
      <c r="AY9">
        <f t="shared" si="21"/>
        <v>7.375476098003781</v>
      </c>
      <c r="AZ9">
        <f t="shared" si="22"/>
        <v>7.2430600665139409</v>
      </c>
      <c r="BA9">
        <f t="shared" si="23"/>
        <v>7.2109465076361596</v>
      </c>
    </row>
    <row r="10" spans="1:53" x14ac:dyDescent="0.2">
      <c r="A10" s="2">
        <v>6</v>
      </c>
      <c r="B10" s="42">
        <f t="shared" si="0"/>
        <v>35.635948725613574</v>
      </c>
      <c r="C10" s="43">
        <v>13.348398541700345</v>
      </c>
      <c r="D10" s="2">
        <f t="shared" si="1"/>
        <v>83.87046159158902</v>
      </c>
      <c r="E10" s="2"/>
      <c r="F10" s="2">
        <f>$D10*BASE!E$15/100/E$3</f>
        <v>1.5359997326366592E-2</v>
      </c>
      <c r="G10" s="2">
        <f>$D10*BASE!F$15/100/F$3</f>
        <v>1.5359997326366592E-2</v>
      </c>
      <c r="H10" s="2">
        <f>$D10*BASE!G$15/100/G$3</f>
        <v>1.5359997326366592E-2</v>
      </c>
      <c r="I10" s="2">
        <f>(1-BESSELJ(2*F10,1)/F10)*BASE!K$13*E$2*E$3</f>
        <v>6.0716301680858596E-4</v>
      </c>
      <c r="J10" s="2">
        <f>(1-BESSELJ(2*G10,1)/G10)*BASE!L$13*F$2*F$3</f>
        <v>6.0716301680858596E-4</v>
      </c>
      <c r="K10" s="2">
        <f>(1-BESSELJ(2*H10,1)/H10)*BASE!M$13*G$2*G$3</f>
        <v>6.0716301680858596E-4</v>
      </c>
      <c r="L10" s="2" t="str">
        <f>IMPRODUCT(COMPLEX(1-BESSELJ(2*F10,1)/F10,(STRUVE(2*F10)/(2*F10^2))),PI()*(BASE!E$15/100)^2*E$2*E$3)</f>
        <v>0.000607163016808588+0.0671047613738434i</v>
      </c>
      <c r="M10" s="2" t="str">
        <f>IMPRODUCT(COMPLEX(1-BESSELJ(2*G10,1)/G10,(STRUVE(2*G10)/(2*G10^2))),PI()*(BASE!F$15/100)^2*F$2*F$3)</f>
        <v>0.000607163016808588+0.0671047613738434i</v>
      </c>
      <c r="N10" s="2" t="str">
        <f>IMPRODUCT(COMPLEX(1-BESSELJ(2*H10,1)/H10,(STRUVE(2*H10)/(2*H10^2))),PI()*(BASE!G$15/100)^2*G$2*G$3)</f>
        <v>0.000607163016808588+0.0671047613738434i</v>
      </c>
      <c r="O10" s="2" t="str">
        <f>IMSUM(IMPRODUCT(IF($O$3=1,L10,COMPLEX(I10,$D10*BASE!K$15)),2),COMPLEX(BASE!E$36,$D10*BASE!K$14-BASE!K$10/$D10))</f>
        <v>0.801214326033617-8.25704849481811i</v>
      </c>
      <c r="P10" s="2" t="str">
        <f>IMSUM(IMPRODUCT(IF($O$3=1,M10,COMPLEX(J10,$D10*BASE!L$15)),2),COMPLEX(BASE!F$36,$D10*BASE!L$14-BASE!L$10/$D10))</f>
        <v>0.801214326033617-17.0205629199457i</v>
      </c>
      <c r="Q10" s="2" t="str">
        <f>IMSUM(IMPRODUCT(IF($O$3=1,N10,COMPLEX(K10,$D10*BASE!M$15)),2),COMPLEX(BASE!G$36,$D10*BASE!M$14-BASE!M$10/$D10))</f>
        <v>0.801214326033617-34.5475917702009i</v>
      </c>
      <c r="R10" s="2" t="str">
        <f>COMPLEX(BASE!E$19,FRES!$D10*BASE!K$36)</f>
        <v>7.2+0.0233498417793011i</v>
      </c>
      <c r="S10" s="2" t="str">
        <f>COMPLEX(BASE!F$19,FRES!$D10*BASE!L$36)</f>
        <v>7.2+0.0233498417793011i</v>
      </c>
      <c r="T10" s="2" t="str">
        <f>COMPLEX(BASE!G$19,FRES!$D10*BASE!M$36)</f>
        <v>7.2+0.0233498417793011i</v>
      </c>
      <c r="U10" s="2" t="str">
        <f>IMDIV(BASE!K$21*BASE!E$38,IMPRODUCT(FRES!R10,IMSUM(FRES!O10,IMDIV(BASE!K$21^2,FRES!R10))))</f>
        <v>0.0353071585319054+0.1367471480288i</v>
      </c>
      <c r="V10" s="2" t="str">
        <f>IMDIV(BASE!L$21*BASE!F$38,IMPRODUCT(FRES!S10,IMSUM(FRES!P10,IMDIV(BASE!L$21^2,FRES!S10))))</f>
        <v>0.00883620743164527+0.0696286190870508i</v>
      </c>
      <c r="W10" s="2" t="str">
        <f>IMDIV(BASE!M$21*BASE!G$38,IMPRODUCT(FRES!T10,IMSUM(FRES!Q10,IMDIV(BASE!M$21^2,FRES!T10))))</f>
        <v>0.00222714067119184+0.0347107933667686i</v>
      </c>
      <c r="X10" s="2" t="str">
        <f t="shared" si="2"/>
        <v>0.00163045660455163-0.000420972507625333i</v>
      </c>
      <c r="Y10" s="2" t="str">
        <f t="shared" si="3"/>
        <v>0.000830192391525285-0.000105355416721963i</v>
      </c>
      <c r="Z10" s="2" t="str">
        <f t="shared" si="3"/>
        <v>0.000413861956975918-0.0000265545297942558i</v>
      </c>
      <c r="AA10" s="44" t="str">
        <f>IMPRODUCT(COMPLEX(0,$D10),U10,E$2,BASE!E$15^2/10000,1/(2*BASE!$U$3))</f>
        <v>-0.0273123871600881+0.00705186760562577i</v>
      </c>
      <c r="AB10" s="44" t="str">
        <f>IMPRODUCT(COMPLEX(0,$D10),V10,F$2,BASE!F$15^2/10000,1/(2*BASE!$U$3))</f>
        <v>-0.0139068626244937+0.00176484791002088i</v>
      </c>
      <c r="AC10" s="44" t="str">
        <f>IMPRODUCT(COMPLEX(0,$D10),W10,G$2,BASE!G$15^2/10000,1/(2*BASE!$U$3))</f>
        <v>-0.00693275611764376+0.000444824840213552i</v>
      </c>
      <c r="AD10" s="44">
        <f t="shared" si="6"/>
        <v>2.8889179054160627</v>
      </c>
      <c r="AE10" s="44">
        <f t="shared" si="7"/>
        <v>3.0153625849134169</v>
      </c>
      <c r="AF10" s="44">
        <f t="shared" si="8"/>
        <v>3.0775177159000573</v>
      </c>
      <c r="AG10" s="31">
        <f t="shared" si="9"/>
        <v>62.986868173454269</v>
      </c>
      <c r="AH10" s="31">
        <f t="shared" si="10"/>
        <v>56.913368551641071</v>
      </c>
      <c r="AI10" s="31">
        <f t="shared" si="11"/>
        <v>50.815361139616343</v>
      </c>
      <c r="AJ10" s="2" t="str">
        <f>IMSUM(R10,IMDIV(BASE!K$21^2,FRES!O10))</f>
        <v>7.3092418322709+1.14915984968193i</v>
      </c>
      <c r="AK10" s="2" t="str">
        <f>IMSUM(S10,IMDIV(BASE!L$21^2,FRES!P10))</f>
        <v>7.22589402304809+0.573428434011093i</v>
      </c>
      <c r="AL10" s="2" t="str">
        <f>IMSUM(T10,IMDIV(BASE!M$21^2,FRES!Q10))</f>
        <v>7.2062956354915+0.294811594055857i</v>
      </c>
      <c r="AM10" s="31">
        <f t="shared" si="24"/>
        <v>0.14123164637434357</v>
      </c>
      <c r="AN10" s="31">
        <f t="shared" si="4"/>
        <v>7.018705833517086E-2</v>
      </c>
      <c r="AO10" s="31">
        <f t="shared" si="4"/>
        <v>3.4782169738528157E-2</v>
      </c>
      <c r="AP10" s="31">
        <f t="shared" si="12"/>
        <v>2.3814309108191201</v>
      </c>
      <c r="AQ10" s="31">
        <f t="shared" si="13"/>
        <v>1.1834856744203797</v>
      </c>
      <c r="AR10" s="31">
        <f t="shared" si="14"/>
        <v>0.58649273223890952</v>
      </c>
      <c r="AS10" s="2">
        <f t="shared" si="15"/>
        <v>119.19571129667303</v>
      </c>
      <c r="AT10" s="2">
        <f t="shared" si="16"/>
        <v>119.59819721206651</v>
      </c>
      <c r="AU10" s="2">
        <f t="shared" si="17"/>
        <v>119.79604313876747</v>
      </c>
      <c r="AV10" s="2">
        <f t="shared" si="18"/>
        <v>119.19571129667303</v>
      </c>
      <c r="AW10" s="2">
        <f t="shared" si="19"/>
        <v>119.59819721206651</v>
      </c>
      <c r="AX10" s="2">
        <f t="shared" si="20"/>
        <v>119.79604313876747</v>
      </c>
      <c r="AY10">
        <f t="shared" si="21"/>
        <v>7.3990259171555728</v>
      </c>
      <c r="AZ10">
        <f t="shared" si="22"/>
        <v>7.2486112187959515</v>
      </c>
      <c r="BA10">
        <f t="shared" si="23"/>
        <v>7.2123235272756308</v>
      </c>
    </row>
    <row r="11" spans="1:53" x14ac:dyDescent="0.2">
      <c r="A11" s="2">
        <v>7</v>
      </c>
      <c r="B11" s="42">
        <f t="shared" si="0"/>
        <v>40</v>
      </c>
      <c r="C11" s="43">
        <v>14.142135623730951</v>
      </c>
      <c r="D11" s="2">
        <f t="shared" si="1"/>
        <v>88.857658763167322</v>
      </c>
      <c r="E11" s="2"/>
      <c r="F11" s="2">
        <f>$D11*BASE!E$15/100/E$3</f>
        <v>1.6273350296742851E-2</v>
      </c>
      <c r="G11" s="2">
        <f>$D11*BASE!F$15/100/F$3</f>
        <v>1.6273350296742851E-2</v>
      </c>
      <c r="H11" s="2">
        <f>$D11*BASE!G$15/100/G$3</f>
        <v>1.6273350296742851E-2</v>
      </c>
      <c r="I11" s="2">
        <f>(1-BESSELJ(2*F11,1)/F11)*BASE!K$13*E$2*E$3</f>
        <v>6.8151425754599336E-4</v>
      </c>
      <c r="J11" s="2">
        <f>(1-BESSELJ(2*G11,1)/G11)*BASE!L$13*F$2*F$3</f>
        <v>6.8151425754599336E-4</v>
      </c>
      <c r="K11" s="2">
        <f>(1-BESSELJ(2*H11,1)/H11)*BASE!M$13*G$2*G$3</f>
        <v>6.8151425754599336E-4</v>
      </c>
      <c r="L11" s="2" t="str">
        <f>IMPRODUCT(COMPLEX(1-BESSELJ(2*F11,1)/F11,(STRUVE(2*F11)/(2*F11^2))),PI()*(BASE!E$15/100)^2*E$2*E$3)</f>
        <v>0.000681514257545996+0.0710944703665117i</v>
      </c>
      <c r="M11" s="2" t="str">
        <f>IMPRODUCT(COMPLEX(1-BESSELJ(2*G11,1)/G11,(STRUVE(2*G11)/(2*G11^2))),PI()*(BASE!F$15/100)^2*F$2*F$3)</f>
        <v>0.000681514257545996+0.0710944703665117i</v>
      </c>
      <c r="N11" s="2" t="str">
        <f>IMPRODUCT(COMPLEX(1-BESSELJ(2*H11,1)/H11,(STRUVE(2*H11)/(2*H11^2))),PI()*(BASE!G$15/100)^2*G$2*G$3)</f>
        <v>0.000681514257545996+0.0710944703665117i</v>
      </c>
      <c r="O11" s="2" t="str">
        <f>IMSUM(IMPRODUCT(IF($O$3=1,L11,COMPLEX(I11,$D11*BASE!K$15)),2),COMPLEX(BASE!E$36,$D11*BASE!K$14-BASE!K$10/$D11))</f>
        <v>0.801363028515092-7.73575669091592i</v>
      </c>
      <c r="P11" s="2" t="str">
        <f>IMSUM(IMPRODUCT(IF($O$3=1,M11,COMPLEX(J11,$D11*BASE!L$15)),2),COMPLEX(BASE!F$36,$D11*BASE!L$14-BASE!L$10/$D11))</f>
        <v>0.801363028515092-16.0074128456094i</v>
      </c>
      <c r="Q11" s="2" t="str">
        <f>IMSUM(IMPRODUCT(IF($O$3=1,N11,COMPLEX(K11,$D11*BASE!M$15)),2),COMPLEX(BASE!G$36,$D11*BASE!M$14-BASE!M$10/$D11))</f>
        <v>0.801363028515092-32.5507251549962i</v>
      </c>
      <c r="R11" s="2" t="str">
        <f>COMPLEX(BASE!E$19,FRES!$D11*BASE!K$36)</f>
        <v>7.2+0.0247382956242983i</v>
      </c>
      <c r="S11" s="2" t="str">
        <f>COMPLEX(BASE!F$19,FRES!$D11*BASE!L$36)</f>
        <v>7.2+0.0247382956242983i</v>
      </c>
      <c r="T11" s="2" t="str">
        <f>COMPLEX(BASE!G$19,FRES!$D11*BASE!M$36)</f>
        <v>7.2+0.0247382956242983i</v>
      </c>
      <c r="U11" s="2" t="str">
        <f>IMDIV(BASE!K$21*BASE!E$38,IMPRODUCT(FRES!R11,IMSUM(FRES!O11,IMDIV(BASE!K$21^2,FRES!R11))))</f>
        <v>0.0398810332594755+0.144707875580236i</v>
      </c>
      <c r="V11" s="2" t="str">
        <f>IMDIV(BASE!L$21*BASE!F$38,IMPRODUCT(FRES!S11,IMSUM(FRES!P11,IMDIV(BASE!L$21^2,FRES!S11))))</f>
        <v>0.0099696580472172+0.073884108804189i</v>
      </c>
      <c r="W11" s="2" t="str">
        <f>IMDIV(BASE!M$21*BASE!G$38,IMPRODUCT(FRES!T11,IMSUM(FRES!Q11,IMDIV(BASE!M$21^2,FRES!T11))))</f>
        <v>0.00250746652697643+0.0368214314238936i</v>
      </c>
      <c r="X11" s="2" t="str">
        <f t="shared" si="2"/>
        <v>0.00162853576826649-0.000448819311858875i</v>
      </c>
      <c r="Y11" s="2" t="str">
        <f t="shared" si="3"/>
        <v>0.000831488358264228-0.000112198072580208i</v>
      </c>
      <c r="Z11" s="2" t="str">
        <f t="shared" si="3"/>
        <v>0.000414386693689893-0.0000282189128306834i</v>
      </c>
      <c r="AA11" s="44" t="str">
        <f>IMPRODUCT(COMPLEX(0,$D11),U11,E$2,BASE!E$15^2/10000,1/(2*BASE!$U$3))</f>
        <v>-0.0306210009724306+0.00843905111123563i</v>
      </c>
      <c r="AB11" s="44" t="str">
        <f>IMPRODUCT(COMPLEX(0,$D11),V11,F$2,BASE!F$15^2/10000,1/(2*BASE!$U$3))</f>
        <v>-0.0156342932854806+0.00210963575779516i</v>
      </c>
      <c r="AC11" s="44" t="str">
        <f>IMPRODUCT(COMPLEX(0,$D11),W11,G$2,BASE!G$15^2/10000,1/(2*BASE!$U$3))</f>
        <v>-0.00779162214161706+0.000530594030580663i</v>
      </c>
      <c r="AD11" s="44">
        <f t="shared" si="6"/>
        <v>2.8726716498306066</v>
      </c>
      <c r="AE11" s="44">
        <f t="shared" si="7"/>
        <v>3.0074663560581234</v>
      </c>
      <c r="AF11" s="44">
        <f t="shared" si="8"/>
        <v>3.0735996074912491</v>
      </c>
      <c r="AG11" s="31">
        <f t="shared" si="9"/>
        <v>64.017723256171976</v>
      </c>
      <c r="AH11" s="31">
        <f t="shared" si="10"/>
        <v>57.939329550494875</v>
      </c>
      <c r="AI11" s="31">
        <f t="shared" si="11"/>
        <v>51.832050906961172</v>
      </c>
      <c r="AJ11" s="2" t="str">
        <f>IMSUM(R11,IMDIV(BASE!K$21^2,FRES!O11))</f>
        <v>7.32432198246187+1.22484932325608i</v>
      </c>
      <c r="AK11" s="2" t="str">
        <f>IMSUM(S11,IMDIV(BASE!L$21^2,FRES!P11))</f>
        <v>7.2292725051886+0.609463393870158i</v>
      </c>
      <c r="AL11" s="2" t="str">
        <f>IMSUM(T11,IMDIV(BASE!M$21^2,FRES!Q11))</f>
        <v>7.20709258867231+0.312833573662775i</v>
      </c>
      <c r="AM11" s="31">
        <f t="shared" si="24"/>
        <v>0.15010285163443252</v>
      </c>
      <c r="AN11" s="31">
        <f t="shared" si="4"/>
        <v>7.4553709601653501E-2</v>
      </c>
      <c r="AO11" s="31">
        <f t="shared" si="4"/>
        <v>3.6906709423740372E-2</v>
      </c>
      <c r="AP11" s="31">
        <f t="shared" si="12"/>
        <v>2.3889610809809363</v>
      </c>
      <c r="AQ11" s="31">
        <f t="shared" si="13"/>
        <v>1.1865591408940852</v>
      </c>
      <c r="AR11" s="31">
        <f t="shared" si="14"/>
        <v>0.5873885238044525</v>
      </c>
      <c r="AS11" s="2">
        <f t="shared" si="15"/>
        <v>119.14399785900983</v>
      </c>
      <c r="AT11" s="2">
        <f t="shared" si="16"/>
        <v>119.5730627349844</v>
      </c>
      <c r="AU11" s="2">
        <f t="shared" si="17"/>
        <v>119.78357141235084</v>
      </c>
      <c r="AV11" s="2">
        <f t="shared" si="18"/>
        <v>119.14399785900983</v>
      </c>
      <c r="AW11" s="2">
        <f t="shared" si="19"/>
        <v>119.5730627349844</v>
      </c>
      <c r="AX11" s="2">
        <f t="shared" si="20"/>
        <v>119.78357141235084</v>
      </c>
      <c r="AY11">
        <f t="shared" si="21"/>
        <v>7.4260318049046266</v>
      </c>
      <c r="AZ11">
        <f t="shared" si="22"/>
        <v>7.2549174070242577</v>
      </c>
      <c r="BA11">
        <f t="shared" si="23"/>
        <v>7.2138788752311314</v>
      </c>
    </row>
    <row r="12" spans="1:53" x14ac:dyDescent="0.2">
      <c r="A12" s="2">
        <v>8</v>
      </c>
      <c r="B12" s="42">
        <f t="shared" si="0"/>
        <v>44.898481932374921</v>
      </c>
      <c r="C12" s="43">
        <v>14.983070768766815</v>
      </c>
      <c r="D12" s="2">
        <f t="shared" si="1"/>
        <v>94.1414101107476</v>
      </c>
      <c r="E12" s="2"/>
      <c r="F12" s="2">
        <f>$D12*BASE!E$15/100/E$3</f>
        <v>1.7241014060979939E-2</v>
      </c>
      <c r="G12" s="2">
        <f>$D12*BASE!F$15/100/F$3</f>
        <v>1.7241014060979939E-2</v>
      </c>
      <c r="H12" s="2">
        <f>$D12*BASE!G$15/100/G$3</f>
        <v>1.7241014060979939E-2</v>
      </c>
      <c r="I12" s="2">
        <f>(1-BESSELJ(2*F12,1)/F12)*BASE!K$13*E$2*E$3</f>
        <v>7.6496985053795007E-4</v>
      </c>
      <c r="J12" s="2">
        <f>(1-BESSELJ(2*G12,1)/G12)*BASE!L$13*F$2*F$3</f>
        <v>7.6496985053795007E-4</v>
      </c>
      <c r="K12" s="2">
        <f>(1-BESSELJ(2*H12,1)/H12)*BASE!M$13*G$2*G$3</f>
        <v>7.6496985053795007E-4</v>
      </c>
      <c r="L12" s="2" t="str">
        <f>IMPRODUCT(COMPLEX(1-BESSELJ(2*F12,1)/F12,(STRUVE(2*F12)/(2*F12^2))),PI()*(BASE!E$15/100)^2*E$2*E$3)</f>
        <v>0.000764969850537949+0.0753213161650328i</v>
      </c>
      <c r="M12" s="2" t="str">
        <f>IMPRODUCT(COMPLEX(1-BESSELJ(2*G12,1)/G12,(STRUVE(2*G12)/(2*G12^2))),PI()*(BASE!F$15/100)^2*F$2*F$3)</f>
        <v>0.000764969850537949+0.0753213161650328i</v>
      </c>
      <c r="N12" s="2" t="str">
        <f>IMPRODUCT(COMPLEX(1-BESSELJ(2*H12,1)/H12,(STRUVE(2*H12)/(2*H12^2))),PI()*(BASE!G$15/100)^2*G$2*G$3)</f>
        <v>0.000764969850537949+0.0753213161650328i</v>
      </c>
      <c r="O12" s="2" t="str">
        <f>IMSUM(IMPRODUCT(IF($O$3=1,L12,COMPLEX(I12,$D12*BASE!K$15)),2),COMPLEX(BASE!E$36,$D12*BASE!K$14-BASE!K$10/$D12))</f>
        <v>0.801529939701076-7.24028225586136i</v>
      </c>
      <c r="P12" s="2" t="str">
        <f>IMSUM(IMPRODUCT(IF($O$3=1,M12,COMPLEX(J12,$D12*BASE!L$15)),2),COMPLEX(BASE!F$36,$D12*BASE!L$14-BASE!L$10/$D12))</f>
        <v>0.801529939701076-15.0476860236119i</v>
      </c>
      <c r="Q12" s="2" t="str">
        <f>IMSUM(IMPRODUCT(IF($O$3=1,N12,COMPLEX(K12,$D12*BASE!M$15)),2),COMPLEX(BASE!G$36,$D12*BASE!M$14-BASE!M$10/$D12))</f>
        <v>0.801529939701076-30.662493559113i</v>
      </c>
      <c r="R12" s="2" t="str">
        <f>COMPLEX(BASE!E$19,FRES!$D12*BASE!K$36)</f>
        <v>7.2+0.026209311231294i</v>
      </c>
      <c r="S12" s="2" t="str">
        <f>COMPLEX(BASE!F$19,FRES!$D12*BASE!L$36)</f>
        <v>7.2+0.026209311231294i</v>
      </c>
      <c r="T12" s="2" t="str">
        <f>COMPLEX(BASE!G$19,FRES!$D12*BASE!M$36)</f>
        <v>7.2+0.026209311231294i</v>
      </c>
      <c r="U12" s="2" t="str">
        <f>IMDIV(BASE!K$21*BASE!E$38,IMPRODUCT(FRES!R12,IMSUM(FRES!O12,IMDIV(BASE!K$21^2,FRES!R12))))</f>
        <v>0.0450786575920849+0.153087754183129i</v>
      </c>
      <c r="V12" s="2" t="str">
        <f>IMDIV(BASE!L$21*BASE!F$38,IMPRODUCT(FRES!S12,IMSUM(FRES!P12,IMDIV(BASE!L$21^2,FRES!S12))))</f>
        <v>0.0112556315723216+0.0784135326274607i</v>
      </c>
      <c r="W12" s="2" t="str">
        <f>IMDIV(BASE!M$21*BASE!G$38,IMPRODUCT(FRES!T12,IMSUM(FRES!Q12,IMDIV(BASE!M$21^2,FRES!T12))))</f>
        <v>0.00282413427384034+0.0390664631666021i</v>
      </c>
      <c r="X12" s="2" t="str">
        <f t="shared" si="2"/>
        <v>0.00162614681470181-0.000478839838271538i</v>
      </c>
      <c r="Y12" s="2" t="str">
        <f t="shared" si="3"/>
        <v>0.000832933483099683-0.000119560898430144i</v>
      </c>
      <c r="Z12" s="2" t="str">
        <f t="shared" si="3"/>
        <v>0.000414976396897438-0.0000299988524764823i</v>
      </c>
      <c r="AA12" s="44" t="str">
        <f>IMPRODUCT(COMPLEX(0,$D12),U12,E$2,BASE!E$15^2/10000,1/(2*BASE!$U$3))</f>
        <v>-0.034320491633649+0.0101061100478001i</v>
      </c>
      <c r="AB12" s="44" t="str">
        <f>IMPRODUCT(COMPLEX(0,$D12),V12,F$2,BASE!F$15^2/10000,1/(2*BASE!$U$3))</f>
        <v>-0.0175794008140346+0.00252338151585393i</v>
      </c>
      <c r="AC12" s="44" t="str">
        <f>IMPRODUCT(COMPLEX(0,$D12),W12,G$2,BASE!G$15^2/10000,1/(2*BASE!$U$3))</f>
        <v>-0.0087582460753963+0.000633138014433818i</v>
      </c>
      <c r="AD12" s="44">
        <f t="shared" si="6"/>
        <v>2.8552235157550876</v>
      </c>
      <c r="AE12" s="44">
        <f t="shared" si="7"/>
        <v>2.9990245500151484</v>
      </c>
      <c r="AF12" s="44">
        <f t="shared" si="8"/>
        <v>3.0694276852280677</v>
      </c>
      <c r="AG12" s="31">
        <f t="shared" si="9"/>
        <v>65.051600233922215</v>
      </c>
      <c r="AH12" s="31">
        <f t="shared" si="10"/>
        <v>58.968055355981249</v>
      </c>
      <c r="AI12" s="31">
        <f t="shared" si="11"/>
        <v>52.850379720566011</v>
      </c>
      <c r="AJ12" s="2" t="str">
        <f>IMSUM(R12,IMDIV(BASE!K$21^2,FRES!O12))</f>
        <v>7.34173548386572+1.30651695543679i</v>
      </c>
      <c r="AK12" s="2" t="str">
        <f>IMSUM(S12,IMDIV(BASE!L$21^2,FRES!P12))</f>
        <v>7.23312148448602+0.648022264802765i</v>
      </c>
      <c r="AL12" s="2" t="str">
        <f>IMSUM(T12,IMDIV(BASE!M$21^2,FRES!Q12))</f>
        <v>7.2079940727893+0.332022223852469i</v>
      </c>
      <c r="AM12" s="31">
        <f t="shared" si="24"/>
        <v>0.15958679723316263</v>
      </c>
      <c r="AN12" s="31">
        <f t="shared" si="4"/>
        <v>7.9217241439030722E-2</v>
      </c>
      <c r="AO12" s="31">
        <f t="shared" si="4"/>
        <v>3.9168409193432389E-2</v>
      </c>
      <c r="AP12" s="31">
        <f t="shared" si="12"/>
        <v>2.3973489748806931</v>
      </c>
      <c r="AQ12" s="31">
        <f t="shared" si="13"/>
        <v>1.1900193239624246</v>
      </c>
      <c r="AR12" s="31">
        <f t="shared" si="14"/>
        <v>0.58839670483762185</v>
      </c>
      <c r="AS12" s="2">
        <f t="shared" si="15"/>
        <v>119.08845872329285</v>
      </c>
      <c r="AT12" s="2">
        <f t="shared" si="16"/>
        <v>119.54619163177716</v>
      </c>
      <c r="AU12" s="2">
        <f t="shared" si="17"/>
        <v>119.77029177134322</v>
      </c>
      <c r="AV12" s="2">
        <f t="shared" si="18"/>
        <v>119.08845872329285</v>
      </c>
      <c r="AW12" s="2">
        <f t="shared" si="19"/>
        <v>119.54619163177716</v>
      </c>
      <c r="AX12" s="2">
        <f t="shared" si="20"/>
        <v>119.77029177134322</v>
      </c>
      <c r="AY12">
        <f t="shared" si="21"/>
        <v>7.4570816322403797</v>
      </c>
      <c r="AZ12">
        <f t="shared" si="22"/>
        <v>7.2620919344919708</v>
      </c>
      <c r="BA12">
        <f t="shared" si="23"/>
        <v>7.2156369996347252</v>
      </c>
    </row>
    <row r="13" spans="1:53" x14ac:dyDescent="0.2">
      <c r="A13" s="2">
        <v>9</v>
      </c>
      <c r="B13" s="42">
        <f t="shared" si="0"/>
        <v>50.396841995794915</v>
      </c>
      <c r="C13" s="43">
        <v>15.874010519681994</v>
      </c>
      <c r="D13" s="2">
        <f t="shared" si="1"/>
        <v>99.739349663280095</v>
      </c>
      <c r="E13" s="2"/>
      <c r="F13" s="2">
        <f>$D13*BASE!E$15/100/E$3</f>
        <v>1.8266218106937925E-2</v>
      </c>
      <c r="G13" s="2">
        <f>$D13*BASE!F$15/100/F$3</f>
        <v>1.8266218106937925E-2</v>
      </c>
      <c r="H13" s="2">
        <f>$D13*BASE!G$15/100/G$3</f>
        <v>1.8266218106937925E-2</v>
      </c>
      <c r="I13" s="2">
        <f>(1-BESSELJ(2*F13,1)/F13)*BASE!K$13*E$2*E$3</f>
        <v>8.5864451170821908E-4</v>
      </c>
      <c r="J13" s="2">
        <f>(1-BESSELJ(2*G13,1)/G13)*BASE!L$13*F$2*F$3</f>
        <v>8.5864451170821908E-4</v>
      </c>
      <c r="K13" s="2">
        <f>(1-BESSELJ(2*H13,1)/H13)*BASE!M$13*G$2*G$3</f>
        <v>8.5864451170821908E-4</v>
      </c>
      <c r="L13" s="2" t="str">
        <f>IMPRODUCT(COMPLEX(1-BESSELJ(2*F13,1)/F13,(STRUVE(2*F13)/(2*F13^2))),PI()*(BASE!E$15/100)^2*E$2*E$3)</f>
        <v>0.000858644511708217+0.0797993800504455i</v>
      </c>
      <c r="M13" s="2" t="str">
        <f>IMPRODUCT(COMPLEX(1-BESSELJ(2*G13,1)/G13,(STRUVE(2*G13)/(2*G13^2))),PI()*(BASE!F$15/100)^2*F$2*F$3)</f>
        <v>0.000858644511708217+0.0797993800504455i</v>
      </c>
      <c r="N13" s="2" t="str">
        <f>IMPRODUCT(COMPLEX(1-BESSELJ(2*H13,1)/H13,(STRUVE(2*H13)/(2*H13^2))),PI()*(BASE!G$15/100)^2*G$2*G$3)</f>
        <v>0.000858644511708217+0.0797993800504455i</v>
      </c>
      <c r="O13" s="2" t="str">
        <f>IMSUM(IMPRODUCT(IF($O$3=1,L13,COMPLEX(I13,$D13*BASE!K$15)),2),COMPLEX(BASE!E$36,$D13*BASE!K$14-BASE!K$10/$D13))</f>
        <v>0.801717289023416-6.76897158978627i</v>
      </c>
      <c r="P13" s="2" t="str">
        <f>IMSUM(IMPRODUCT(IF($O$3=1,M13,COMPLEX(J13,$D13*BASE!L$15)),2),COMPLEX(BASE!F$36,$D13*BASE!L$14-BASE!L$10/$D13))</f>
        <v>0.801717289023416-14.1381794549003i</v>
      </c>
      <c r="Q13" s="2" t="str">
        <f>IMSUM(IMPRODUCT(IF($O$3=1,N13,COMPLEX(K13,$D13*BASE!M$15)),2),COMPLEX(BASE!G$36,$D13*BASE!M$14-BASE!M$10/$D13))</f>
        <v>0.801717289023416-28.8765951851283i</v>
      </c>
      <c r="R13" s="2" t="str">
        <f>COMPLEX(BASE!E$19,FRES!$D13*BASE!K$36)</f>
        <v>7.2+0.0277677979781326i</v>
      </c>
      <c r="S13" s="2" t="str">
        <f>COMPLEX(BASE!F$19,FRES!$D13*BASE!L$36)</f>
        <v>7.2+0.0277677979781326i</v>
      </c>
      <c r="T13" s="2" t="str">
        <f>COMPLEX(BASE!G$19,FRES!$D13*BASE!M$36)</f>
        <v>7.2+0.0277677979781326i</v>
      </c>
      <c r="U13" s="2" t="str">
        <f>IMDIV(BASE!K$21*BASE!E$38,IMPRODUCT(FRES!R13,IMSUM(FRES!O13,IMDIV(BASE!K$21^2,FRES!R13))))</f>
        <v>0.0509921724934433+0.161893598352951i</v>
      </c>
      <c r="V13" s="2" t="str">
        <f>IMDIV(BASE!L$21*BASE!F$38,IMPRODUCT(FRES!S13,IMSUM(FRES!P13,IMDIV(BASE!L$21^2,FRES!S13))))</f>
        <v>0.0127165263397041+0.0832367927218829i</v>
      </c>
      <c r="W13" s="2" t="str">
        <f>IMDIV(BASE!M$21*BASE!G$38,IMPRODUCT(FRES!T13,IMSUM(FRES!Q13,IMDIV(BASE!M$21^2,FRES!T13))))</f>
        <v>0.0031821347858068+0.0414555833387186i</v>
      </c>
      <c r="X13" s="2" t="str">
        <f t="shared" si="2"/>
        <v>0.00162316677318935-0.000511254311017595i</v>
      </c>
      <c r="Y13" s="2" t="str">
        <f t="shared" si="3"/>
        <v>0.000834543166793148-0.000127497586285003i</v>
      </c>
      <c r="Z13" s="2" t="str">
        <f t="shared" si="3"/>
        <v>0.000415639198357244-0.0000319045070631569i</v>
      </c>
      <c r="AA13" s="44" t="str">
        <f>IMPRODUCT(COMPLEX(0,$D13),U13,E$2,BASE!E$15^2/10000,1/(2*BASE!$U$3))</f>
        <v>-0.0384528520973045+0.0121116244679163i</v>
      </c>
      <c r="AB13" s="44" t="str">
        <f>IMPRODUCT(COMPLEX(0,$D13),V13,F$2,BASE!F$15^2/10000,1/(2*BASE!$U$3))</f>
        <v>-0.0197703436834519+0.00302042027298732i</v>
      </c>
      <c r="AC13" s="44" t="str">
        <f>IMPRODUCT(COMPLEX(0,$D13),W13,G$2,BASE!G$15^2/10000,1/(2*BASE!$U$3))</f>
        <v>-0.00984650060872633+0.000755818386379614i</v>
      </c>
      <c r="AD13" s="44">
        <f t="shared" si="6"/>
        <v>2.8364560539762986</v>
      </c>
      <c r="AE13" s="44">
        <f t="shared" si="7"/>
        <v>2.9899895831821932</v>
      </c>
      <c r="AF13" s="44">
        <f t="shared" si="8"/>
        <v>3.0649827810583044</v>
      </c>
      <c r="AG13" s="31">
        <f t="shared" si="9"/>
        <v>66.088770929941518</v>
      </c>
      <c r="AH13" s="31">
        <f t="shared" si="10"/>
        <v>59.999885214313416</v>
      </c>
      <c r="AI13" s="31">
        <f t="shared" si="11"/>
        <v>53.87055235871108</v>
      </c>
      <c r="AJ13" s="2" t="str">
        <f>IMSUM(R13,IMDIV(BASE!K$21^2,FRES!O13))</f>
        <v>7.36191454015575+1.39482690633615i</v>
      </c>
      <c r="AK13" s="2" t="str">
        <f>IMSUM(S13,IMDIV(BASE!L$21^2,FRES!P13))</f>
        <v>7.23751456921364+0.68933231576691i</v>
      </c>
      <c r="AL13" s="2" t="str">
        <f>IMSUM(T13,IMDIV(BASE!M$21^2,FRES!Q13))</f>
        <v>7.20901476890707+0.35246558855978i</v>
      </c>
      <c r="AM13" s="31">
        <f t="shared" si="24"/>
        <v>0.16973431840163525</v>
      </c>
      <c r="AN13" s="31">
        <f t="shared" si="4"/>
        <v>8.4202575404640018E-2</v>
      </c>
      <c r="AO13" s="31">
        <f t="shared" si="4"/>
        <v>4.1577534459711352E-2</v>
      </c>
      <c r="AP13" s="31">
        <f t="shared" si="12"/>
        <v>2.4066787671477896</v>
      </c>
      <c r="AQ13" s="31">
        <f t="shared" si="13"/>
        <v>1.1939161878035141</v>
      </c>
      <c r="AR13" s="31">
        <f t="shared" si="14"/>
        <v>0.58953174771507522</v>
      </c>
      <c r="AS13" s="2">
        <f t="shared" si="15"/>
        <v>119.0287200370652</v>
      </c>
      <c r="AT13" s="2">
        <f t="shared" si="16"/>
        <v>119.51743243913444</v>
      </c>
      <c r="AU13" s="2">
        <f t="shared" si="17"/>
        <v>119.75614320193947</v>
      </c>
      <c r="AV13" s="2">
        <f t="shared" si="18"/>
        <v>119.0287200370652</v>
      </c>
      <c r="AW13" s="2">
        <f t="shared" si="19"/>
        <v>119.51743243913444</v>
      </c>
      <c r="AX13" s="2">
        <f t="shared" si="20"/>
        <v>119.75614320193947</v>
      </c>
      <c r="AY13">
        <f t="shared" si="21"/>
        <v>7.4928851449355562</v>
      </c>
      <c r="AZ13">
        <f t="shared" si="22"/>
        <v>7.2702679580012921</v>
      </c>
      <c r="BA13">
        <f t="shared" si="23"/>
        <v>7.217626059130458</v>
      </c>
    </row>
    <row r="14" spans="1:53" x14ac:dyDescent="0.2">
      <c r="A14" s="2">
        <v>10</v>
      </c>
      <c r="B14" s="42">
        <f t="shared" si="0"/>
        <v>56.568542494923797</v>
      </c>
      <c r="C14" s="43">
        <v>16.81792830507429</v>
      </c>
      <c r="D14" s="2">
        <f t="shared" si="1"/>
        <v>105.67016002364245</v>
      </c>
      <c r="E14" s="2"/>
      <c r="F14" s="2">
        <f>$D14*BASE!E$15/100/E$3</f>
        <v>1.9352383957818239E-2</v>
      </c>
      <c r="G14" s="2">
        <f>$D14*BASE!F$15/100/F$3</f>
        <v>1.9352383957818239E-2</v>
      </c>
      <c r="H14" s="2">
        <f>$D14*BASE!G$15/100/G$3</f>
        <v>1.9352383957818239E-2</v>
      </c>
      <c r="I14" s="2">
        <f>(1-BESSELJ(2*F14,1)/F14)*BASE!K$13*E$2*E$3</f>
        <v>9.6378940975829549E-4</v>
      </c>
      <c r="J14" s="2">
        <f>(1-BESSELJ(2*G14,1)/G14)*BASE!L$13*F$2*F$3</f>
        <v>9.6378940975829549E-4</v>
      </c>
      <c r="K14" s="2">
        <f>(1-BESSELJ(2*H14,1)/H14)*BASE!M$13*G$2*G$3</f>
        <v>9.6378940975829549E-4</v>
      </c>
      <c r="L14" s="2" t="str">
        <f>IMPRODUCT(COMPLEX(1-BESSELJ(2*F14,1)/F14,(STRUVE(2*F14)/(2*F14^2))),PI()*(BASE!E$15/100)^2*E$2*E$3)</f>
        <v>0.000963789409758297+0.0845435769110173i</v>
      </c>
      <c r="M14" s="2" t="str">
        <f>IMPRODUCT(COMPLEX(1-BESSELJ(2*G14,1)/G14,(STRUVE(2*G14)/(2*G14^2))),PI()*(BASE!F$15/100)^2*F$2*F$3)</f>
        <v>0.000963789409758297+0.0845435769110173i</v>
      </c>
      <c r="N14" s="2" t="str">
        <f>IMPRODUCT(COMPLEX(1-BESSELJ(2*H14,1)/H14,(STRUVE(2*H14)/(2*H14^2))),PI()*(BASE!G$15/100)^2*G$2*G$3)</f>
        <v>0.000963789409758297+0.0845435769110173i</v>
      </c>
      <c r="O14" s="2" t="str">
        <f>IMSUM(IMPRODUCT(IF($O$3=1,L14,COMPLEX(I14,$D14*BASE!K$15)),2),COMPLEX(BASE!E$36,$D14*BASE!K$14-BASE!K$10/$D14))</f>
        <v>0.801927578819517-6.32025173715519i</v>
      </c>
      <c r="P14" s="2" t="str">
        <f>IMSUM(IMPRODUCT(IF($O$3=1,M14,COMPLEX(J14,$D14*BASE!L$15)),2),COMPLEX(BASE!F$36,$D14*BASE!L$14-BASE!L$10/$D14))</f>
        <v>0.801927578819517-13.2758577458482i</v>
      </c>
      <c r="Q14" s="2" t="str">
        <f>IMSUM(IMPRODUCT(IF($O$3=1,N14,COMPLEX(K14,$D14*BASE!M$15)),2),COMPLEX(BASE!G$36,$D14*BASE!M$14-BASE!M$10/$D14))</f>
        <v>0.801927578819517-27.1870697632342i</v>
      </c>
      <c r="R14" s="2" t="str">
        <f>COMPLEX(BASE!E$19,FRES!$D14*BASE!K$36)</f>
        <v>7.2+0.0294189571694562i</v>
      </c>
      <c r="S14" s="2" t="str">
        <f>COMPLEX(BASE!F$19,FRES!$D14*BASE!L$36)</f>
        <v>7.2+0.0294189571694562i</v>
      </c>
      <c r="T14" s="2" t="str">
        <f>COMPLEX(BASE!G$19,FRES!$D14*BASE!M$36)</f>
        <v>7.2+0.0294189571694562i</v>
      </c>
      <c r="U14" s="2" t="str">
        <f>IMDIV(BASE!K$21*BASE!E$38,IMPRODUCT(FRES!R14,IMSUM(FRES!O14,IMDIV(BASE!K$21^2,FRES!R14))))</f>
        <v>0.0577286433518692+0.171126334155485i</v>
      </c>
      <c r="V14" s="2" t="str">
        <f>IMDIV(BASE!L$21*BASE!F$38,IMPRODUCT(FRES!S14,IMSUM(FRES!P14,IMDIV(BASE!L$21^2,FRES!S14))))</f>
        <v>0.0143785147581336+0.0883755246320944i</v>
      </c>
      <c r="W14" s="2" t="str">
        <f>IMDIV(BASE!M$21*BASE!G$38,IMPRODUCT(FRES!T14,IMSUM(FRES!Q14,IMDIV(BASE!M$21^2,FRES!T14))))</f>
        <v>0.00358721790279282+0.043999392224424i</v>
      </c>
      <c r="X14" s="2" t="str">
        <f t="shared" si="2"/>
        <v>0.00161943858244559-0.000546309793975455i</v>
      </c>
      <c r="Y14" s="2" t="str">
        <f t="shared" si="3"/>
        <v>0.000836333782520267-0.000136069773670416i</v>
      </c>
      <c r="Z14" s="2" t="str">
        <f t="shared" si="3"/>
        <v>0.000416384267938838-0.0000339473121076966i</v>
      </c>
      <c r="AA14" s="44" t="str">
        <f>IMPRODUCT(COMPLEX(0,$D14),U14,E$2,BASE!E$15^2/10000,1/(2*BASE!$U$3))</f>
        <v>-0.0430627302583973+0.01452700432761i</v>
      </c>
      <c r="AB14" s="44" t="str">
        <f>IMPRODUCT(COMPLEX(0,$D14),V14,F$2,BASE!F$15^2/10000,1/(2*BASE!$U$3))</f>
        <v>-0.0222390749936733+0.00361825142577593i</v>
      </c>
      <c r="AC14" s="44" t="str">
        <f>IMPRODUCT(COMPLEX(0,$D14),W14,G$2,BASE!G$15^2/10000,1/(2*BASE!$U$3))</f>
        <v>-0.0110721354971132+0.000902697984435901i</v>
      </c>
      <c r="AD14" s="44">
        <f t="shared" si="6"/>
        <v>2.8162357966220681</v>
      </c>
      <c r="AE14" s="44">
        <f t="shared" si="7"/>
        <v>2.9803079190100572</v>
      </c>
      <c r="AF14" s="44">
        <f t="shared" si="8"/>
        <v>3.0602437699947242</v>
      </c>
      <c r="AG14" s="31">
        <f t="shared" si="9"/>
        <v>67.129510344760718</v>
      </c>
      <c r="AH14" s="31">
        <f t="shared" si="10"/>
        <v>61.035199689707085</v>
      </c>
      <c r="AI14" s="31">
        <f t="shared" si="11"/>
        <v>54.892799728355762</v>
      </c>
      <c r="AJ14" s="2" t="str">
        <f>IMSUM(R14,IMDIV(BASE!K$21^2,FRES!O14))</f>
        <v>7.38539169720692+1.49055114325916i</v>
      </c>
      <c r="AK14" s="2" t="str">
        <f>IMSUM(S14,IMDIV(BASE!L$21^2,FRES!P14))</f>
        <v>7.24253908728075+0.733650718606998i</v>
      </c>
      <c r="AL14" s="2" t="str">
        <f>IMSUM(T14,IMDIV(BASE!M$21^2,FRES!Q14))</f>
        <v>7.21017167795482+0.374260717785552i</v>
      </c>
      <c r="AM14" s="31">
        <f t="shared" si="24"/>
        <v>0.1806012693885124</v>
      </c>
      <c r="AN14" s="31">
        <f t="shared" si="4"/>
        <v>8.9537562177266078E-2</v>
      </c>
      <c r="AO14" s="31">
        <f t="shared" si="4"/>
        <v>4.4145380827452611E-2</v>
      </c>
      <c r="AP14" s="31">
        <f t="shared" si="12"/>
        <v>2.4170377379374473</v>
      </c>
      <c r="AQ14" s="31">
        <f t="shared" si="13"/>
        <v>1.1983064542022424</v>
      </c>
      <c r="AR14" s="31">
        <f t="shared" si="14"/>
        <v>0.59081008553730607</v>
      </c>
      <c r="AS14" s="2">
        <f t="shared" si="15"/>
        <v>118.96435695889488</v>
      </c>
      <c r="AT14" s="2">
        <f t="shared" si="16"/>
        <v>119.48661474492741</v>
      </c>
      <c r="AU14" s="2">
        <f t="shared" si="17"/>
        <v>119.74105846121675</v>
      </c>
      <c r="AV14" s="2">
        <f t="shared" si="18"/>
        <v>118.96435695889488</v>
      </c>
      <c r="AW14" s="2">
        <f t="shared" si="19"/>
        <v>119.48661474492741</v>
      </c>
      <c r="AX14" s="2">
        <f t="shared" si="20"/>
        <v>119.74105846121675</v>
      </c>
      <c r="AY14">
        <f t="shared" si="21"/>
        <v>7.5343050928300022</v>
      </c>
      <c r="AZ14">
        <f t="shared" si="22"/>
        <v>7.279602723205576</v>
      </c>
      <c r="BA14">
        <f t="shared" si="23"/>
        <v>7.2198785800357612</v>
      </c>
    </row>
    <row r="15" spans="1:53" x14ac:dyDescent="0.2">
      <c r="A15" s="2">
        <v>11</v>
      </c>
      <c r="B15" s="42">
        <f t="shared" si="0"/>
        <v>63.496042078727974</v>
      </c>
      <c r="C15" s="43">
        <v>17.817974362806787</v>
      </c>
      <c r="D15" s="2">
        <f t="shared" si="1"/>
        <v>111.95363472009015</v>
      </c>
      <c r="E15" s="2"/>
      <c r="F15" s="2">
        <f>$D15*BASE!E$15/100/E$3</f>
        <v>2.0503136591179302E-2</v>
      </c>
      <c r="G15" s="2">
        <f>$D15*BASE!F$15/100/F$3</f>
        <v>2.0503136591179302E-2</v>
      </c>
      <c r="H15" s="2">
        <f>$D15*BASE!G$15/100/G$3</f>
        <v>2.0503136591179302E-2</v>
      </c>
      <c r="I15" s="2">
        <f>(1-BESSELJ(2*F15,1)/F15)*BASE!K$13*E$2*E$3</f>
        <v>1.0818088614788686E-3</v>
      </c>
      <c r="J15" s="2">
        <f>(1-BESSELJ(2*G15,1)/G15)*BASE!L$13*F$2*F$3</f>
        <v>1.0818088614788686E-3</v>
      </c>
      <c r="K15" s="2">
        <f>(1-BESSELJ(2*H15,1)/H15)*BASE!M$13*G$2*G$3</f>
        <v>1.0818088614788686E-3</v>
      </c>
      <c r="L15" s="2" t="str">
        <f>IMPRODUCT(COMPLEX(1-BESSELJ(2*F15,1)/F15,(STRUVE(2*F15)/(2*F15^2))),PI()*(BASE!E$15/100)^2*E$2*E$3)</f>
        <v>0.00108180886147887+0.0895697041094514i</v>
      </c>
      <c r="M15" s="2" t="str">
        <f>IMPRODUCT(COMPLEX(1-BESSELJ(2*G15,1)/G15,(STRUVE(2*G15)/(2*G15^2))),PI()*(BASE!F$15/100)^2*F$2*F$3)</f>
        <v>0.00108180886147887+0.0895697041094514i</v>
      </c>
      <c r="N15" s="2" t="str">
        <f>IMPRODUCT(COMPLEX(1-BESSELJ(2*H15,1)/H15,(STRUVE(2*H15)/(2*H15^2))),PI()*(BASE!G$15/100)^2*G$2*G$3)</f>
        <v>0.00108180886147887+0.0895697041094514i</v>
      </c>
      <c r="O15" s="2" t="str">
        <f>IMSUM(IMPRODUCT(IF($O$3=1,L15,COMPLEX(I15,$D15*BASE!K$15)),2),COMPLEX(BASE!E$36,$D15*BASE!K$14-BASE!K$10/$D15))</f>
        <v>0.802163617722958-5.89262513717249i</v>
      </c>
      <c r="P15" s="2" t="str">
        <f>IMSUM(IMPRODUCT(IF($O$3=1,M15,COMPLEX(J15,$D15*BASE!L$15)),2),COMPLEX(BASE!F$36,$D15*BASE!L$14-BASE!L$10/$D15))</f>
        <v>0.802163617722958-12.4578429779122i</v>
      </c>
      <c r="Q15" s="2" t="str">
        <f>IMSUM(IMPRODUCT(IF($O$3=1,N15,COMPLEX(K15,$D15*BASE!M$15)),2),COMPLEX(BASE!G$36,$D15*BASE!M$14-BASE!M$10/$D15))</f>
        <v>0.802163617722958-25.5882786593918i</v>
      </c>
      <c r="R15" s="2" t="str">
        <f>COMPLEX(BASE!E$19,FRES!$D15*BASE!K$36)</f>
        <v>7.2+0.0311682993955756i</v>
      </c>
      <c r="S15" s="2" t="str">
        <f>COMPLEX(BASE!F$19,FRES!$D15*BASE!L$36)</f>
        <v>7.2+0.0311682993955756i</v>
      </c>
      <c r="T15" s="2" t="str">
        <f>COMPLEX(BASE!G$19,FRES!$D15*BASE!M$36)</f>
        <v>7.2+0.0311682993955756i</v>
      </c>
      <c r="U15" s="2" t="str">
        <f>IMDIV(BASE!K$21*BASE!E$38,IMPRODUCT(FRES!R15,IMSUM(FRES!O15,IMDIV(BASE!K$21^2,FRES!R15))))</f>
        <v>0.0654125638950392+0.180778393214827i</v>
      </c>
      <c r="V15" s="2" t="str">
        <f>IMDIV(BASE!L$21*BASE!F$38,IMPRODUCT(FRES!S15,IMSUM(FRES!P15,IMDIV(BASE!L$21^2,FRES!S15))))</f>
        <v>0.0162723001200815+0.0938532488782102i</v>
      </c>
      <c r="W15" s="2" t="str">
        <f>IMDIV(BASE!M$21*BASE!G$38,IMPRODUCT(FRES!T15,IMSUM(FRES!Q15,IMDIV(BASE!M$21^2,FRES!T15))))</f>
        <v>0.00404602691982302+0.0467095138082313i</v>
      </c>
      <c r="X15" s="2" t="str">
        <f t="shared" si="2"/>
        <v>0.00161476126850919-0.000584282627880602i</v>
      </c>
      <c r="Y15" s="2" t="str">
        <f t="shared" si="3"/>
        <v>0.000838322481560023-0.000145348564705077i</v>
      </c>
      <c r="Z15" s="2" t="str">
        <f t="shared" si="3"/>
        <v>0.000417221950185145-0.0000361402015212728i</v>
      </c>
      <c r="AA15" s="44" t="str">
        <f>IMPRODUCT(COMPLEX(0,$D15),U15,E$2,BASE!E$15^2/10000,1/(2*BASE!$U$3))</f>
        <v>-0.0481966740317119+0.0174394072408934i</v>
      </c>
      <c r="AB15" s="44" t="str">
        <f>IMPRODUCT(COMPLEX(0,$D15),V15,F$2,BASE!F$15^2/10000,1/(2*BASE!$U$3))</f>
        <v>-0.0250218754717266+0.00433829912240547i</v>
      </c>
      <c r="AC15" s="44" t="str">
        <f>IMPRODUCT(COMPLEX(0,$D15),W15,G$2,BASE!G$15^2/10000,1/(2*BASE!$U$3))</f>
        <v>-0.0124530546552641+0.00107869661362964i</v>
      </c>
      <c r="AD15" s="44">
        <f t="shared" si="6"/>
        <v>2.7944105518880247</v>
      </c>
      <c r="AE15" s="44">
        <f t="shared" si="7"/>
        <v>2.9699190335834942</v>
      </c>
      <c r="AF15" s="44">
        <f t="shared" si="8"/>
        <v>3.0551872831578706</v>
      </c>
      <c r="AG15" s="31">
        <f t="shared" si="9"/>
        <v>68.174087296733958</v>
      </c>
      <c r="AH15" s="31">
        <f t="shared" si="10"/>
        <v>62.074425484783745</v>
      </c>
      <c r="AI15" s="31">
        <f t="shared" si="11"/>
        <v>55.917382336176551</v>
      </c>
      <c r="AJ15" s="2" t="str">
        <f>IMSUM(R15,IMDIV(BASE!K$21^2,FRES!O15))</f>
        <v>7.41282902679757+1.59459207668839i</v>
      </c>
      <c r="AK15" s="2" t="str">
        <f>IMSUM(S15,IMDIV(BASE!L$21^2,FRES!P15))</f>
        <v>7.24829924008254+0.781270068669066i</v>
      </c>
      <c r="AL15" s="2" t="str">
        <f>IMSUM(T15,IMDIV(BASE!M$21^2,FRES!Q15))</f>
        <v>7.21148455504091+0.397514999960404i</v>
      </c>
      <c r="AM15" s="31">
        <f t="shared" si="24"/>
        <v>0.19224887767853729</v>
      </c>
      <c r="AN15" s="31">
        <f t="shared" si="4"/>
        <v>9.5253451780989387E-2</v>
      </c>
      <c r="AO15" s="31">
        <f t="shared" si="4"/>
        <v>4.6884421869500356E-2</v>
      </c>
      <c r="AP15" s="31">
        <f t="shared" si="12"/>
        <v>2.4285140079976775</v>
      </c>
      <c r="AQ15" s="31">
        <f t="shared" si="13"/>
        <v>1.2032545768462974</v>
      </c>
      <c r="AR15" s="31">
        <f t="shared" si="14"/>
        <v>0.5922504029247998</v>
      </c>
      <c r="AS15" s="2">
        <f t="shared" si="15"/>
        <v>118.8948850472226</v>
      </c>
      <c r="AT15" s="2">
        <f t="shared" si="16"/>
        <v>119.45354589555036</v>
      </c>
      <c r="AU15" s="2">
        <f t="shared" si="17"/>
        <v>119.72496316372147</v>
      </c>
      <c r="AV15" s="2">
        <f t="shared" si="18"/>
        <v>118.8948850472226</v>
      </c>
      <c r="AW15" s="2">
        <f t="shared" si="19"/>
        <v>119.45354589555036</v>
      </c>
      <c r="AX15" s="2">
        <f t="shared" si="20"/>
        <v>119.72496316372147</v>
      </c>
      <c r="AY15">
        <f t="shared" si="21"/>
        <v>7.5823979103954979</v>
      </c>
      <c r="AZ15">
        <f t="shared" si="22"/>
        <v>7.2902829021910591</v>
      </c>
      <c r="BA15">
        <f t="shared" si="23"/>
        <v>7.2224322539423733</v>
      </c>
    </row>
    <row r="16" spans="1:53" x14ac:dyDescent="0.2">
      <c r="A16" s="2">
        <v>12</v>
      </c>
      <c r="B16" s="42">
        <f t="shared" si="0"/>
        <v>71.271897451227133</v>
      </c>
      <c r="C16" s="43">
        <v>18.877486253633869</v>
      </c>
      <c r="D16" s="2">
        <f t="shared" si="1"/>
        <v>118.61074426531694</v>
      </c>
      <c r="E16" s="2"/>
      <c r="F16" s="2">
        <f>$D16*BASE!E$15/100/E$3</f>
        <v>2.1722316536962116E-2</v>
      </c>
      <c r="G16" s="2">
        <f>$D16*BASE!F$15/100/F$3</f>
        <v>2.1722316536962116E-2</v>
      </c>
      <c r="H16" s="2">
        <f>$D16*BASE!G$15/100/G$3</f>
        <v>2.1722316536962116E-2</v>
      </c>
      <c r="I16" s="2">
        <f>(1-BESSELJ(2*F16,1)/F16)*BASE!K$13*E$2*E$3</f>
        <v>1.2142790677005554E-3</v>
      </c>
      <c r="J16" s="2">
        <f>(1-BESSELJ(2*G16,1)/G16)*BASE!L$13*F$2*F$3</f>
        <v>1.2142790677005554E-3</v>
      </c>
      <c r="K16" s="2">
        <f>(1-BESSELJ(2*H16,1)/H16)*BASE!M$13*G$2*G$3</f>
        <v>1.2142790677005554E-3</v>
      </c>
      <c r="L16" s="2" t="str">
        <f>IMPRODUCT(COMPLEX(1-BESSELJ(2*F16,1)/F16,(STRUVE(2*F16)/(2*F16^2))),PI()*(BASE!E$15/100)^2*E$2*E$3)</f>
        <v>0.00121427906770056+0.0948944931231903i</v>
      </c>
      <c r="M16" s="2" t="str">
        <f>IMPRODUCT(COMPLEX(1-BESSELJ(2*G16,1)/G16,(STRUVE(2*G16)/(2*G16^2))),PI()*(BASE!F$15/100)^2*F$2*F$3)</f>
        <v>0.00121427906770056+0.0948944931231903i</v>
      </c>
      <c r="N16" s="2" t="str">
        <f>IMPRODUCT(COMPLEX(1-BESSELJ(2*H16,1)/H16,(STRUVE(2*H16)/(2*H16^2))),PI()*(BASE!G$15/100)^2*G$2*G$3)</f>
        <v>0.00121427906770056+0.0948944931231903i</v>
      </c>
      <c r="O16" s="2" t="str">
        <f>IMSUM(IMPRODUCT(IF($O$3=1,L16,COMPLEX(I16,$D16*BASE!K$15)),2),COMPLEX(BASE!E$36,$D16*BASE!K$14-BASE!K$10/$D16))</f>
        <v>0.802428558135401-5.48466462581252i</v>
      </c>
      <c r="P16" s="2" t="str">
        <f>IMSUM(IMPRODUCT(IF($O$3=1,M16,COMPLEX(J16,$D16*BASE!L$15)),2),COMPLEX(BASE!F$36,$D16*BASE!L$14-BASE!L$10/$D16))</f>
        <v>0.802428558135401-11.6814051028463i</v>
      </c>
      <c r="Q16" s="2" t="str">
        <f>IMSUM(IMPRODUCT(IF($O$3=1,N16,COMPLEX(K16,$D16*BASE!M$15)),2),COMPLEX(BASE!G$36,$D16*BASE!M$14-BASE!M$10/$D16))</f>
        <v>0.802428558135401-24.074886056914i</v>
      </c>
      <c r="R16" s="2" t="str">
        <f>COMPLEX(BASE!E$19,FRES!$D16*BASE!K$36)</f>
        <v>7.2+0.0330216629235535i</v>
      </c>
      <c r="S16" s="2" t="str">
        <f>COMPLEX(BASE!F$19,FRES!$D16*BASE!L$36)</f>
        <v>7.2+0.0330216629235535i</v>
      </c>
      <c r="T16" s="2" t="str">
        <f>COMPLEX(BASE!G$19,FRES!$D16*BASE!M$36)</f>
        <v>7.2+0.0330216629235535i</v>
      </c>
      <c r="U16" s="2" t="str">
        <f>IMDIV(BASE!K$21*BASE!E$38,IMPRODUCT(FRES!R16,IMSUM(FRES!O16,IMDIV(BASE!K$21^2,FRES!R16))))</f>
        <v>0.0741886792855171+0.190830128343737i</v>
      </c>
      <c r="V16" s="2" t="str">
        <f>IMDIV(BASE!L$21*BASE!F$38,IMPRODUCT(FRES!S16,IMSUM(FRES!P16,IMDIV(BASE!L$21^2,FRES!S16))))</f>
        <v>0.0184340535943416+0.099695516275509i</v>
      </c>
      <c r="W16" s="2" t="str">
        <f>IMDIV(BASE!M$21*BASE!G$38,IMPRODUCT(FRES!T16,IMSUM(FRES!Q16,IMDIV(BASE!M$21^2,FRES!T16))))</f>
        <v>0.00456626170518635+0.049598733695554i</v>
      </c>
      <c r="X16" s="2" t="str">
        <f t="shared" si="2"/>
        <v>0.00160887725244245-0.000625480261042512i</v>
      </c>
      <c r="Y16" s="2" t="str">
        <f t="shared" si="3"/>
        <v>0.000840526858616644-0.000155416389202541i</v>
      </c>
      <c r="Z16" s="2" t="str">
        <f t="shared" si="3"/>
        <v>0.000418163919320901-0.0000384978758330039i</v>
      </c>
      <c r="AA16" s="44" t="str">
        <f>IMPRODUCT(COMPLEX(0,$D16),U16,E$2,BASE!E$15^2/10000,1/(2*BASE!$U$3))</f>
        <v>-0.0539018067565815+0.0209553066336089i</v>
      </c>
      <c r="AB16" s="44" t="str">
        <f>IMPRODUCT(COMPLEX(0,$D16),V16,F$2,BASE!F$15^2/10000,1/(2*BASE!$U$3))</f>
        <v>-0.02815995828028+0.00520687589117412i</v>
      </c>
      <c r="AC16" s="44" t="str">
        <f>IMPRODUCT(COMPLEX(0,$D16),W16,G$2,BASE!G$15^2/10000,1/(2*BASE!$U$3))</f>
        <v>-0.0140096397892332+0.00128978457526154i</v>
      </c>
      <c r="AD16" s="44">
        <f t="shared" si="6"/>
        <v>2.7708062316659778</v>
      </c>
      <c r="AE16" s="44">
        <f t="shared" si="7"/>
        <v>2.9587541596547471</v>
      </c>
      <c r="AF16" s="44">
        <f t="shared" si="8"/>
        <v>3.0497873658356678</v>
      </c>
      <c r="AG16" s="31">
        <f t="shared" si="9"/>
        <v>69.222750588005837</v>
      </c>
      <c r="AH16" s="31">
        <f t="shared" si="10"/>
        <v>63.118040704832048</v>
      </c>
      <c r="AI16" s="31">
        <f t="shared" si="11"/>
        <v>56.944594254070381</v>
      </c>
      <c r="AJ16" s="2" t="str">
        <f>IMSUM(R16,IMDIV(BASE!K$21^2,FRES!O16))</f>
        <v>7.44505764134665+1.70801062381272i</v>
      </c>
      <c r="AK16" s="2" t="str">
        <f>IMSUM(S16,IMDIV(BASE!L$21^2,FRES!P16))</f>
        <v>7.25492014432343+0.832525179647195i</v>
      </c>
      <c r="AL16" s="2" t="str">
        <f>IMSUM(T16,IMDIV(BASE!M$21^2,FRES!Q16))</f>
        <v>7.21297644247426+0.422347754105822i</v>
      </c>
      <c r="AM16" s="31">
        <f t="shared" si="24"/>
        <v>0.20474398164003854</v>
      </c>
      <c r="AN16" s="31">
        <f t="shared" si="4"/>
        <v>0.10138545407187038</v>
      </c>
      <c r="AO16" s="31">
        <f t="shared" si="4"/>
        <v>4.9808484519835931E-2</v>
      </c>
      <c r="AP16" s="31">
        <f t="shared" si="12"/>
        <v>2.441192974912298</v>
      </c>
      <c r="AQ16" s="31">
        <f t="shared" si="13"/>
        <v>1.2088338629346216</v>
      </c>
      <c r="AR16" s="31">
        <f t="shared" si="14"/>
        <v>0.59387397630384586</v>
      </c>
      <c r="AS16" s="2">
        <f t="shared" si="15"/>
        <v>118.81975016238935</v>
      </c>
      <c r="AT16" s="2">
        <f t="shared" si="16"/>
        <v>119.4180069980552</v>
      </c>
      <c r="AU16" s="2">
        <f t="shared" si="17"/>
        <v>119.70777469303914</v>
      </c>
      <c r="AV16" s="2">
        <f t="shared" si="18"/>
        <v>118.81975016238935</v>
      </c>
      <c r="AW16" s="2">
        <f t="shared" si="19"/>
        <v>119.4180069980552</v>
      </c>
      <c r="AX16" s="2">
        <f t="shared" si="20"/>
        <v>119.70777469303914</v>
      </c>
      <c r="AY16">
        <f t="shared" si="21"/>
        <v>7.6384673576596027</v>
      </c>
      <c r="AZ16">
        <f t="shared" si="22"/>
        <v>7.3025313744794333</v>
      </c>
      <c r="BA16">
        <f t="shared" si="23"/>
        <v>7.2253309118051385</v>
      </c>
    </row>
    <row r="17" spans="1:53" x14ac:dyDescent="0.2">
      <c r="A17" s="2">
        <v>13</v>
      </c>
      <c r="B17" s="42">
        <f t="shared" si="0"/>
        <v>80</v>
      </c>
      <c r="C17" s="43">
        <v>20</v>
      </c>
      <c r="D17" s="2">
        <f t="shared" si="1"/>
        <v>125.66370614359172</v>
      </c>
      <c r="E17" s="2"/>
      <c r="F17" s="2">
        <f>$D17*BASE!E$15/100/E$3</f>
        <v>2.3013992694901973E-2</v>
      </c>
      <c r="G17" s="2">
        <f>$D17*BASE!F$15/100/F$3</f>
        <v>2.3013992694901973E-2</v>
      </c>
      <c r="H17" s="2">
        <f>$D17*BASE!G$15/100/G$3</f>
        <v>2.3013992694901973E-2</v>
      </c>
      <c r="I17" s="2">
        <f>(1-BESSELJ(2*F17,1)/F17)*BASE!K$13*E$2*E$3</f>
        <v>1.3629691388073331E-3</v>
      </c>
      <c r="J17" s="2">
        <f>(1-BESSELJ(2*G17,1)/G17)*BASE!L$13*F$2*F$3</f>
        <v>1.3629691388073331E-3</v>
      </c>
      <c r="K17" s="2">
        <f>(1-BESSELJ(2*H17,1)/H17)*BASE!M$13*G$2*G$3</f>
        <v>1.3629691388073331E-3</v>
      </c>
      <c r="L17" s="2" t="str">
        <f>IMPRODUCT(COMPLEX(1-BESSELJ(2*F17,1)/F17,(STRUVE(2*F17)/(2*F17^2))),PI()*(BASE!E$15/100)^2*E$2*E$3)</f>
        <v>0.00136296913880733+0.10053566409762i</v>
      </c>
      <c r="M17" s="2" t="str">
        <f>IMPRODUCT(COMPLEX(1-BESSELJ(2*G17,1)/G17,(STRUVE(2*G17)/(2*G17^2))),PI()*(BASE!F$15/100)^2*F$2*F$3)</f>
        <v>0.00136296913880733+0.10053566409762i</v>
      </c>
      <c r="N17" s="2" t="str">
        <f>IMPRODUCT(COMPLEX(1-BESSELJ(2*H17,1)/H17,(STRUVE(2*H17)/(2*H17^2))),PI()*(BASE!G$15/100)^2*G$2*G$3)</f>
        <v>0.00136296913880733+0.10053566409762i</v>
      </c>
      <c r="O17" s="2" t="str">
        <f>IMSUM(IMPRODUCT(IF($O$3=1,L17,COMPLEX(I17,$D17*BASE!K$15)),2),COMPLEX(BASE!E$36,$D17*BASE!K$14-BASE!K$10/$D17))</f>
        <v>0.802725938277615-5.09500867279219i</v>
      </c>
      <c r="P17" s="2" t="str">
        <f>IMSUM(IMPRODUCT(IF($O$3=1,M17,COMPLEX(J17,$D17*BASE!L$15)),2),COMPLEX(BASE!F$36,$D17*BASE!L$14-BASE!L$10/$D17))</f>
        <v>0.802725938277615-10.9439528314193i</v>
      </c>
      <c r="Q17" s="2" t="str">
        <f>IMSUM(IMPRODUCT(IF($O$3=1,N17,COMPLEX(K17,$D17*BASE!M$15)),2),COMPLEX(BASE!G$36,$D17*BASE!M$14-BASE!M$10/$D17))</f>
        <v>0.802725938277615-22.6418411486736i</v>
      </c>
      <c r="R17" s="2" t="str">
        <f>COMPLEX(BASE!E$19,FRES!$D17*BASE!K$36)</f>
        <v>7.2+0.0349852331818776i</v>
      </c>
      <c r="S17" s="2" t="str">
        <f>COMPLEX(BASE!F$19,FRES!$D17*BASE!L$36)</f>
        <v>7.2+0.0349852331818776i</v>
      </c>
      <c r="T17" s="2" t="str">
        <f>COMPLEX(BASE!G$19,FRES!$D17*BASE!M$36)</f>
        <v>7.2+0.0349852331818776i</v>
      </c>
      <c r="U17" s="2" t="str">
        <f>IMDIV(BASE!K$21*BASE!E$38,IMPRODUCT(FRES!R17,IMSUM(FRES!O17,IMDIV(BASE!K$21^2,FRES!R17))))</f>
        <v>0.084225071139066+0.201244895230694i</v>
      </c>
      <c r="V17" s="2" t="str">
        <f>IMDIV(BASE!L$21*BASE!F$38,IMPRODUCT(FRES!S17,IMSUM(FRES!P17,IMDIV(BASE!L$21^2,FRES!S17))))</f>
        <v>0.0209065805843597+0.105930032221202i</v>
      </c>
      <c r="W17" s="2" t="str">
        <f>IMDIV(BASE!M$21*BASE!G$38,IMPRODUCT(FRES!T17,IMSUM(FRES!Q17,IMDIV(BASE!M$21^2,FRES!T17))))</f>
        <v>0.00515687771498602+0.0526811604984505i</v>
      </c>
      <c r="X17" s="2" t="str">
        <f t="shared" si="2"/>
        <v>0.00160145599239877-0.000670241820202443i</v>
      </c>
      <c r="Y17" s="2" t="str">
        <f t="shared" si="3"/>
        <v>0.0008429644124944-0.000166369282157494i</v>
      </c>
      <c r="Z17" s="2" t="str">
        <f t="shared" si="3"/>
        <v>0.000419223355057294-0.0000410371289630231i</v>
      </c>
      <c r="AA17" s="44" t="str">
        <f>IMPRODUCT(COMPLEX(0,$D17),U17,E$2,BASE!E$15^2/10000,1/(2*BASE!$U$3))</f>
        <v>-0.0602236517687876+0.025204819971537i</v>
      </c>
      <c r="AB17" s="44" t="str">
        <f>IMPRODUCT(COMPLEX(0,$D17),V17,F$2,BASE!F$15^2/10000,1/(2*BASE!$U$3))</f>
        <v>-0.0317001500337839+0.00625641026742695i</v>
      </c>
      <c r="AC17" s="44" t="str">
        <f>IMPRODUCT(COMPLEX(0,$D17),W17,G$2,BASE!G$15^2/10000,1/(2*BASE!$U$3))</f>
        <v>-0.0157651296496111+0.00154322427590288i</v>
      </c>
      <c r="AD17" s="44">
        <f t="shared" si="6"/>
        <v>2.7452231584927835</v>
      </c>
      <c r="AE17" s="44">
        <f t="shared" si="7"/>
        <v>2.9467347546103815</v>
      </c>
      <c r="AF17" s="44">
        <f t="shared" si="8"/>
        <v>3.0440150680761779</v>
      </c>
      <c r="AG17" s="31">
        <f t="shared" si="9"/>
        <v>70.275708970293493</v>
      </c>
      <c r="AH17" s="31">
        <f t="shared" si="10"/>
        <v>64.166580541443267</v>
      </c>
      <c r="AI17" s="31">
        <f t="shared" si="11"/>
        <v>57.974767657055253</v>
      </c>
      <c r="AJ17" s="2" t="str">
        <f>IMSUM(R17,IMDIV(BASE!K$21^2,FRES!O17))</f>
        <v>7.4831318707594+1.83206100745956i</v>
      </c>
      <c r="AK17" s="2" t="str">
        <f>IMSUM(S17,IMDIV(BASE!L$21^2,FRES!P17))</f>
        <v>7.26255305992396+0.88780149913897i</v>
      </c>
      <c r="AL17" s="2" t="str">
        <f>IMSUM(T17,IMDIV(BASE!M$21^2,FRES!Q17))</f>
        <v>7.21467432837538+0.448892142371391i</v>
      </c>
      <c r="AM17" s="31">
        <f t="shared" si="24"/>
        <v>0.21815904855126625</v>
      </c>
      <c r="AN17" s="31">
        <f t="shared" si="4"/>
        <v>0.10797340801380319</v>
      </c>
      <c r="AO17" s="31">
        <f t="shared" si="4"/>
        <v>5.29329581568121E-2</v>
      </c>
      <c r="AP17" s="31">
        <f t="shared" si="12"/>
        <v>2.4551518866001802</v>
      </c>
      <c r="AQ17" s="31">
        <f t="shared" si="13"/>
        <v>1.2151277618239402</v>
      </c>
      <c r="AR17" s="31">
        <f t="shared" si="14"/>
        <v>0.59570507363799041</v>
      </c>
      <c r="AS17" s="2">
        <f t="shared" si="15"/>
        <v>118.73831671128944</v>
      </c>
      <c r="AT17" s="2">
        <f t="shared" si="16"/>
        <v>119.37974804353851</v>
      </c>
      <c r="AU17" s="2">
        <f t="shared" si="17"/>
        <v>119.68940089861073</v>
      </c>
      <c r="AV17" s="2">
        <f t="shared" si="18"/>
        <v>118.73831671128944</v>
      </c>
      <c r="AW17" s="2">
        <f t="shared" si="19"/>
        <v>119.37974804353851</v>
      </c>
      <c r="AX17" s="2">
        <f t="shared" si="20"/>
        <v>119.68940089861073</v>
      </c>
      <c r="AY17">
        <f t="shared" si="21"/>
        <v>7.7041359106799785</v>
      </c>
      <c r="AZ17">
        <f t="shared" si="22"/>
        <v>7.3166159151676311</v>
      </c>
      <c r="BA17">
        <f t="shared" si="23"/>
        <v>7.2286257213941782</v>
      </c>
    </row>
    <row r="18" spans="1:53" x14ac:dyDescent="0.2">
      <c r="A18" s="2">
        <v>14</v>
      </c>
      <c r="B18" s="42">
        <f t="shared" si="0"/>
        <v>89.796963864749827</v>
      </c>
      <c r="C18" s="43">
        <v>20.586044732869841</v>
      </c>
      <c r="D18" s="2">
        <f t="shared" si="1"/>
        <v>129.34593379850949</v>
      </c>
      <c r="E18" s="2"/>
      <c r="F18" s="2">
        <f>$D18*BASE!E$15/100/E$3</f>
        <v>2.3688354154959585E-2</v>
      </c>
      <c r="G18" s="2">
        <f>$D18*BASE!F$15/100/F$3</f>
        <v>2.3688354154959585E-2</v>
      </c>
      <c r="H18" s="2">
        <f>$D18*BASE!G$15/100/G$3</f>
        <v>2.3688354154959585E-2</v>
      </c>
      <c r="I18" s="2">
        <f>(1-BESSELJ(2*F18,1)/F18)*BASE!K$13*E$2*E$3</f>
        <v>1.4440079681582051E-3</v>
      </c>
      <c r="J18" s="2">
        <f>(1-BESSELJ(2*G18,1)/G18)*BASE!L$13*F$2*F$3</f>
        <v>1.4440079681582051E-3</v>
      </c>
      <c r="K18" s="2">
        <f>(1-BESSELJ(2*H18,1)/H18)*BASE!M$13*G$2*G$3</f>
        <v>1.4440079681582051E-3</v>
      </c>
      <c r="L18" s="2" t="str">
        <f>IMPRODUCT(COMPLEX(1-BESSELJ(2*F18,1)/F18,(STRUVE(2*F18)/(2*F18^2))),PI()*(BASE!E$15/100)^2*E$2*E$3)</f>
        <v>0.00144400796815821+0.103480714816725i</v>
      </c>
      <c r="M18" s="2" t="str">
        <f>IMPRODUCT(COMPLEX(1-BESSELJ(2*G18,1)/G18,(STRUVE(2*G18)/(2*G18^2))),PI()*(BASE!F$15/100)^2*F$2*F$3)</f>
        <v>0.00144400796815821+0.103480714816725i</v>
      </c>
      <c r="N18" s="2" t="str">
        <f>IMPRODUCT(COMPLEX(1-BESSELJ(2*H18,1)/H18,(STRUVE(2*H18)/(2*H18^2))),PI()*(BASE!G$15/100)^2*G$2*G$3)</f>
        <v>0.00144400796815821+0.103480714816725i</v>
      </c>
      <c r="O18" s="2" t="str">
        <f>IMSUM(IMPRODUCT(IF($O$3=1,L18,COMPLEX(I18,$D18*BASE!K$15)),2),COMPLEX(BASE!E$36,$D18*BASE!K$14-BASE!K$10/$D18))</f>
        <v>0.802888015936316-4.90663625168147i</v>
      </c>
      <c r="P18" s="2" t="str">
        <f>IMSUM(IMPRODUCT(IF($O$3=1,M18,COMPLEX(J18,$D18*BASE!L$15)),2),COMPLEX(BASE!F$36,$D18*BASE!L$14-BASE!L$10/$D18))</f>
        <v>0.802888015936316-10.5890723238115i</v>
      </c>
      <c r="Q18" s="2" t="str">
        <f>IMSUM(IMPRODUCT(IF($O$3=1,N18,COMPLEX(K18,$D18*BASE!M$15)),2),COMPLEX(BASE!G$36,$D18*BASE!M$14-BASE!M$10/$D18))</f>
        <v>0.802888015936316-21.9539444680717i</v>
      </c>
      <c r="R18" s="2" t="str">
        <f>COMPLEX(BASE!E$19,FRES!$D18*BASE!K$36)</f>
        <v>7.2+0.0360103787636007i</v>
      </c>
      <c r="S18" s="2" t="str">
        <f>COMPLEX(BASE!F$19,FRES!$D18*BASE!L$36)</f>
        <v>7.2+0.0360103787636007i</v>
      </c>
      <c r="T18" s="2" t="str">
        <f>COMPLEX(BASE!G$19,FRES!$D18*BASE!M$36)</f>
        <v>7.2+0.0360103787636007i</v>
      </c>
      <c r="U18" s="2" t="str">
        <f>IMDIV(BASE!K$21*BASE!E$38,IMPRODUCT(FRES!R18,IMSUM(FRES!O18,IMDIV(BASE!K$21^2,FRES!R18))))</f>
        <v>0.0897755661156669+0.206570707730678i</v>
      </c>
      <c r="V18" s="2" t="str">
        <f>IMDIV(BASE!L$21*BASE!F$38,IMPRODUCT(FRES!S18,IMSUM(FRES!P18,IMDIV(BASE!L$21^2,FRES!S18))))</f>
        <v>0.0222749268019044+0.109203651446666i</v>
      </c>
      <c r="W18" s="2" t="str">
        <f>IMDIV(BASE!M$21*BASE!G$38,IMPRODUCT(FRES!T18,IMSUM(FRES!Q18,IMDIV(BASE!M$21^2,FRES!T18))))</f>
        <v>0.00548177959291506+0.0542996431155237i</v>
      </c>
      <c r="X18" s="2" t="str">
        <f t="shared" si="2"/>
        <v>0.00159704060007381-0.000694073354138186i</v>
      </c>
      <c r="Y18" s="2" t="str">
        <f t="shared" si="3"/>
        <v>0.000844275875086881-0.000172212037500951i</v>
      </c>
      <c r="Z18" s="2" t="str">
        <f t="shared" si="3"/>
        <v>0.000419801701691759-0.00004238076475952i</v>
      </c>
      <c r="AA18" s="44" t="str">
        <f>IMPRODUCT(COMPLEX(0,$D18),U18,E$2,BASE!E$15^2/10000,1/(2*BASE!$U$3))</f>
        <v>-0.0636288197002089+0.0276530654932234i</v>
      </c>
      <c r="AB18" s="44" t="str">
        <f>IMPRODUCT(COMPLEX(0,$D18),V18,F$2,BASE!F$15^2/10000,1/(2*BASE!$U$3))</f>
        <v>-0.0336373899515495+0.00686122111350659i</v>
      </c>
      <c r="AC18" s="44" t="str">
        <f>IMPRODUCT(COMPLEX(0,$D18),W18,G$2,BASE!G$15^2/10000,1/(2*BASE!$U$3))</f>
        <v>-0.0167256153572748+0.00168852190702969i</v>
      </c>
      <c r="AD18" s="44">
        <f t="shared" si="6"/>
        <v>2.7316191588268079</v>
      </c>
      <c r="AE18" s="44">
        <f t="shared" si="7"/>
        <v>2.9403769317830397</v>
      </c>
      <c r="AF18" s="44">
        <f t="shared" si="8"/>
        <v>3.0409792914468592</v>
      </c>
      <c r="AG18" s="31">
        <f t="shared" si="9"/>
        <v>70.803846293481456</v>
      </c>
      <c r="AH18" s="31">
        <f t="shared" si="10"/>
        <v>64.692881527661314</v>
      </c>
      <c r="AI18" s="31">
        <f t="shared" si="11"/>
        <v>58.491080403828093</v>
      </c>
      <c r="AJ18" s="2" t="str">
        <f>IMSUM(R18,IMDIV(BASE!K$21^2,FRES!O18))</f>
        <v>7.50476955508777+1.89852833608867i</v>
      </c>
      <c r="AK18" s="2" t="str">
        <f>IMSUM(S18,IMDIV(BASE!L$21^2,FRES!P18))</f>
        <v>7.26680507821361+0.917084439853925i</v>
      </c>
      <c r="AL18" s="2" t="str">
        <f>IMSUM(T18,IMDIV(BASE!M$21^2,FRES!Q18))</f>
        <v>7.21561023116051+0.462852156482621i</v>
      </c>
      <c r="AM18" s="31">
        <f t="shared" si="24"/>
        <v>0.22523567560167213</v>
      </c>
      <c r="AN18" s="31">
        <f t="shared" si="4"/>
        <v>0.11145227612442517</v>
      </c>
      <c r="AO18" s="31">
        <f t="shared" si="4"/>
        <v>5.4575646125158625E-2</v>
      </c>
      <c r="AP18" s="31">
        <f t="shared" si="12"/>
        <v>2.4626313159743374</v>
      </c>
      <c r="AQ18" s="31">
        <f t="shared" si="13"/>
        <v>1.2185719011317695</v>
      </c>
      <c r="AR18" s="31">
        <f t="shared" si="14"/>
        <v>0.5967069598469561</v>
      </c>
      <c r="AS18" s="2">
        <f t="shared" si="15"/>
        <v>118.69501383543623</v>
      </c>
      <c r="AT18" s="2">
        <f t="shared" si="16"/>
        <v>119.35951046493304</v>
      </c>
      <c r="AU18" s="2">
        <f t="shared" si="17"/>
        <v>119.67973772147714</v>
      </c>
      <c r="AV18" s="2">
        <f t="shared" si="18"/>
        <v>118.69501383543623</v>
      </c>
      <c r="AW18" s="2">
        <f t="shared" si="19"/>
        <v>119.35951046493304</v>
      </c>
      <c r="AX18" s="2">
        <f t="shared" si="20"/>
        <v>119.67973772147714</v>
      </c>
      <c r="AY18">
        <f t="shared" si="21"/>
        <v>7.7411869837838108</v>
      </c>
      <c r="AZ18">
        <f t="shared" si="22"/>
        <v>7.3244453656623936</v>
      </c>
      <c r="BA18">
        <f t="shared" si="23"/>
        <v>7.2304400368711201</v>
      </c>
    </row>
    <row r="19" spans="1:53" x14ac:dyDescent="0.2">
      <c r="A19" s="2">
        <v>15</v>
      </c>
      <c r="B19" s="42">
        <f t="shared" si="0"/>
        <v>100.79368399158987</v>
      </c>
      <c r="C19" s="43">
        <v>21.189261887185907</v>
      </c>
      <c r="D19" s="2">
        <f t="shared" si="1"/>
        <v>133.13605895954689</v>
      </c>
      <c r="E19" s="2"/>
      <c r="F19" s="2">
        <f>$D19*BASE!E$15/100/E$3</f>
        <v>2.4382475914103065E-2</v>
      </c>
      <c r="G19" s="2">
        <f>$D19*BASE!F$15/100/F$3</f>
        <v>2.4382475914103065E-2</v>
      </c>
      <c r="H19" s="2">
        <f>$D19*BASE!G$15/100/G$3</f>
        <v>2.4382475914103065E-2</v>
      </c>
      <c r="I19" s="2">
        <f>(1-BESSELJ(2*F19,1)/F19)*BASE!K$13*E$2*E$3</f>
        <v>1.5298646888876968E-3</v>
      </c>
      <c r="J19" s="2">
        <f>(1-BESSELJ(2*G19,1)/G19)*BASE!L$13*F$2*F$3</f>
        <v>1.5298646888876968E-3</v>
      </c>
      <c r="K19" s="2">
        <f>(1-BESSELJ(2*H19,1)/H19)*BASE!M$13*G$2*G$3</f>
        <v>1.5298646888876968E-3</v>
      </c>
      <c r="L19" s="2" t="str">
        <f>IMPRODUCT(COMPLEX(1-BESSELJ(2*F19,1)/F19,(STRUVE(2*F19)/(2*F19^2))),PI()*(BASE!E$15/100)^2*E$2*E$3)</f>
        <v>0.00152986468888769+0.106511983455557i</v>
      </c>
      <c r="M19" s="2" t="str">
        <f>IMPRODUCT(COMPLEX(1-BESSELJ(2*G19,1)/G19,(STRUVE(2*G19)/(2*G19^2))),PI()*(BASE!F$15/100)^2*F$2*F$3)</f>
        <v>0.00152986468888769+0.106511983455557i</v>
      </c>
      <c r="N19" s="2" t="str">
        <f>IMPRODUCT(COMPLEX(1-BESSELJ(2*H19,1)/H19,(STRUVE(2*H19)/(2*H19^2))),PI()*(BASE!G$15/100)^2*G$2*G$3)</f>
        <v>0.00152986468888769+0.106511983455557i</v>
      </c>
      <c r="O19" s="2" t="str">
        <f>IMSUM(IMPRODUCT(IF($O$3=1,L19,COMPLEX(I19,$D19*BASE!K$15)),2),COMPLEX(BASE!E$36,$D19*BASE!K$14-BASE!K$10/$D19))</f>
        <v>0.803059729377775-4.72235683759033i</v>
      </c>
      <c r="P19" s="2" t="str">
        <f>IMSUM(IMPRODUCT(IF($O$3=1,M19,COMPLEX(J19,$D19*BASE!L$15)),2),COMPLEX(BASE!F$36,$D19*BASE!L$14-BASE!L$10/$D19))</f>
        <v>0.803059729377775-10.2430249852282i</v>
      </c>
      <c r="Q19" s="2" t="str">
        <f>IMSUM(IMPRODUCT(IF($O$3=1,N19,COMPLEX(K19,$D19*BASE!M$15)),2),COMPLEX(BASE!G$36,$D19*BASE!M$14-BASE!M$10/$D19))</f>
        <v>0.803059729377775-21.2843612805038i</v>
      </c>
      <c r="R19" s="2" t="str">
        <f>COMPLEX(BASE!E$19,FRES!$D19*BASE!K$36)</f>
        <v>7.2+0.0370655634037535i</v>
      </c>
      <c r="S19" s="2" t="str">
        <f>COMPLEX(BASE!F$19,FRES!$D19*BASE!L$36)</f>
        <v>7.2+0.0370655634037535i</v>
      </c>
      <c r="T19" s="2" t="str">
        <f>COMPLEX(BASE!G$19,FRES!$D19*BASE!M$36)</f>
        <v>7.2+0.0370655634037535i</v>
      </c>
      <c r="U19" s="2" t="str">
        <f>IMDIV(BASE!K$21*BASE!E$38,IMPRODUCT(FRES!R19,IMSUM(FRES!O19,IMDIV(BASE!K$21^2,FRES!R19))))</f>
        <v>0.0957163546435245+0.211962325474409i</v>
      </c>
      <c r="V19" s="2" t="str">
        <f>IMDIV(BASE!L$21*BASE!F$38,IMPRODUCT(FRES!S19,IMSUM(FRES!P19,IMDIV(BASE!L$21^2,FRES!S19))))</f>
        <v>0.0237407803361249+0.112586735841334i</v>
      </c>
      <c r="W19" s="2" t="str">
        <f>IMDIV(BASE!M$21*BASE!G$38,IMPRODUCT(FRES!T19,IMSUM(FRES!Q19,IMDIV(BASE!M$21^2,FRES!T19))))</f>
        <v>0.00582833031090938+0.0559724150892918i</v>
      </c>
      <c r="X19" s="2" t="str">
        <f t="shared" si="2"/>
        <v>0.00159207300509634-0.000718936367739469i</v>
      </c>
      <c r="Y19" s="2" t="str">
        <f t="shared" si="3"/>
        <v>0.000845651709395598-0.000178319686805049i</v>
      </c>
      <c r="Z19" s="2" t="str">
        <f t="shared" si="3"/>
        <v>0.000420415141673218-0.0000437772483011556i</v>
      </c>
      <c r="AA19" s="44" t="str">
        <f>IMPRODUCT(COMPLEX(0,$D19),U19,E$2,BASE!E$15^2/10000,1/(2*BASE!$U$3))</f>
        <v>-0.0672026999746476+0.0303468904173367i</v>
      </c>
      <c r="AB19" s="44" t="str">
        <f>IMPRODUCT(COMPLEX(0,$D19),V19,F$2,BASE!F$15^2/10000,1/(2*BASE!$U$3))</f>
        <v>-0.0356956483324842+0.00752701941027363i</v>
      </c>
      <c r="AC19" s="44" t="str">
        <f>IMPRODUCT(COMPLEX(0,$D19),W19,G$2,BASE!G$15^2/10000,1/(2*BASE!$U$3))</f>
        <v>-0.0177460660033957+0.00184787335372236i</v>
      </c>
      <c r="AD19" s="44">
        <f t="shared" si="6"/>
        <v>2.717431815064951</v>
      </c>
      <c r="AE19" s="44">
        <f t="shared" si="7"/>
        <v>2.9337706228584102</v>
      </c>
      <c r="AF19" s="44">
        <f t="shared" si="8"/>
        <v>3.0378379520830503</v>
      </c>
      <c r="AG19" s="31">
        <f t="shared" si="9"/>
        <v>71.333102561616428</v>
      </c>
      <c r="AH19" s="31">
        <f t="shared" si="10"/>
        <v>65.220643306922199</v>
      </c>
      <c r="AI19" s="31">
        <f t="shared" si="11"/>
        <v>59.00827802516821</v>
      </c>
      <c r="AJ19" s="2" t="str">
        <f>IMSUM(R19,IMDIV(BASE!K$21^2,FRES!O19))</f>
        <v>7.52840454215583+1.96823379213179i</v>
      </c>
      <c r="AK19" s="2" t="str">
        <f>IMSUM(S19,IMDIV(BASE!L$21^2,FRES!P19))</f>
        <v>7.27138221893565+0.947545600331295i</v>
      </c>
      <c r="AL19" s="2" t="str">
        <f>IMSUM(T19,IMDIV(BASE!M$21^2,FRES!Q19))</f>
        <v>7.21660996630521+0.477297479865253i</v>
      </c>
      <c r="AM19" s="31">
        <f t="shared" si="24"/>
        <v>0.23257181249404291</v>
      </c>
      <c r="AN19" s="31">
        <f t="shared" si="4"/>
        <v>0.1150625818342977</v>
      </c>
      <c r="AO19" s="31">
        <f t="shared" si="4"/>
        <v>5.627504495903176E-2</v>
      </c>
      <c r="AP19" s="31">
        <f t="shared" si="12"/>
        <v>2.4704517620932869</v>
      </c>
      <c r="AQ19" s="31">
        <f t="shared" si="13"/>
        <v>1.2222313400546951</v>
      </c>
      <c r="AR19" s="31">
        <f t="shared" si="14"/>
        <v>0.59777142590949106</v>
      </c>
      <c r="AS19" s="2">
        <f t="shared" si="15"/>
        <v>118.64985411765537</v>
      </c>
      <c r="AT19" s="2">
        <f t="shared" si="16"/>
        <v>119.33848193051409</v>
      </c>
      <c r="AU19" s="2">
        <f t="shared" si="17"/>
        <v>119.66973852772355</v>
      </c>
      <c r="AV19" s="2">
        <f t="shared" si="18"/>
        <v>118.64985411765537</v>
      </c>
      <c r="AW19" s="2">
        <f t="shared" si="19"/>
        <v>119.33848193051409</v>
      </c>
      <c r="AX19" s="2">
        <f t="shared" si="20"/>
        <v>119.66973852772355</v>
      </c>
      <c r="AY19">
        <f t="shared" si="21"/>
        <v>7.7814406899263853</v>
      </c>
      <c r="AZ19">
        <f t="shared" si="22"/>
        <v>7.3328604267748556</v>
      </c>
      <c r="BA19">
        <f t="shared" si="23"/>
        <v>7.2323766695368823</v>
      </c>
    </row>
    <row r="20" spans="1:53" x14ac:dyDescent="0.2">
      <c r="A20" s="2">
        <v>16</v>
      </c>
      <c r="B20" s="42">
        <f t="shared" si="0"/>
        <v>113.13708498984761</v>
      </c>
      <c r="C20" s="43">
        <v>21.810154653305155</v>
      </c>
      <c r="D20" s="2">
        <f t="shared" si="1"/>
        <v>137.03724326496143</v>
      </c>
      <c r="E20" s="2"/>
      <c r="F20" s="2">
        <f>$D20*BASE!E$15/100/E$3</f>
        <v>2.5096936993292351E-2</v>
      </c>
      <c r="G20" s="2">
        <f>$D20*BASE!F$15/100/F$3</f>
        <v>2.5096936993292351E-2</v>
      </c>
      <c r="H20" s="2">
        <f>$D20*BASE!G$15/100/G$3</f>
        <v>2.5096936993292351E-2</v>
      </c>
      <c r="I20" s="2">
        <f>(1-BESSELJ(2*F20,1)/F20)*BASE!K$13*E$2*E$3</f>
        <v>1.6208256740659797E-3</v>
      </c>
      <c r="J20" s="2">
        <f>(1-BESSELJ(2*G20,1)/G20)*BASE!L$13*F$2*F$3</f>
        <v>1.6208256740659797E-3</v>
      </c>
      <c r="K20" s="2">
        <f>(1-BESSELJ(2*H20,1)/H20)*BASE!M$13*G$2*G$3</f>
        <v>1.6208256740659797E-3</v>
      </c>
      <c r="L20" s="2" t="str">
        <f>IMPRODUCT(COMPLEX(1-BESSELJ(2*F20,1)/F20,(STRUVE(2*F20)/(2*F20^2))),PI()*(BASE!E$15/100)^2*E$2*E$3)</f>
        <v>0.00162082567406598+0.109631989274356i</v>
      </c>
      <c r="M20" s="2" t="str">
        <f>IMPRODUCT(COMPLEX(1-BESSELJ(2*G20,1)/G20,(STRUVE(2*G20)/(2*G20^2))),PI()*(BASE!F$15/100)^2*F$2*F$3)</f>
        <v>0.00162082567406598+0.109631989274356i</v>
      </c>
      <c r="N20" s="2" t="str">
        <f>IMPRODUCT(COMPLEX(1-BESSELJ(2*H20,1)/H20,(STRUVE(2*H20)/(2*H20^2))),PI()*(BASE!G$15/100)^2*G$2*G$3)</f>
        <v>0.00162082567406598+0.109631989274356i</v>
      </c>
      <c r="O20" s="2" t="str">
        <f>IMSUM(IMPRODUCT(IF($O$3=1,L20,COMPLEX(I20,$D20*BASE!K$15)),2),COMPLEX(BASE!E$36,$D20*BASE!K$14-BASE!K$10/$D20))</f>
        <v>0.803241651348132-4.54201670872309i</v>
      </c>
      <c r="P20" s="2" t="str">
        <f>IMSUM(IMPRODUCT(IF($O$3=1,M20,COMPLEX(J20,$D20*BASE!L$15)),2),COMPLEX(BASE!F$36,$D20*BASE!L$14-BASE!L$10/$D20))</f>
        <v>0.803241651348132-9.90552215066249i</v>
      </c>
      <c r="Q20" s="2" t="str">
        <f>IMSUM(IMPRODUCT(IF($O$3=1,N20,COMPLEX(K20,$D20*BASE!M$15)),2),COMPLEX(BASE!G$36,$D20*BASE!M$14-BASE!M$10/$D20))</f>
        <v>0.803241651348132-20.6325330345414i</v>
      </c>
      <c r="R20" s="2" t="str">
        <f>COMPLEX(BASE!E$19,FRES!$D20*BASE!K$36)</f>
        <v>7.2+0.0381516673139347i</v>
      </c>
      <c r="S20" s="2" t="str">
        <f>COMPLEX(BASE!F$19,FRES!$D20*BASE!L$36)</f>
        <v>7.2+0.0381516673139347i</v>
      </c>
      <c r="T20" s="2" t="str">
        <f>COMPLEX(BASE!G$19,FRES!$D20*BASE!M$36)</f>
        <v>7.2+0.0381516673139347i</v>
      </c>
      <c r="U20" s="2" t="str">
        <f>IMDIV(BASE!K$21*BASE!E$38,IMPRODUCT(FRES!R20,IMSUM(FRES!O20,IMDIV(BASE!K$21^2,FRES!R20))))</f>
        <v>0.102076403355012+0.217406995671359i</v>
      </c>
      <c r="V20" s="2" t="str">
        <f>IMDIV(BASE!L$21*BASE!F$38,IMPRODUCT(FRES!S20,IMSUM(FRES!P20,IMDIV(BASE!L$21^2,FRES!S20))))</f>
        <v>0.0253120691266326+0.116083376257212i</v>
      </c>
      <c r="W20" s="2" t="str">
        <f>IMDIV(BASE!M$21*BASE!G$38,IMPRODUCT(FRES!T20,IMSUM(FRES!Q20,IMDIV(BASE!M$21^2,FRES!T20))))</f>
        <v>0.00619812062501554+0.0577017017763771i</v>
      </c>
      <c r="X20" s="2" t="str">
        <f t="shared" si="2"/>
        <v>0.00158648109442047-0.000744880741344509i</v>
      </c>
      <c r="Y20" s="2" t="str">
        <f t="shared" si="3"/>
        <v>0.000847093633026207-0.000184709415656383i</v>
      </c>
      <c r="Z20" s="2" t="str">
        <f t="shared" si="3"/>
        <v>0.000421065838757505-0.0000452294608191402i</v>
      </c>
      <c r="AA20" s="44" t="str">
        <f>IMPRODUCT(COMPLEX(0,$D20),U20,E$2,BASE!E$15^2/10000,1/(2*BASE!$U$3))</f>
        <v>-0.0709487057383971+0.0333116636017373i</v>
      </c>
      <c r="AB20" s="44" t="str">
        <f>IMPRODUCT(COMPLEX(0,$D20),V20,F$2,BASE!F$15^2/10000,1/(2*BASE!$U$3))</f>
        <v>-0.0378827060176222+0.00826035306982537i</v>
      </c>
      <c r="AC20" s="44" t="str">
        <f>IMPRODUCT(COMPLEX(0,$D20),W20,G$2,BASE!G$15^2/10000,1/(2*BASE!$U$3))</f>
        <v>-0.0188304016956536+0.00202269772873389i</v>
      </c>
      <c r="AD20" s="44">
        <f t="shared" si="6"/>
        <v>2.7026269862044181</v>
      </c>
      <c r="AE20" s="44">
        <f t="shared" si="7"/>
        <v>2.9269023536320233</v>
      </c>
      <c r="AF20" s="44">
        <f t="shared" si="8"/>
        <v>3.0345863526265133</v>
      </c>
      <c r="AG20" s="31">
        <f t="shared" si="9"/>
        <v>71.863477966497811</v>
      </c>
      <c r="AH20" s="31">
        <f t="shared" si="10"/>
        <v>65.749951556395999</v>
      </c>
      <c r="AI20" s="31">
        <f t="shared" si="11"/>
        <v>59.526415202148755</v>
      </c>
      <c r="AJ20" s="2" t="str">
        <f>IMSUM(R20,IMDIV(BASE!K$21^2,FRES!O20))</f>
        <v>7.554269933948+2.04140928809264i</v>
      </c>
      <c r="AK20" s="2" t="str">
        <f>IMSUM(S20,IMDIV(BASE!L$21^2,FRES!P20))</f>
        <v>7.27631413918281+0.979252511394049i</v>
      </c>
      <c r="AL20" s="2" t="str">
        <f>IMSUM(T20,IMDIV(BASE!M$21^2,FRES!Q20))</f>
        <v>7.21767841601286+0.492249760672835i</v>
      </c>
      <c r="AM20" s="31">
        <f t="shared" si="24"/>
        <v>0.24017783804660539</v>
      </c>
      <c r="AN20" s="31">
        <f t="shared" si="4"/>
        <v>0.11881098891409364</v>
      </c>
      <c r="AO20" s="31">
        <f t="shared" si="4"/>
        <v>5.8033637549030168E-2</v>
      </c>
      <c r="AP20" s="31">
        <f t="shared" si="12"/>
        <v>2.47861638087846</v>
      </c>
      <c r="AQ20" s="31">
        <f t="shared" si="13"/>
        <v>1.2261200523159719</v>
      </c>
      <c r="AR20" s="31">
        <f t="shared" si="14"/>
        <v>0.59890257086533094</v>
      </c>
      <c r="AS20" s="2">
        <f t="shared" si="15"/>
        <v>118.6027288837597</v>
      </c>
      <c r="AT20" s="2">
        <f t="shared" si="16"/>
        <v>119.31661955055678</v>
      </c>
      <c r="AU20" s="2">
        <f t="shared" si="17"/>
        <v>119.6593883651943</v>
      </c>
      <c r="AV20" s="2">
        <f t="shared" si="18"/>
        <v>118.6027288837597</v>
      </c>
      <c r="AW20" s="2">
        <f t="shared" si="19"/>
        <v>119.31661955055678</v>
      </c>
      <c r="AX20" s="2">
        <f t="shared" si="20"/>
        <v>119.6593883651943</v>
      </c>
      <c r="AY20">
        <f t="shared" si="21"/>
        <v>7.8252377674075575</v>
      </c>
      <c r="AZ20">
        <f t="shared" si="22"/>
        <v>7.341912757118763</v>
      </c>
      <c r="BA20">
        <f t="shared" si="23"/>
        <v>7.2344447985909994</v>
      </c>
    </row>
    <row r="21" spans="1:53" x14ac:dyDescent="0.2">
      <c r="A21" s="2">
        <v>17</v>
      </c>
      <c r="B21" s="42">
        <f t="shared" si="0"/>
        <v>126.99208415745595</v>
      </c>
      <c r="C21" s="43">
        <v>22.44924096618746</v>
      </c>
      <c r="D21" s="2">
        <f t="shared" si="1"/>
        <v>141.05274099608312</v>
      </c>
      <c r="E21" s="2"/>
      <c r="F21" s="2">
        <f>$D21*BASE!E$15/100/E$3</f>
        <v>2.5832333380096613E-2</v>
      </c>
      <c r="G21" s="2">
        <f>$D21*BASE!F$15/100/F$3</f>
        <v>2.5832333380096613E-2</v>
      </c>
      <c r="H21" s="2">
        <f>$D21*BASE!G$15/100/G$3</f>
        <v>2.5832333380096613E-2</v>
      </c>
      <c r="I21" s="2">
        <f>(1-BESSELJ(2*F21,1)/F21)*BASE!K$13*E$2*E$3</f>
        <v>1.7171943114789011E-3</v>
      </c>
      <c r="J21" s="2">
        <f>(1-BESSELJ(2*G21,1)/G21)*BASE!L$13*F$2*F$3</f>
        <v>1.7171943114789011E-3</v>
      </c>
      <c r="K21" s="2">
        <f>(1-BESSELJ(2*H21,1)/H21)*BASE!M$13*G$2*G$3</f>
        <v>1.7171943114789011E-3</v>
      </c>
      <c r="L21" s="2" t="str">
        <f>IMPRODUCT(COMPLEX(1-BESSELJ(2*F21,1)/F21,(STRUVE(2*F21)/(2*F21^2))),PI()*(BASE!E$15/100)^2*E$2*E$3)</f>
        <v>0.0017171943114789+0.11284332470929i</v>
      </c>
      <c r="M21" s="2" t="str">
        <f>IMPRODUCT(COMPLEX(1-BESSELJ(2*G21,1)/G21,(STRUVE(2*G21)/(2*G21^2))),PI()*(BASE!F$15/100)^2*F$2*F$3)</f>
        <v>0.0017171943114789+0.11284332470929i</v>
      </c>
      <c r="N21" s="2" t="str">
        <f>IMPRODUCT(COMPLEX(1-BESSELJ(2*H21,1)/H21,(STRUVE(2*H21)/(2*H21^2))),PI()*(BASE!G$15/100)^2*G$2*G$3)</f>
        <v>0.0017171943114789+0.11284332470929i</v>
      </c>
      <c r="O21" s="2" t="str">
        <f>IMSUM(IMPRODUCT(IF($O$3=1,L21,COMPLEX(I21,$D21*BASE!K$15)),2),COMPLEX(BASE!E$36,$D21*BASE!K$14-BASE!K$10/$D21))</f>
        <v>0.803434388622958-4.36546542934832i</v>
      </c>
      <c r="P21" s="2" t="str">
        <f>IMSUM(IMPRODUCT(IF($O$3=1,M21,COMPLEX(J21,$D21*BASE!L$15)),2),COMPLEX(BASE!F$36,$D21*BASE!L$14-BASE!L$10/$D21))</f>
        <v>0.803434388622958-9.57628228274367i</v>
      </c>
      <c r="Q21" s="2" t="str">
        <f>IMSUM(IMPRODUCT(IF($O$3=1,N21,COMPLEX(K21,$D21*BASE!M$15)),2),COMPLEX(BASE!G$36,$D21*BASE!M$14-BASE!M$10/$D21))</f>
        <v>0.803434388622958-19.9979159895344i</v>
      </c>
      <c r="R21" s="2" t="str">
        <f>COMPLEX(BASE!E$19,FRES!$D21*BASE!K$36)</f>
        <v>7.2+0.0392695964979114i</v>
      </c>
      <c r="S21" s="2" t="str">
        <f>COMPLEX(BASE!F$19,FRES!$D21*BASE!L$36)</f>
        <v>7.2+0.0392695964979114i</v>
      </c>
      <c r="T21" s="2" t="str">
        <f>COMPLEX(BASE!G$19,FRES!$D21*BASE!M$36)</f>
        <v>7.2+0.0392695964979114i</v>
      </c>
      <c r="U21" s="2" t="str">
        <f>IMDIV(BASE!K$21*BASE!E$38,IMPRODUCT(FRES!R21,IMSUM(FRES!O21,IMDIV(BASE!K$21^2,FRES!R21))))</f>
        <v>0.108886676303641+0.222889169364356i</v>
      </c>
      <c r="V21" s="2" t="str">
        <f>IMDIV(BASE!L$21*BASE!F$38,IMPRODUCT(FRES!S21,IMSUM(FRES!P21,IMDIV(BASE!L$21^2,FRES!S21))))</f>
        <v>0.0269974819307324+0.1196977953213i</v>
      </c>
      <c r="W21" s="2" t="str">
        <f>IMDIV(BASE!M$21*BASE!G$38,IMPRODUCT(FRES!T21,IMSUM(FRES!Q21,IMDIV(BASE!M$21^2,FRES!T21))))</f>
        <v>0.00659287664059551+0.0594898529296918i</v>
      </c>
      <c r="X21" s="2" t="str">
        <f t="shared" si="2"/>
        <v>0.00158018318389535-0.000771957180943153i</v>
      </c>
      <c r="Y21" s="2" t="str">
        <f t="shared" ref="Y21:Z84" si="25">IMDIV(V21,COMPLEX(0,$D21))</f>
        <v>0.000848603114523127-0.000191399909991697i</v>
      </c>
      <c r="Z21" s="2" t="str">
        <f t="shared" si="25"/>
        <v>0.000421756092859931-0.0000467405070900295i</v>
      </c>
      <c r="AA21" s="44" t="str">
        <f>IMPRODUCT(COMPLEX(0,$D21),U21,E$2,BASE!E$15^2/10000,1/(2*BASE!$U$3))</f>
        <v>-0.0748691400792826+0.0365753609481955i</v>
      </c>
      <c r="AB21" s="44" t="str">
        <f>IMPRODUCT(COMPLEX(0,$D21),V21,F$2,BASE!F$15^2/10000,1/(2*BASE!$U$3))</f>
        <v>-0.0402068482315626+0.00906853510300328i</v>
      </c>
      <c r="AC21" s="44" t="str">
        <f>IMPRODUCT(COMPLEX(0,$D21),W21,G$2,BASE!G$15^2/10000,1/(2*BASE!$U$3))</f>
        <v>-0.0199828199144489+0.00221456702511769i</v>
      </c>
      <c r="AD21" s="44">
        <f t="shared" si="6"/>
        <v>2.6871680378570013</v>
      </c>
      <c r="AE21" s="44">
        <f t="shared" si="7"/>
        <v>2.9197576036470494</v>
      </c>
      <c r="AF21" s="44">
        <f t="shared" si="8"/>
        <v>3.0312194964731622</v>
      </c>
      <c r="AG21" s="31">
        <f t="shared" si="9"/>
        <v>72.39496254091344</v>
      </c>
      <c r="AH21" s="31">
        <f t="shared" si="10"/>
        <v>66.280896679723497</v>
      </c>
      <c r="AI21" s="31">
        <f t="shared" si="11"/>
        <v>60.045550117119426</v>
      </c>
      <c r="AJ21" s="2" t="str">
        <f>IMSUM(R21,IMDIV(BASE!K$21^2,FRES!O21))</f>
        <v>7.58263308807565+2.11830870880421i</v>
      </c>
      <c r="AK21" s="2" t="str">
        <f>IMSUM(S21,IMDIV(BASE!L$21^2,FRES!P21))</f>
        <v>7.2816338399909+1.01227835321425i</v>
      </c>
      <c r="AL21" s="2" t="str">
        <f>IMSUM(T21,IMDIV(BASE!M$21^2,FRES!Q21))</f>
        <v>7.2188209029966+0.507732040106109i</v>
      </c>
      <c r="AM21" s="31">
        <f t="shared" si="24"/>
        <v>0.2480642862170741</v>
      </c>
      <c r="AN21" s="31">
        <f t="shared" si="24"/>
        <v>0.12270463004866625</v>
      </c>
      <c r="AO21" s="31">
        <f t="shared" si="24"/>
        <v>5.9854061048474141E-2</v>
      </c>
      <c r="AP21" s="31">
        <f t="shared" si="12"/>
        <v>2.487125563326205</v>
      </c>
      <c r="AQ21" s="31">
        <f t="shared" si="13"/>
        <v>1.2302529589667166</v>
      </c>
      <c r="AR21" s="31">
        <f t="shared" si="14"/>
        <v>0.60010478562915626</v>
      </c>
      <c r="AS21" s="2">
        <f t="shared" si="15"/>
        <v>118.55352152286983</v>
      </c>
      <c r="AT21" s="2">
        <f t="shared" si="16"/>
        <v>119.2938771050115</v>
      </c>
      <c r="AU21" s="2">
        <f t="shared" si="17"/>
        <v>119.6486713292046</v>
      </c>
      <c r="AV21" s="2">
        <f t="shared" si="18"/>
        <v>118.55352152286983</v>
      </c>
      <c r="AW21" s="2">
        <f t="shared" si="19"/>
        <v>119.2938771050115</v>
      </c>
      <c r="AX21" s="2">
        <f t="shared" si="20"/>
        <v>119.6486713292046</v>
      </c>
      <c r="AY21">
        <f t="shared" si="21"/>
        <v>7.8729636309445388</v>
      </c>
      <c r="AZ21">
        <f t="shared" si="22"/>
        <v>7.3516595979470356</v>
      </c>
      <c r="BA21">
        <f t="shared" si="23"/>
        <v>7.2366544102983781</v>
      </c>
    </row>
    <row r="22" spans="1:53" x14ac:dyDescent="0.2">
      <c r="A22" s="2">
        <v>18</v>
      </c>
      <c r="B22" s="42">
        <f t="shared" si="0"/>
        <v>142.54379490245429</v>
      </c>
      <c r="C22" s="43">
        <v>23.107053937445457</v>
      </c>
      <c r="D22" s="2">
        <f t="shared" si="1"/>
        <v>145.18590179196349</v>
      </c>
      <c r="E22" s="2"/>
      <c r="F22" s="2">
        <f>$D22*BASE!E$15/100/E$3</f>
        <v>2.6589278525853782E-2</v>
      </c>
      <c r="G22" s="2">
        <f>$D22*BASE!F$15/100/F$3</f>
        <v>2.6589278525853782E-2</v>
      </c>
      <c r="H22" s="2">
        <f>$D22*BASE!G$15/100/G$3</f>
        <v>2.6589278525853782E-2</v>
      </c>
      <c r="I22" s="2">
        <f>(1-BESSELJ(2*F22,1)/F22)*BASE!K$13*E$2*E$3</f>
        <v>1.8192920136651722E-3</v>
      </c>
      <c r="J22" s="2">
        <f>(1-BESSELJ(2*G22,1)/G22)*BASE!L$13*F$2*F$3</f>
        <v>1.8192920136651722E-3</v>
      </c>
      <c r="K22" s="2">
        <f>(1-BESSELJ(2*H22,1)/H22)*BASE!M$13*G$2*G$3</f>
        <v>1.8192920136651722E-3</v>
      </c>
      <c r="L22" s="2" t="str">
        <f>IMPRODUCT(COMPLEX(1-BESSELJ(2*F22,1)/F22,(STRUVE(2*F22)/(2*F22^2))),PI()*(BASE!E$15/100)^2*E$2*E$3)</f>
        <v>0.00181929201366517+0.116148657458407i</v>
      </c>
      <c r="M22" s="2" t="str">
        <f>IMPRODUCT(COMPLEX(1-BESSELJ(2*G22,1)/G22,(STRUVE(2*G22)/(2*G22^2))),PI()*(BASE!F$15/100)^2*F$2*F$3)</f>
        <v>0.00181929201366517+0.116148657458407i</v>
      </c>
      <c r="N22" s="2" t="str">
        <f>IMPRODUCT(COMPLEX(1-BESSELJ(2*H22,1)/H22,(STRUVE(2*H22)/(2*H22^2))),PI()*(BASE!G$15/100)^2*G$2*G$3)</f>
        <v>0.00181929201366517+0.116148657458407i</v>
      </c>
      <c r="O22" s="2" t="str">
        <f>IMSUM(IMPRODUCT(IF($O$3=1,L22,COMPLEX(I22,$D22*BASE!K$15)),2),COMPLEX(BASE!E$36,$D22*BASE!K$14-BASE!K$10/$D22))</f>
        <v>0.80363858402733-4.1925557243087i</v>
      </c>
      <c r="P22" s="2" t="str">
        <f>IMSUM(IMPRODUCT(IF($O$3=1,M22,COMPLEX(J22,$D22*BASE!L$15)),2),COMPLEX(BASE!F$36,$D22*BASE!L$14-BASE!L$10/$D22))</f>
        <v>0.80363858402733-9.25503073688381i</v>
      </c>
      <c r="Q22" s="2" t="str">
        <f>IMSUM(IMPRODUCT(IF($O$3=1,N22,COMPLEX(K22,$D22*BASE!M$15)),2),COMPLEX(BASE!G$36,$D22*BASE!M$14-BASE!M$10/$D22))</f>
        <v>0.80363858402733-19.379980762034i</v>
      </c>
      <c r="R22" s="2" t="str">
        <f>COMPLEX(BASE!E$19,FRES!$D22*BASE!K$36)</f>
        <v>7.2+0.0404202835073876i</v>
      </c>
      <c r="S22" s="2" t="str">
        <f>COMPLEX(BASE!F$19,FRES!$D22*BASE!L$36)</f>
        <v>7.2+0.0404202835073876i</v>
      </c>
      <c r="T22" s="2" t="str">
        <f>COMPLEX(BASE!G$19,FRES!$D22*BASE!M$36)</f>
        <v>7.2+0.0404202835073876i</v>
      </c>
      <c r="U22" s="2" t="str">
        <f>IMDIV(BASE!K$21*BASE!E$38,IMPRODUCT(FRES!R22,IMSUM(FRES!O22,IMDIV(BASE!K$21^2,FRES!R22))))</f>
        <v>0.116180172871469+0.228390025121287i</v>
      </c>
      <c r="V22" s="2" t="str">
        <f>IMDIV(BASE!L$21*BASE!F$38,IMPRODUCT(FRES!S22,IMSUM(FRES!P22,IMDIV(BASE!L$21^2,FRES!S22))))</f>
        <v>0.0288065541939974+0.123434338086428i</v>
      </c>
      <c r="W22" s="2" t="str">
        <f>IMDIV(BASE!M$21*BASE!G$38,IMPRODUCT(FRES!T22,IMSUM(FRES!Q22,IMDIV(BASE!M$21^2,FRES!T22))))</f>
        <v>0.00701447357269055+0.0613393518946696i</v>
      </c>
      <c r="X22" s="2" t="str">
        <f t="shared" si="2"/>
        <v>0.0015730867963237-0.000800216628732614i</v>
      </c>
      <c r="Y22" s="2" t="str">
        <f t="shared" si="25"/>
        <v>0.000850181295586793-0.000198411511300004i</v>
      </c>
      <c r="Z22" s="2" t="str">
        <f t="shared" si="25"/>
        <v>0.000422488348645331-0.0000483137376709041i</v>
      </c>
      <c r="AA22" s="44" t="str">
        <f>IMPRODUCT(COMPLEX(0,$D22),U22,E$2,BASE!E$15^2/10000,1/(2*BASE!$U$3))</f>
        <v>-0.0789648705993656+0.0401687959539193i</v>
      </c>
      <c r="AB22" s="44" t="str">
        <f>IMPRODUCT(COMPLEX(0,$D22),V22,F$2,BASE!F$15^2/10000,1/(2*BASE!$U$3))</f>
        <v>-0.0426768924314316+0.00995974243242291i</v>
      </c>
      <c r="AC22" s="44" t="str">
        <f>IMPRODUCT(COMPLEX(0,$D22),W22,G$2,BASE!G$15^2/10000,1/(2*BASE!$U$3))</f>
        <v>-0.0212078175587542+0.00242522412130753i</v>
      </c>
      <c r="AD22" s="44">
        <f t="shared" si="6"/>
        <v>2.671015668142533</v>
      </c>
      <c r="AE22" s="44">
        <f t="shared" si="7"/>
        <v>2.9123207018288149</v>
      </c>
      <c r="AF22" s="44">
        <f t="shared" si="8"/>
        <v>3.0277320616604193</v>
      </c>
      <c r="AG22" s="31">
        <f t="shared" si="9"/>
        <v>72.927533947538777</v>
      </c>
      <c r="AH22" s="31">
        <f t="shared" si="10"/>
        <v>66.813573994411684</v>
      </c>
      <c r="AI22" s="31">
        <f t="shared" si="11"/>
        <v>60.565744691718564</v>
      </c>
      <c r="AJ22" s="2" t="str">
        <f>IMSUM(R22,IMDIV(BASE!K$21^2,FRES!O22))</f>
        <v>7.6138017390926+2.19921017294675i</v>
      </c>
      <c r="AK22" s="2" t="str">
        <f>IMSUM(S22,IMDIV(BASE!L$21^2,FRES!P22))</f>
        <v>7.28737812947006+1.04670257264808i</v>
      </c>
      <c r="AL22" s="2" t="str">
        <f>IMSUM(T22,IMDIV(BASE!M$21^2,FRES!Q22))</f>
        <v>7.22004323861735+0.523768876436345i</v>
      </c>
      <c r="AM22" s="31">
        <f t="shared" si="24"/>
        <v>0.25624175331773413</v>
      </c>
      <c r="AN22" s="31">
        <f t="shared" si="24"/>
        <v>0.12675114746370669</v>
      </c>
      <c r="AO22" s="31">
        <f t="shared" si="24"/>
        <v>6.1739119935095295E-2</v>
      </c>
      <c r="AP22" s="31">
        <f t="shared" si="12"/>
        <v>2.495976250555342</v>
      </c>
      <c r="AQ22" s="31">
        <f t="shared" si="13"/>
        <v>1.2346459923249171</v>
      </c>
      <c r="AR22" s="31">
        <f t="shared" si="14"/>
        <v>0.60138277658874095</v>
      </c>
      <c r="AS22" s="2">
        <f t="shared" si="15"/>
        <v>118.50210693321571</v>
      </c>
      <c r="AT22" s="2">
        <f t="shared" si="16"/>
        <v>119.27020471129828</v>
      </c>
      <c r="AU22" s="2">
        <f t="shared" si="17"/>
        <v>119.63757047942141</v>
      </c>
      <c r="AV22" s="2">
        <f t="shared" si="18"/>
        <v>118.50210693321571</v>
      </c>
      <c r="AW22" s="2">
        <f t="shared" si="19"/>
        <v>119.27020471129828</v>
      </c>
      <c r="AX22" s="2">
        <f t="shared" si="20"/>
        <v>119.63757047942141</v>
      </c>
      <c r="AY22">
        <f t="shared" si="21"/>
        <v>7.9250553504062031</v>
      </c>
      <c r="AZ22">
        <f t="shared" si="22"/>
        <v>7.3621645103506523</v>
      </c>
      <c r="BA22">
        <f t="shared" si="23"/>
        <v>7.2390163836965797</v>
      </c>
    </row>
    <row r="23" spans="1:53" x14ac:dyDescent="0.2">
      <c r="A23" s="2">
        <v>19</v>
      </c>
      <c r="B23" s="42">
        <f t="shared" si="0"/>
        <v>160</v>
      </c>
      <c r="C23" s="43">
        <v>23.78414230005442</v>
      </c>
      <c r="D23" s="2">
        <f t="shared" si="1"/>
        <v>149.44017344357042</v>
      </c>
      <c r="E23" s="2"/>
      <c r="F23" s="2">
        <f>$D23*BASE!E$15/100/E$3</f>
        <v>2.7368403857398069E-2</v>
      </c>
      <c r="G23" s="2">
        <f>$D23*BASE!F$15/100/F$3</f>
        <v>2.7368403857398069E-2</v>
      </c>
      <c r="H23" s="2">
        <f>$D23*BASE!G$15/100/G$3</f>
        <v>2.7368403857398069E-2</v>
      </c>
      <c r="I23" s="2">
        <f>(1-BESSELJ(2*F23,1)/F23)*BASE!K$13*E$2*E$3</f>
        <v>1.927459287812737E-3</v>
      </c>
      <c r="J23" s="2">
        <f>(1-BESSELJ(2*G23,1)/G23)*BASE!L$13*F$2*F$3</f>
        <v>1.927459287812737E-3</v>
      </c>
      <c r="K23" s="2">
        <f>(1-BESSELJ(2*H23,1)/H23)*BASE!M$13*G$2*G$3</f>
        <v>1.927459287812737E-3</v>
      </c>
      <c r="L23" s="2" t="str">
        <f>IMPRODUCT(COMPLEX(1-BESSELJ(2*F23,1)/F23,(STRUVE(2*F23)/(2*F23^2))),PI()*(BASE!E$15/100)^2*E$2*E$3)</f>
        <v>0.00192745928781274+0.119550732623446i</v>
      </c>
      <c r="M23" s="2" t="str">
        <f>IMPRODUCT(COMPLEX(1-BESSELJ(2*G23,1)/G23,(STRUVE(2*G23)/(2*G23^2))),PI()*(BASE!F$15/100)^2*F$2*F$3)</f>
        <v>0.00192745928781274+0.119550732623446i</v>
      </c>
      <c r="N23" s="2" t="str">
        <f>IMPRODUCT(COMPLEX(1-BESSELJ(2*H23,1)/H23,(STRUVE(2*H23)/(2*H23^2))),PI()*(BASE!G$15/100)^2*G$2*G$3)</f>
        <v>0.00192745928781274+0.119550732623446i</v>
      </c>
      <c r="O23" s="2" t="str">
        <f>IMSUM(IMPRODUCT(IF($O$3=1,L23,COMPLEX(I23,$D23*BASE!K$15)),2),COMPLEX(BASE!E$36,$D23*BASE!K$14-BASE!K$10/$D23))</f>
        <v>0.803854918575626-4.0231433561674i</v>
      </c>
      <c r="P23" s="2" t="str">
        <f>IMSUM(IMPRODUCT(IF($O$3=1,M23,COMPLEX(J23,$D23*BASE!L$15)),2),COMPLEX(BASE!F$36,$D23*BASE!L$14-BASE!L$10/$D23))</f>
        <v>0.803854918575626-8.94149953217612i</v>
      </c>
      <c r="Q23" s="2" t="str">
        <f>IMSUM(IMPRODUCT(IF($O$3=1,N23,COMPLEX(K23,$D23*BASE!M$15)),2),COMPLEX(BASE!G$36,$D23*BASE!M$14-BASE!M$10/$D23))</f>
        <v>0.803854918575626-18.7782118841936i</v>
      </c>
      <c r="R23" s="2" t="str">
        <f>COMPLEX(BASE!E$19,FRES!$D23*BASE!K$36)</f>
        <v>7.2+0.0416046882199181i</v>
      </c>
      <c r="S23" s="2" t="str">
        <f>COMPLEX(BASE!F$19,FRES!$D23*BASE!L$36)</f>
        <v>7.2+0.0416046882199181i</v>
      </c>
      <c r="T23" s="2" t="str">
        <f>COMPLEX(BASE!G$19,FRES!$D23*BASE!M$36)</f>
        <v>7.2+0.0416046882199181i</v>
      </c>
      <c r="U23" s="2" t="str">
        <f>IMDIV(BASE!K$21*BASE!E$38,IMPRODUCT(FRES!R23,IMSUM(FRES!O23,IMDIV(BASE!K$21^2,FRES!R23))))</f>
        <v>0.123991927940363+0.233886919650662i</v>
      </c>
      <c r="V23" s="2" t="str">
        <f>IMDIV(BASE!L$21*BASE!F$38,IMPRODUCT(FRES!S23,IMSUM(FRES!P23,IMDIV(BASE!L$21^2,FRES!S23))))</f>
        <v>0.0307497648861057+0.127297458040952i</v>
      </c>
      <c r="W23" s="2" t="str">
        <f>IMDIV(BASE!M$21*BASE!G$38,IMPRODUCT(FRES!T23,IMSUM(FRES!Q23,IMDIV(BASE!M$21^2,FRES!T23))))</f>
        <v>0.00746495117126536+0.0632528255869157i</v>
      </c>
      <c r="X23" s="2" t="str">
        <f t="shared" si="2"/>
        <v>0.00156508731394761-0.00082970947559281i</v>
      </c>
      <c r="Y23" s="2" t="str">
        <f t="shared" si="25"/>
        <v>0.000851828896525075-0.000205766389167884i</v>
      </c>
      <c r="Z23" s="2" t="str">
        <f t="shared" si="25"/>
        <v>0.000423265204592395-0.0000499527737371383i</v>
      </c>
      <c r="AA23" s="44" t="str">
        <f>IMPRODUCT(COMPLEX(0,$D23),U23,E$2,BASE!E$15^2/10000,1/(2*BASE!$U$3))</f>
        <v>-0.0832349353188641+0.0441258541417887i</v>
      </c>
      <c r="AB23" s="44" t="str">
        <f>IMPRODUCT(COMPLEX(0,$D23),V23,F$2,BASE!F$15^2/10000,1/(2*BASE!$U$3))</f>
        <v>-0.0453022157122777+0.0109431288213472i</v>
      </c>
      <c r="AC23" s="44" t="str">
        <f>IMPRODUCT(COMPLEX(0,$D23),W23,G$2,BASE!G$15^2/10000,1/(2*BASE!$U$3))</f>
        <v>-0.022510214997598+0.00265660315175728i</v>
      </c>
      <c r="AD23" s="44">
        <f t="shared" si="6"/>
        <v>2.6541277314794884</v>
      </c>
      <c r="AE23" s="44">
        <f t="shared" si="7"/>
        <v>2.9045747099929446</v>
      </c>
      <c r="AF23" s="44">
        <f t="shared" si="8"/>
        <v>3.02411837195835</v>
      </c>
      <c r="AG23" s="31">
        <f t="shared" si="9"/>
        <v>73.461154884287609</v>
      </c>
      <c r="AH23" s="31">
        <f t="shared" si="10"/>
        <v>67.348083907928441</v>
      </c>
      <c r="AI23" s="31">
        <f t="shared" si="11"/>
        <v>61.087064842483471</v>
      </c>
      <c r="AJ23" s="2" t="str">
        <f>IMSUM(R23,IMDIV(BASE!K$21^2,FRES!O23))</f>
        <v>7.64813140399549+2.28441845848213i</v>
      </c>
      <c r="AK23" s="2" t="str">
        <f>IMSUM(S23,IMDIV(BASE!L$21^2,FRES!P23))</f>
        <v>7.29358816250702+1.0826115813002i</v>
      </c>
      <c r="AL23" s="2" t="str">
        <f>IMSUM(T23,IMDIV(BASE!M$21^2,FRES!Q23))</f>
        <v>7.22135177732965+0.54038648271433i</v>
      </c>
      <c r="AM23" s="31">
        <f t="shared" si="24"/>
        <v>0.26472077624932161</v>
      </c>
      <c r="AN23" s="31">
        <f t="shared" si="24"/>
        <v>0.13095873725811008</v>
      </c>
      <c r="AO23" s="31">
        <f t="shared" si="24"/>
        <v>6.3691800419819769E-2</v>
      </c>
      <c r="AP23" s="31">
        <f t="shared" si="12"/>
        <v>2.505161118239001</v>
      </c>
      <c r="AQ23" s="31">
        <f t="shared" si="13"/>
        <v>1.2393161629433516</v>
      </c>
      <c r="AR23" s="31">
        <f t="shared" si="14"/>
        <v>0.60274159143479678</v>
      </c>
      <c r="AS23" s="2">
        <f t="shared" si="15"/>
        <v>118.44835096124478</v>
      </c>
      <c r="AT23" s="2">
        <f t="shared" si="16"/>
        <v>119.24554845350171</v>
      </c>
      <c r="AU23" s="2">
        <f t="shared" si="17"/>
        <v>119.62606774784373</v>
      </c>
      <c r="AV23" s="2">
        <f t="shared" si="18"/>
        <v>118.44835096124478</v>
      </c>
      <c r="AW23" s="2">
        <f t="shared" si="19"/>
        <v>119.24554845350171</v>
      </c>
      <c r="AX23" s="2">
        <f t="shared" si="20"/>
        <v>119.62606774784373</v>
      </c>
      <c r="AY23">
        <f t="shared" si="21"/>
        <v>7.9820098763554475</v>
      </c>
      <c r="AZ23">
        <f t="shared" si="22"/>
        <v>7.3734982281294306</v>
      </c>
      <c r="BA23">
        <f t="shared" si="23"/>
        <v>7.2415425872283921</v>
      </c>
    </row>
    <row r="24" spans="1:53" x14ac:dyDescent="0.2">
      <c r="A24" s="2">
        <v>20</v>
      </c>
      <c r="B24" s="42">
        <f t="shared" si="0"/>
        <v>179.59392772949963</v>
      </c>
      <c r="C24" s="43">
        <v>24.481070866093106</v>
      </c>
      <c r="D24" s="2">
        <f t="shared" si="1"/>
        <v>153.81910476985843</v>
      </c>
      <c r="E24" s="2"/>
      <c r="F24" s="2">
        <f>$D24*BASE!E$15/100/E$3</f>
        <v>2.8170359303782214E-2</v>
      </c>
      <c r="G24" s="2">
        <f>$D24*BASE!F$15/100/F$3</f>
        <v>2.8170359303782214E-2</v>
      </c>
      <c r="H24" s="2">
        <f>$D24*BASE!G$15/100/G$3</f>
        <v>2.8170359303782214E-2</v>
      </c>
      <c r="I24" s="2">
        <f>(1-BESSELJ(2*F24,1)/F24)*BASE!K$13*E$2*E$3</f>
        <v>2.0420568690436196E-3</v>
      </c>
      <c r="J24" s="2">
        <f>(1-BESSELJ(2*G24,1)/G24)*BASE!L$13*F$2*F$3</f>
        <v>2.0420568690436196E-3</v>
      </c>
      <c r="K24" s="2">
        <f>(1-BESSELJ(2*H24,1)/H24)*BASE!M$13*G$2*G$3</f>
        <v>2.0420568690436196E-3</v>
      </c>
      <c r="L24" s="2" t="str">
        <f>IMPRODUCT(COMPLEX(1-BESSELJ(2*F24,1)/F24,(STRUVE(2*F24)/(2*F24^2))),PI()*(BASE!E$15/100)^2*E$2*E$3)</f>
        <v>0.00204205686904362+0.123052374908661i</v>
      </c>
      <c r="M24" s="2" t="str">
        <f>IMPRODUCT(COMPLEX(1-BESSELJ(2*G24,1)/G24,(STRUVE(2*G24)/(2*G24^2))),PI()*(BASE!F$15/100)^2*F$2*F$3)</f>
        <v>0.00204205686904362+0.123052374908661i</v>
      </c>
      <c r="N24" s="2" t="str">
        <f>IMPRODUCT(COMPLEX(1-BESSELJ(2*H24,1)/H24,(STRUVE(2*H24)/(2*H24^2))),PI()*(BASE!G$15/100)^2*G$2*G$3)</f>
        <v>0.00204205686904362+0.123052374908661i</v>
      </c>
      <c r="O24" s="2" t="str">
        <f>IMSUM(IMPRODUCT(IF($O$3=1,L24,COMPLEX(I24,$D24*BASE!K$15)),2),COMPLEX(BASE!E$36,$D24*BASE!K$14-BASE!K$10/$D24))</f>
        <v>0.804084113738087-3.85708700488834i</v>
      </c>
      <c r="P24" s="2" t="str">
        <f>IMSUM(IMPRODUCT(IF($O$3=1,M24,COMPLEX(J24,$D24*BASE!L$15)),2),COMPLEX(BASE!F$36,$D24*BASE!L$14-BASE!L$10/$D24))</f>
        <v>0.804084113738087-8.63542712785093i</v>
      </c>
      <c r="Q24" s="2" t="str">
        <f>IMSUM(IMPRODUCT(IF($O$3=1,N24,COMPLEX(K24,$D24*BASE!M$15)),2),COMPLEX(BASE!G$36,$D24*BASE!M$14-BASE!M$10/$D24))</f>
        <v>0.804084113738087-18.1921073737761i</v>
      </c>
      <c r="R24" s="2" t="str">
        <f>COMPLEX(BASE!E$19,FRES!$D24*BASE!K$36)</f>
        <v>7.2+0.0428237986396169i</v>
      </c>
      <c r="S24" s="2" t="str">
        <f>COMPLEX(BASE!F$19,FRES!$D24*BASE!L$36)</f>
        <v>7.2+0.0428237986396169i</v>
      </c>
      <c r="T24" s="2" t="str">
        <f>COMPLEX(BASE!G$19,FRES!$D24*BASE!M$36)</f>
        <v>7.2+0.0428237986396169i</v>
      </c>
      <c r="U24" s="2" t="str">
        <f>IMDIV(BASE!K$21*BASE!E$38,IMPRODUCT(FRES!R24,IMSUM(FRES!O24,IMDIV(BASE!K$21^2,FRES!R24))))</f>
        <v>0.13235895962258+0.239352756881901i</v>
      </c>
      <c r="V24" s="2" t="str">
        <f>IMDIV(BASE!L$21*BASE!F$38,IMPRODUCT(FRES!S24,IMSUM(FRES!P24,IMDIV(BASE!L$21^2,FRES!S24))))</f>
        <v>0.0328386457965669+0.131291697203779i</v>
      </c>
      <c r="W24" s="2" t="str">
        <f>IMDIV(BASE!M$21*BASE!G$38,IMPRODUCT(FRES!T24,IMSUM(FRES!Q24,IMDIV(BASE!M$21^2,FRES!T24))))</f>
        <v>0.00794653104475497+0.0652330553164083i</v>
      </c>
      <c r="X24" s="2" t="str">
        <f t="shared" si="2"/>
        <v>0.00155606650578299-0.000860484527072327i</v>
      </c>
      <c r="Y24" s="2" t="str">
        <f t="shared" si="25"/>
        <v>0.000853546101443093-0.000213488733052371i</v>
      </c>
      <c r="Z24" s="2" t="str">
        <f t="shared" si="25"/>
        <v>0.000424089422533105-0.000051661534870096i</v>
      </c>
      <c r="AA24" s="44" t="str">
        <f>IMPRODUCT(COMPLEX(0,$D24),U24,E$2,BASE!E$15^2/10000,1/(2*BASE!$U$3))</f>
        <v>-0.087676067592399+0.0484837243635962i</v>
      </c>
      <c r="AB24" s="44" t="str">
        <f>IMPRODUCT(COMPLEX(0,$D24),V24,F$2,BASE!F$15^2/10000,1/(2*BASE!$U$3))</f>
        <v>-0.048092780999548+0.0120289541094497i</v>
      </c>
      <c r="AC24" s="44" t="str">
        <f>IMPRODUCT(COMPLEX(0,$D24),W24,G$2,BASE!G$15^2/10000,1/(2*BASE!$U$3))</f>
        <v>-0.0238951823312489+0.00291085259297349i</v>
      </c>
      <c r="AD24" s="44">
        <f t="shared" si="6"/>
        <v>2.6364590641118699</v>
      </c>
      <c r="AE24" s="44">
        <f t="shared" si="7"/>
        <v>2.8965012926676712</v>
      </c>
      <c r="AF24" s="44">
        <f t="shared" si="8"/>
        <v>3.0203723648179013</v>
      </c>
      <c r="AG24" s="31">
        <f t="shared" si="9"/>
        <v>73.995770047784248</v>
      </c>
      <c r="AH24" s="31">
        <f t="shared" si="10"/>
        <v>67.884532076499809</v>
      </c>
      <c r="AI24" s="31">
        <f t="shared" si="11"/>
        <v>61.609580755470496</v>
      </c>
      <c r="AJ24" s="2" t="str">
        <f>IMSUM(R24,IMDIV(BASE!K$21^2,FRES!O24))</f>
        <v>7.68603437957707+2.37426755852261i</v>
      </c>
      <c r="AK24" s="2" t="str">
        <f>IMSUM(S24,IMDIV(BASE!L$21^2,FRES!P24))</f>
        <v>7.30031007176921+1.12009954647848i</v>
      </c>
      <c r="AL24" s="2" t="str">
        <f>IMSUM(T24,IMDIV(BASE!M$21^2,FRES!Q24))</f>
        <v>7.2227534784007+0.557612879931355i</v>
      </c>
      <c r="AM24" s="31">
        <f t="shared" si="24"/>
        <v>0.27351167510608787</v>
      </c>
      <c r="AN24" s="31">
        <f t="shared" si="24"/>
        <v>0.13533619771665367</v>
      </c>
      <c r="AO24" s="31">
        <f t="shared" si="24"/>
        <v>6.5715286361385045E-2</v>
      </c>
      <c r="AP24" s="31">
        <f t="shared" si="12"/>
        <v>2.5146676089497677</v>
      </c>
      <c r="AQ24" s="31">
        <f t="shared" si="13"/>
        <v>1.2442816292375367</v>
      </c>
      <c r="AR24" s="31">
        <f t="shared" si="14"/>
        <v>0.60418664746847328</v>
      </c>
      <c r="AS24" s="2">
        <f t="shared" si="15"/>
        <v>118.39210984625673</v>
      </c>
      <c r="AT24" s="2">
        <f t="shared" si="16"/>
        <v>119.21984996800249</v>
      </c>
      <c r="AU24" s="2">
        <f t="shared" si="17"/>
        <v>119.61414383677852</v>
      </c>
      <c r="AV24" s="2">
        <f t="shared" si="18"/>
        <v>118.39210984625673</v>
      </c>
      <c r="AW24" s="2">
        <f t="shared" si="19"/>
        <v>119.21984996800249</v>
      </c>
      <c r="AX24" s="2">
        <f t="shared" si="20"/>
        <v>119.61414383677852</v>
      </c>
      <c r="AY24">
        <f t="shared" si="21"/>
        <v>8.0443937573625508</v>
      </c>
      <c r="AZ24">
        <f t="shared" si="22"/>
        <v>7.3857396473201149</v>
      </c>
      <c r="BA24">
        <f t="shared" si="23"/>
        <v>7.2442459879282648</v>
      </c>
    </row>
    <row r="25" spans="1:53" x14ac:dyDescent="0.2">
      <c r="A25" s="2">
        <v>21</v>
      </c>
      <c r="B25" s="42">
        <f t="shared" ref="B25:B31" si="26">200*2^(($A25-21)/3)</f>
        <v>200</v>
      </c>
      <c r="C25" s="43">
        <v>25.198420997897465</v>
      </c>
      <c r="D25" s="2">
        <f t="shared" si="1"/>
        <v>158.32634857811493</v>
      </c>
      <c r="E25" s="2"/>
      <c r="F25" s="2">
        <f>$D25*BASE!E$15/100/E$3</f>
        <v>2.8995813838433838E-2</v>
      </c>
      <c r="G25" s="2">
        <f>$D25*BASE!F$15/100/F$3</f>
        <v>2.8995813838433838E-2</v>
      </c>
      <c r="H25" s="2">
        <f>$D25*BASE!G$15/100/G$3</f>
        <v>2.8995813838433838E-2</v>
      </c>
      <c r="I25" s="2">
        <f>(1-BESSELJ(2*F25,1)/F25)*BASE!K$13*E$2*E$3</f>
        <v>2.1634669208108427E-3</v>
      </c>
      <c r="J25" s="2">
        <f>(1-BESSELJ(2*G25,1)/G25)*BASE!L$13*F$2*F$3</f>
        <v>2.1634669208108427E-3</v>
      </c>
      <c r="K25" s="2">
        <f>(1-BESSELJ(2*H25,1)/H25)*BASE!M$13*G$2*G$3</f>
        <v>2.1634669208108427E-3</v>
      </c>
      <c r="L25" s="2" t="str">
        <f>IMPRODUCT(COMPLEX(1-BESSELJ(2*F25,1)/F25,(STRUVE(2*F25)/(2*F25^2))),PI()*(BASE!E$15/100)^2*E$2*E$3)</f>
        <v>0.00216346692081084+0.126656490877808i</v>
      </c>
      <c r="M25" s="2" t="str">
        <f>IMPRODUCT(COMPLEX(1-BESSELJ(2*G25,1)/G25,(STRUVE(2*G25)/(2*G25^2))),PI()*(BASE!F$15/100)^2*F$2*F$3)</f>
        <v>0.00216346692081084+0.126656490877808i</v>
      </c>
      <c r="N25" s="2" t="str">
        <f>IMPRODUCT(COMPLEX(1-BESSELJ(2*H25,1)/H25,(STRUVE(2*H25)/(2*H25^2))),PI()*(BASE!G$15/100)^2*G$2*G$3)</f>
        <v>0.00216346692081084+0.126656490877808i</v>
      </c>
      <c r="O25" s="2" t="str">
        <f>IMSUM(IMPRODUCT(IF($O$3=1,L25,COMPLEX(I25,$D25*BASE!K$15)),2),COMPLEX(BASE!E$36,$D25*BASE!K$14-BASE!K$10/$D25))</f>
        <v>0.804326933841622-3.69424814995025i</v>
      </c>
      <c r="P25" s="2" t="str">
        <f>IMSUM(IMPRODUCT(IF($O$3=1,M25,COMPLEX(J25,$D25*BASE!L$15)),2),COMPLEX(BASE!F$36,$D25*BASE!L$14-BASE!L$10/$D25))</f>
        <v>0.804326933841622-8.33655820510425i</v>
      </c>
      <c r="Q25" s="2" t="str">
        <f>IMSUM(IMPRODUCT(IF($O$3=1,N25,COMPLEX(K25,$D25*BASE!M$15)),2),COMPLEX(BASE!G$36,$D25*BASE!M$14-BASE!M$10/$D25))</f>
        <v>0.804326933841622-17.6211783154123i</v>
      </c>
      <c r="R25" s="2" t="str">
        <f>COMPLEX(BASE!E$19,FRES!$D25*BASE!K$36)</f>
        <v>7.2+0.0440786317213282i</v>
      </c>
      <c r="S25" s="2" t="str">
        <f>COMPLEX(BASE!F$19,FRES!$D25*BASE!L$36)</f>
        <v>7.2+0.0440786317213282i</v>
      </c>
      <c r="T25" s="2" t="str">
        <f>COMPLEX(BASE!G$19,FRES!$D25*BASE!M$36)</f>
        <v>7.2+0.0440786317213282i</v>
      </c>
      <c r="U25" s="2" t="str">
        <f>IMDIV(BASE!K$21*BASE!E$38,IMPRODUCT(FRES!R25,IMSUM(FRES!O25,IMDIV(BASE!K$21^2,FRES!R25))))</f>
        <v>0.141320145754933+0.244755267326076i</v>
      </c>
      <c r="V25" s="2" t="str">
        <f>IMDIV(BASE!L$21*BASE!F$38,IMPRODUCT(FRES!S25,IMSUM(FRES!P25,IMDIV(BASE!L$21^2,FRES!S25))))</f>
        <v>0.0350859049831474+0.135421658708593i</v>
      </c>
      <c r="W25" s="2" t="str">
        <f>IMDIV(BASE!M$21*BASE!G$38,IMPRODUCT(FRES!T25,IMSUM(FRES!Q25,IMDIV(BASE!M$21^2,FRES!T25))))</f>
        <v>0.00846163615227564+0.0672829885268678i</v>
      </c>
      <c r="X25" s="2" t="str">
        <f t="shared" si="2"/>
        <v>0.00154589093681598-0.000892587664808101i</v>
      </c>
      <c r="Y25" s="2" t="str">
        <f t="shared" si="25"/>
        <v>0.000855332418923176-0.000221604965302643i</v>
      </c>
      <c r="Z25" s="2" t="str">
        <f t="shared" si="25"/>
        <v>0.000424963937658625-0.0000534442701942364i</v>
      </c>
      <c r="AA25" s="44" t="str">
        <f>IMPRODUCT(COMPLEX(0,$D25),U25,E$2,BASE!E$15^2/10000,1/(2*BASE!$U$3))</f>
        <v>-0.0922821261858547+0.0532831169095363i</v>
      </c>
      <c r="AB25" s="44" t="str">
        <f>IMPRODUCT(COMPLEX(0,$D25),V25,F$2,BASE!F$15^2/10000,1/(2*BASE!$U$3))</f>
        <v>-0.0510591609887397+0.0132287323021577i</v>
      </c>
      <c r="AC25" s="44" t="str">
        <f>IMPRODUCT(COMPLEX(0,$D25),W25,G$2,BASE!G$15^2/10000,1/(2*BASE!$U$3))</f>
        <v>-0.0253682680876724+0.00319036147280455i</v>
      </c>
      <c r="AD25" s="44">
        <f t="shared" si="6"/>
        <v>2.6179613166528046</v>
      </c>
      <c r="AE25" s="44">
        <f t="shared" si="7"/>
        <v>2.8880805714589401</v>
      </c>
      <c r="AF25" s="44">
        <f t="shared" si="8"/>
        <v>3.0164875557807136</v>
      </c>
      <c r="AG25" s="31">
        <f t="shared" si="9"/>
        <v>74.531302590284866</v>
      </c>
      <c r="AH25" s="31">
        <f t="shared" si="10"/>
        <v>68.4230295389698</v>
      </c>
      <c r="AI25" s="31">
        <f t="shared" si="11"/>
        <v>62.133367181409305</v>
      </c>
      <c r="AJ25" s="2" t="str">
        <f>IMSUM(R25,IMDIV(BASE!K$21^2,FRES!O25))</f>
        <v>7.72799072139352+2.46912330401995i</v>
      </c>
      <c r="AK25" s="2" t="str">
        <f>IMSUM(S25,IMDIV(BASE!L$21^2,FRES!P25))</f>
        <v>7.30759570798346+1.15926928925576i</v>
      </c>
      <c r="AL25" s="2" t="str">
        <f>IMSUM(T25,IMDIV(BASE!M$21^2,FRES!Q25))</f>
        <v>7.22425597603652+0.575478067660199i</v>
      </c>
      <c r="AM25" s="31">
        <f t="shared" si="24"/>
        <v>0.28262435224172461</v>
      </c>
      <c r="AN25" s="31">
        <f t="shared" si="24"/>
        <v>0.13989298186783028</v>
      </c>
      <c r="AO25" s="31">
        <f t="shared" si="24"/>
        <v>6.7812976866379521E-2</v>
      </c>
      <c r="AP25" s="31">
        <f t="shared" si="12"/>
        <v>2.5244767885236605</v>
      </c>
      <c r="AQ25" s="31">
        <f t="shared" si="13"/>
        <v>1.2495617691877077</v>
      </c>
      <c r="AR25" s="31">
        <f t="shared" si="14"/>
        <v>0.60572376266235139</v>
      </c>
      <c r="AS25" s="2">
        <f t="shared" si="15"/>
        <v>118.3332296873732</v>
      </c>
      <c r="AT25" s="2">
        <f t="shared" si="16"/>
        <v>119.19304597990713</v>
      </c>
      <c r="AU25" s="2">
        <f t="shared" si="17"/>
        <v>119.60177810555379</v>
      </c>
      <c r="AV25" s="2">
        <f t="shared" si="18"/>
        <v>118.3332296873732</v>
      </c>
      <c r="AW25" s="2">
        <f t="shared" si="19"/>
        <v>119.19304597990713</v>
      </c>
      <c r="AX25" s="2">
        <f t="shared" si="20"/>
        <v>119.60177810555379</v>
      </c>
      <c r="AY25">
        <f t="shared" si="21"/>
        <v>8.1128546443529199</v>
      </c>
      <c r="AZ25">
        <f t="shared" si="22"/>
        <v>7.3989769776875125</v>
      </c>
      <c r="BA25">
        <f t="shared" si="23"/>
        <v>7.2471407750682815</v>
      </c>
    </row>
    <row r="26" spans="1:53" x14ac:dyDescent="0.2">
      <c r="A26" s="2">
        <v>22</v>
      </c>
      <c r="B26" s="42">
        <f t="shared" si="26"/>
        <v>251.98420997897463</v>
      </c>
      <c r="C26" s="43">
        <v>25.936791093020194</v>
      </c>
      <c r="D26" s="2">
        <f t="shared" si="1"/>
        <v>162.96566471105083</v>
      </c>
      <c r="E26" s="2"/>
      <c r="F26" s="2">
        <f>$D26*BASE!E$15/100/E$3</f>
        <v>2.9845456037198265E-2</v>
      </c>
      <c r="G26" s="2">
        <f>$D26*BASE!F$15/100/F$3</f>
        <v>2.9845456037198265E-2</v>
      </c>
      <c r="H26" s="2">
        <f>$D26*BASE!G$15/100/G$3</f>
        <v>2.9845456037198265E-2</v>
      </c>
      <c r="I26" s="2">
        <f>(1-BESSELJ(2*F26,1)/F26)*BASE!K$13*E$2*E$3</f>
        <v>2.2920943064013008E-3</v>
      </c>
      <c r="J26" s="2">
        <f>(1-BESSELJ(2*G26,1)/G26)*BASE!L$13*F$2*F$3</f>
        <v>2.2920943064013008E-3</v>
      </c>
      <c r="K26" s="2">
        <f>(1-BESSELJ(2*H26,1)/H26)*BASE!M$13*G$2*G$3</f>
        <v>2.2920943064013008E-3</v>
      </c>
      <c r="L26" s="2" t="str">
        <f>IMPRODUCT(COMPLEX(1-BESSELJ(2*F26,1)/F26,(STRUVE(2*F26)/(2*F26^2))),PI()*(BASE!E$15/100)^2*E$2*E$3)</f>
        <v>0.0022920943064013+0.130366071270435i</v>
      </c>
      <c r="M26" s="2" t="str">
        <f>IMPRODUCT(COMPLEX(1-BESSELJ(2*G26,1)/G26,(STRUVE(2*G26)/(2*G26^2))),PI()*(BASE!F$15/100)^2*F$2*F$3)</f>
        <v>0.0022920943064013+0.130366071270435i</v>
      </c>
      <c r="N26" s="2" t="str">
        <f>IMPRODUCT(COMPLEX(1-BESSELJ(2*H26,1)/H26,(STRUVE(2*H26)/(2*H26^2))),PI()*(BASE!G$15/100)^2*G$2*G$3)</f>
        <v>0.0022920943064013+0.130366071270435i</v>
      </c>
      <c r="O26" s="2" t="str">
        <f>IMSUM(IMPRODUCT(IF($O$3=1,L26,COMPLEX(I26,$D26*BASE!K$15)),2),COMPLEX(BASE!E$36,$D26*BASE!K$14-BASE!K$10/$D26))</f>
        <v>0.804584188612803-3.53449095479581i</v>
      </c>
      <c r="P26" s="2" t="str">
        <f>IMSUM(IMPRODUCT(IF($O$3=1,M26,COMPLEX(J26,$D26*BASE!L$15)),2),COMPLEX(BASE!F$36,$D26*BASE!L$14-BASE!L$10/$D26))</f>
        <v>0.804584188612803-8.04464345411648i</v>
      </c>
      <c r="Q26" s="2" t="str">
        <f>IMSUM(IMPRODUCT(IF($O$3=1,N26,COMPLEX(K26,$D26*BASE!M$15)),2),COMPLEX(BASE!G$36,$D26*BASE!M$14-BASE!M$10/$D26))</f>
        <v>0.804584188612803-17.0649484527578i</v>
      </c>
      <c r="R26" s="2" t="str">
        <f>COMPLEX(BASE!E$19,FRES!$D26*BASE!K$36)</f>
        <v>7.2+0.0453702342189479i</v>
      </c>
      <c r="S26" s="2" t="str">
        <f>COMPLEX(BASE!F$19,FRES!$D26*BASE!L$36)</f>
        <v>7.2+0.0453702342189479i</v>
      </c>
      <c r="T26" s="2" t="str">
        <f>COMPLEX(BASE!G$19,FRES!$D26*BASE!M$36)</f>
        <v>7.2+0.0453702342189479i</v>
      </c>
      <c r="U26" s="2" t="str">
        <f>IMDIV(BASE!K$21*BASE!E$38,IMPRODUCT(FRES!R26,IMSUM(FRES!O26,IMDIV(BASE!K$21^2,FRES!R26))))</f>
        <v>0.150916005376218+0.25005619052132i</v>
      </c>
      <c r="V26" s="2" t="str">
        <f>IMDIV(BASE!L$21*BASE!F$38,IMPRODUCT(FRES!S26,IMSUM(FRES!P26,IMDIV(BASE!L$21^2,FRES!S26))))</f>
        <v>0.0375055662830804+0.139691969876977i</v>
      </c>
      <c r="W26" s="2" t="str">
        <f>IMDIV(BASE!M$21*BASE!G$38,IMPRODUCT(FRES!T26,IMSUM(FRES!Q26,IMDIV(BASE!M$21^2,FRES!T26))))</f>
        <v>0.00901291277829501+0.0694057515218992i</v>
      </c>
      <c r="X26" s="2" t="str">
        <f t="shared" si="2"/>
        <v>0.00153441027571474-0.000926060134469443i</v>
      </c>
      <c r="Y26" s="2" t="str">
        <f t="shared" si="25"/>
        <v>0.000857186513028129-0.000230143977564724i</v>
      </c>
      <c r="Z26" s="2" t="str">
        <f t="shared" si="25"/>
        <v>0.000425891868971051-0.0000553055933240631i</v>
      </c>
      <c r="AA26" s="44" t="str">
        <f>IMPRODUCT(COMPLEX(0,$D26),U26,E$2,BASE!E$15^2/10000,1/(2*BASE!$U$3))</f>
        <v>-0.0970434152647647+0.0585684543513635i</v>
      </c>
      <c r="AB26" s="44" t="str">
        <f>IMPRODUCT(COMPLEX(0,$D26),V26,F$2,BASE!F$15^2/10000,1/(2*BASE!$U$3))</f>
        <v>-0.0542125584400146+0.0145554014718096i</v>
      </c>
      <c r="AC26" s="44" t="str">
        <f>IMPRODUCT(COMPLEX(0,$D26),W26,G$2,BASE!G$15^2/10000,1/(2*BASE!$U$3))</f>
        <v>-0.0269354306032606+0.00349778917956688i</v>
      </c>
      <c r="AD26" s="44">
        <f t="shared" si="6"/>
        <v>2.5985828007584097</v>
      </c>
      <c r="AE26" s="44">
        <f t="shared" si="7"/>
        <v>2.8792909619474241</v>
      </c>
      <c r="AF26" s="44">
        <f t="shared" si="8"/>
        <v>3.0124569988982741</v>
      </c>
      <c r="AG26" s="31">
        <f t="shared" si="9"/>
        <v>75.067649999483564</v>
      </c>
      <c r="AH26" s="31">
        <f t="shared" si="10"/>
        <v>68.963692816028413</v>
      </c>
      <c r="AI26" s="31">
        <f t="shared" si="11"/>
        <v>62.658503753035966</v>
      </c>
      <c r="AJ26" s="2" t="str">
        <f>IMSUM(R26,IMDIV(BASE!K$21^2,FRES!O26))</f>
        <v>7.77456169989324+2.56938594318543i</v>
      </c>
      <c r="AK26" s="2" t="str">
        <f>IMSUM(S26,IMDIV(BASE!L$21^2,FRES!P26))</f>
        <v>7.31550351151051+1.20023330628917i</v>
      </c>
      <c r="AL26" s="2" t="str">
        <f>IMSUM(T26,IMDIV(BASE!M$21^2,FRES!Q26))</f>
        <v>7.22586765925149+0.594014214510487i</v>
      </c>
      <c r="AM26" s="31">
        <f t="shared" si="24"/>
        <v>0.29206803847177348</v>
      </c>
      <c r="AN26" s="31">
        <f t="shared" si="24"/>
        <v>0.1446392545276862</v>
      </c>
      <c r="AO26" s="31">
        <f t="shared" si="24"/>
        <v>6.9988505778225962E-2</v>
      </c>
      <c r="AP26" s="31">
        <f t="shared" si="12"/>
        <v>2.5345620003750344</v>
      </c>
      <c r="AQ26" s="31">
        <f t="shared" si="13"/>
        <v>1.25517725324086</v>
      </c>
      <c r="AR26" s="31">
        <f t="shared" si="14"/>
        <v>0.60735918978571757</v>
      </c>
      <c r="AS26" s="2">
        <f t="shared" si="15"/>
        <v>118.27154595548565</v>
      </c>
      <c r="AT26" s="2">
        <f t="shared" si="16"/>
        <v>119.16506778387502</v>
      </c>
      <c r="AU26" s="2">
        <f t="shared" si="17"/>
        <v>119.58894844452874</v>
      </c>
      <c r="AV26" s="2">
        <f t="shared" si="18"/>
        <v>118.27154595548565</v>
      </c>
      <c r="AW26" s="2">
        <f t="shared" si="19"/>
        <v>119.16506778387502</v>
      </c>
      <c r="AX26" s="2">
        <f t="shared" si="20"/>
        <v>119.58894844452874</v>
      </c>
      <c r="AY26">
        <f t="shared" si="21"/>
        <v>8.1881349372421628</v>
      </c>
      <c r="AZ26">
        <f t="shared" si="22"/>
        <v>7.4133090868011449</v>
      </c>
      <c r="BA26">
        <f t="shared" si="23"/>
        <v>7.2502425005000433</v>
      </c>
    </row>
    <row r="27" spans="1:53" x14ac:dyDescent="0.2">
      <c r="A27" s="2">
        <v>23</v>
      </c>
      <c r="B27" s="42">
        <f t="shared" si="26"/>
        <v>317.48021039363988</v>
      </c>
      <c r="C27" s="43">
        <v>26.696797083400689</v>
      </c>
      <c r="D27" s="2">
        <f t="shared" si="1"/>
        <v>167.74092318317804</v>
      </c>
      <c r="E27" s="2"/>
      <c r="F27" s="2">
        <f>$D27*BASE!E$15/100/E$3</f>
        <v>3.0719994652733184E-2</v>
      </c>
      <c r="G27" s="2">
        <f>$D27*BASE!F$15/100/F$3</f>
        <v>3.0719994652733184E-2</v>
      </c>
      <c r="H27" s="2">
        <f>$D27*BASE!G$15/100/G$3</f>
        <v>3.0719994652733184E-2</v>
      </c>
      <c r="I27" s="2">
        <f>(1-BESSELJ(2*F27,1)/F27)*BASE!K$13*E$2*E$3</f>
        <v>2.4283679356904907E-3</v>
      </c>
      <c r="J27" s="2">
        <f>(1-BESSELJ(2*G27,1)/G27)*BASE!L$13*F$2*F$3</f>
        <v>2.4283679356904907E-3</v>
      </c>
      <c r="K27" s="2">
        <f>(1-BESSELJ(2*H27,1)/H27)*BASE!M$13*G$2*G$3</f>
        <v>2.4283679356904907E-3</v>
      </c>
      <c r="L27" s="2" t="str">
        <f>IMPRODUCT(COMPLEX(1-BESSELJ(2*F27,1)/F27,(STRUVE(2*F27)/(2*F27^2))),PI()*(BASE!E$15/100)^2*E$2*E$3)</f>
        <v>0.00242836793569049+0.134184193378605i</v>
      </c>
      <c r="M27" s="2" t="str">
        <f>IMPRODUCT(COMPLEX(1-BESSELJ(2*G27,1)/G27,(STRUVE(2*G27)/(2*G27^2))),PI()*(BASE!F$15/100)^2*F$2*F$3)</f>
        <v>0.00242836793569049+0.134184193378605i</v>
      </c>
      <c r="N27" s="2" t="str">
        <f>IMPRODUCT(COMPLEX(1-BESSELJ(2*H27,1)/H27,(STRUVE(2*H27)/(2*H27^2))),PI()*(BASE!G$15/100)^2*G$2*G$3)</f>
        <v>0.00242836793569049+0.134184193378605i</v>
      </c>
      <c r="O27" s="2" t="str">
        <f>IMSUM(IMPRODUCT(IF($O$3=1,L27,COMPLEX(I27,$D27*BASE!K$15)),2),COMPLEX(BASE!E$36,$D27*BASE!K$14-BASE!K$10/$D27))</f>
        <v>0.804856735871381-3.37768215351991i</v>
      </c>
      <c r="P27" s="2" t="str">
        <f>IMSUM(IMPRODUCT(IF($O$3=1,M27,COMPLEX(J27,$D27*BASE!L$15)),2),COMPLEX(BASE!F$36,$D27*BASE!L$14-BASE!L$10/$D27))</f>
        <v>0.804856735871381-7.75943936608371i</v>
      </c>
      <c r="Q27" s="2" t="str">
        <f>IMSUM(IMPRODUCT(IF($O$3=1,N27,COMPLEX(K27,$D27*BASE!M$15)),2),COMPLEX(BASE!G$36,$D27*BASE!M$14-BASE!M$10/$D27))</f>
        <v>0.804856735871381-16.5229537912113i</v>
      </c>
      <c r="R27" s="2" t="str">
        <f>COMPLEX(BASE!E$19,FRES!$D27*BASE!K$36)</f>
        <v>7.2+0.0466996835586021i</v>
      </c>
      <c r="S27" s="2" t="str">
        <f>COMPLEX(BASE!F$19,FRES!$D27*BASE!L$36)</f>
        <v>7.2+0.0466996835586021i</v>
      </c>
      <c r="T27" s="2" t="str">
        <f>COMPLEX(BASE!G$19,FRES!$D27*BASE!M$36)</f>
        <v>7.2+0.0466996835586021i</v>
      </c>
      <c r="U27" s="2" t="str">
        <f>IMDIV(BASE!K$21*BASE!E$38,IMPRODUCT(FRES!R27,IMSUM(FRES!O27,IMDIV(BASE!K$21^2,FRES!R27))))</f>
        <v>0.161188355431544+0.255210355418959i</v>
      </c>
      <c r="V27" s="2" t="str">
        <f>IMDIV(BASE!L$21*BASE!F$38,IMPRODUCT(FRES!S27,IMSUM(FRES!P27,IMDIV(BASE!L$21^2,FRES!S27))))</f>
        <v>0.0401131270314169+0.144107233273074i</v>
      </c>
      <c r="W27" s="2" t="str">
        <f>IMDIV(BASE!M$21*BASE!G$38,IMPRODUCT(FRES!T27,IMSUM(FRES!Q27,IMDIV(BASE!M$21^2,FRES!T27))))</f>
        <v>0.00960325535470758+0.0716046632515356i</v>
      </c>
      <c r="X27" s="2" t="str">
        <f t="shared" si="2"/>
        <v>0.00152145553139863-0.000960936379582945i</v>
      </c>
      <c r="Y27" s="2" t="str">
        <f t="shared" si="25"/>
        <v>0.000859105998335926-0.000239137392773332i</v>
      </c>
      <c r="Z27" s="2" t="str">
        <f t="shared" si="25"/>
        <v>0.000426876530143698-0.0000572505216524923i</v>
      </c>
      <c r="AA27" s="44" t="str">
        <f>IMPRODUCT(COMPLEX(0,$D27),U27,E$2,BASE!E$15^2/10000,1/(2*BASE!$U$3))</f>
        <v>-0.101945877993715+0.0643880158775527i</v>
      </c>
      <c r="AB27" s="44" t="str">
        <f>IMPRODUCT(COMPLEX(0,$D27),V27,F$2,BASE!F$15^2/10000,1/(2*BASE!$U$3))</f>
        <v>-0.0575648209773909+0.0160235189029773i</v>
      </c>
      <c r="AC27" s="44" t="str">
        <f>IMPRODUCT(COMPLEX(0,$D27),W27,G$2,BASE!G$15^2/10000,1/(2*BASE!$U$3))</f>
        <v>-0.0286030723621642+0.00383609942914089i</v>
      </c>
      <c r="AD27" s="44">
        <f t="shared" si="6"/>
        <v>2.5782683593531286</v>
      </c>
      <c r="AE27" s="44">
        <f t="shared" si="7"/>
        <v>2.8701089908368571</v>
      </c>
      <c r="AF27" s="44">
        <f t="shared" si="8"/>
        <v>3.0082732426424266</v>
      </c>
      <c r="AG27" s="31">
        <f t="shared" si="9"/>
        <v>75.604679325844927</v>
      </c>
      <c r="AH27" s="31">
        <f t="shared" si="10"/>
        <v>69.50664396253822</v>
      </c>
      <c r="AI27" s="31">
        <f t="shared" si="11"/>
        <v>63.185075326370409</v>
      </c>
      <c r="AJ27" s="2" t="str">
        <f>IMSUM(R27,IMDIV(BASE!K$21^2,FRES!O27))</f>
        <v>7.82640636580853+2.67549249642121i</v>
      </c>
      <c r="AK27" s="2" t="str">
        <f>IMSUM(S27,IMDIV(BASE!L$21^2,FRES!P27))</f>
        <v>7.32409954231668+1.24311493492933i</v>
      </c>
      <c r="AL27" s="2" t="str">
        <f>IMSUM(T27,IMDIV(BASE!M$21^2,FRES!Q27))</f>
        <v>7.22759776306025+0.61325587109127i</v>
      </c>
      <c r="AM27" s="31">
        <f t="shared" si="24"/>
        <v>0.30185097554885776</v>
      </c>
      <c r="AN27" s="31">
        <f t="shared" si="24"/>
        <v>0.14958595402596717</v>
      </c>
      <c r="AO27" s="31">
        <f t="shared" si="24"/>
        <v>7.224576328597776E-2</v>
      </c>
      <c r="AP27" s="31">
        <f t="shared" si="12"/>
        <v>2.5448872900894712</v>
      </c>
      <c r="AQ27" s="31">
        <f t="shared" si="13"/>
        <v>1.2611501171543338</v>
      </c>
      <c r="AR27" s="31">
        <f t="shared" si="14"/>
        <v>0.6090996539434349</v>
      </c>
      <c r="AS27" s="2">
        <f t="shared" si="15"/>
        <v>118.20688308016963</v>
      </c>
      <c r="AT27" s="2">
        <f t="shared" si="16"/>
        <v>119.13584066208354</v>
      </c>
      <c r="AU27" s="2">
        <f t="shared" si="17"/>
        <v>119.57563113475254</v>
      </c>
      <c r="AV27" s="2">
        <f t="shared" si="18"/>
        <v>118.20688308016963</v>
      </c>
      <c r="AW27" s="2">
        <f t="shared" si="19"/>
        <v>119.13584066208354</v>
      </c>
      <c r="AX27" s="2">
        <f t="shared" si="20"/>
        <v>119.57563113475254</v>
      </c>
      <c r="AY27">
        <f t="shared" si="21"/>
        <v>8.2710879998446689</v>
      </c>
      <c r="AZ27">
        <f t="shared" si="22"/>
        <v>7.4288470738875603</v>
      </c>
      <c r="BA27">
        <f t="shared" si="23"/>
        <v>7.2535682383239095</v>
      </c>
    </row>
    <row r="28" spans="1:53" x14ac:dyDescent="0.2">
      <c r="A28" s="2">
        <v>24</v>
      </c>
      <c r="B28" s="42">
        <f t="shared" si="26"/>
        <v>400</v>
      </c>
      <c r="C28" s="43">
        <v>27.479072949161782</v>
      </c>
      <c r="D28" s="2">
        <f t="shared" si="1"/>
        <v>172.65610740908934</v>
      </c>
      <c r="E28" s="2"/>
      <c r="F28" s="2">
        <f>$D28*BASE!E$15/100/E$3</f>
        <v>3.1620159205734383E-2</v>
      </c>
      <c r="G28" s="2">
        <f>$D28*BASE!F$15/100/F$3</f>
        <v>3.1620159205734383E-2</v>
      </c>
      <c r="H28" s="2">
        <f>$D28*BASE!G$15/100/G$3</f>
        <v>3.1620159205734383E-2</v>
      </c>
      <c r="I28" s="2">
        <f>(1-BESSELJ(2*F28,1)/F28)*BASE!K$13*E$2*E$3</f>
        <v>2.5727421916241413E-3</v>
      </c>
      <c r="J28" s="2">
        <f>(1-BESSELJ(2*G28,1)/G28)*BASE!L$13*F$2*F$3</f>
        <v>2.5727421916241413E-3</v>
      </c>
      <c r="K28" s="2">
        <f>(1-BESSELJ(2*H28,1)/H28)*BASE!M$13*G$2*G$3</f>
        <v>2.5727421916241413E-3</v>
      </c>
      <c r="L28" s="2" t="str">
        <f>IMPRODUCT(COMPLEX(1-BESSELJ(2*F28,1)/F28,(STRUVE(2*F28)/(2*F28^2))),PI()*(BASE!E$15/100)^2*E$2*E$3)</f>
        <v>0.00257274219162414+0.138114023485131i</v>
      </c>
      <c r="M28" s="2" t="str">
        <f>IMPRODUCT(COMPLEX(1-BESSELJ(2*G28,1)/G28,(STRUVE(2*G28)/(2*G28^2))),PI()*(BASE!F$15/100)^2*F$2*F$3)</f>
        <v>0.00257274219162414+0.138114023485131i</v>
      </c>
      <c r="N28" s="2" t="str">
        <f>IMPRODUCT(COMPLEX(1-BESSELJ(2*H28,1)/H28,(STRUVE(2*H28)/(2*H28^2))),PI()*(BASE!G$15/100)^2*G$2*G$3)</f>
        <v>0.00257274219162414+0.138114023485131i</v>
      </c>
      <c r="O28" s="2" t="str">
        <f>IMSUM(IMPRODUCT(IF($O$3=1,L28,COMPLEX(I28,$D28*BASE!K$15)),2),COMPLEX(BASE!E$36,$D28*BASE!K$14-BASE!K$10/$D28))</f>
        <v>0.805145484383248-3.22369093970214i</v>
      </c>
      <c r="P28" s="2" t="str">
        <f>IMSUM(IMPRODUCT(IF($O$3=1,M28,COMPLEX(J28,$D28*BASE!L$15)),2),COMPLEX(BASE!F$36,$D28*BASE!L$14-BASE!L$10/$D28))</f>
        <v>0.805145484383248-7.48070803008805i</v>
      </c>
      <c r="Q28" s="2" t="str">
        <f>IMSUM(IMPRODUCT(IF($O$3=1,N28,COMPLEX(K28,$D28*BASE!M$15)),2),COMPLEX(BASE!G$36,$D28*BASE!M$14-BASE!M$10/$D28))</f>
        <v>0.805145484383248-15.9947422108598i</v>
      </c>
      <c r="R28" s="2" t="str">
        <f>COMPLEX(BASE!E$19,FRES!$D28*BASE!K$36)</f>
        <v>7.2+0.0480680887374125i</v>
      </c>
      <c r="S28" s="2" t="str">
        <f>COMPLEX(BASE!F$19,FRES!$D28*BASE!L$36)</f>
        <v>7.2+0.0480680887374125i</v>
      </c>
      <c r="T28" s="2" t="str">
        <f>COMPLEX(BASE!G$19,FRES!$D28*BASE!M$36)</f>
        <v>7.2+0.0480680887374125i</v>
      </c>
      <c r="U28" s="2" t="str">
        <f>IMDIV(BASE!K$21*BASE!E$38,IMPRODUCT(FRES!R28,IMSUM(FRES!O28,IMDIV(BASE!K$21^2,FRES!R28))))</f>
        <v>0.17217980592985+0.260164657153515i</v>
      </c>
      <c r="V28" s="2" t="str">
        <f>IMDIV(BASE!L$21*BASE!F$38,IMPRODUCT(FRES!S28,IMSUM(FRES!P28,IMDIV(BASE!L$21^2,FRES!S28))))</f>
        <v>0.0429257363774701+0.148671962596101i</v>
      </c>
      <c r="W28" s="2" t="str">
        <f>IMDIV(BASE!M$21*BASE!G$38,IMPRODUCT(FRES!T28,IMSUM(FRES!Q28,IMDIV(BASE!M$21^2,FRES!T28))))</f>
        <v>0.0102358345556615+0.0738832502335149i</v>
      </c>
      <c r="X28" s="2" t="str">
        <f t="shared" si="2"/>
        <v>0.00150683726777811-0.000997241328520685i</v>
      </c>
      <c r="Y28" s="2" t="str">
        <f t="shared" si="25"/>
        <v>0.000861087191337169-0.000248619854933729i</v>
      </c>
      <c r="Z28" s="2" t="str">
        <f t="shared" si="25"/>
        <v>0.000427921440731065-0.0000592845205956651i</v>
      </c>
      <c r="AA28" s="44" t="str">
        <f>IMPRODUCT(COMPLEX(0,$D28),U28,E$2,BASE!E$15^2/10000,1/(2*BASE!$U$3))</f>
        <v>-0.106970147058905+0.0707940093108875i</v>
      </c>
      <c r="AB28" s="44" t="str">
        <f>IMPRODUCT(COMPLEX(0,$D28),V28,F$2,BASE!F$15^2/10000,1/(2*BASE!$U$3))</f>
        <v>-0.0611284479469355+0.0176494854572053i</v>
      </c>
      <c r="AC28" s="44" t="str">
        <f>IMPRODUCT(COMPLEX(0,$D28),W28,G$2,BASE!G$15^2/10000,1/(2*BASE!$U$3))</f>
        <v>-0.0303780775957031+0.00420859904519487i</v>
      </c>
      <c r="AD28" s="44">
        <f t="shared" si="6"/>
        <v>2.5569592726976236</v>
      </c>
      <c r="AE28" s="44">
        <f t="shared" si="7"/>
        <v>2.8605090907709929</v>
      </c>
      <c r="AF28" s="44">
        <f t="shared" si="8"/>
        <v>3.0039282807125907</v>
      </c>
      <c r="AG28" s="31">
        <f t="shared" si="9"/>
        <v>76.142221679387404</v>
      </c>
      <c r="AH28" s="31">
        <f t="shared" si="10"/>
        <v>70.052010557460264</v>
      </c>
      <c r="AI28" s="31">
        <f t="shared" si="11"/>
        <v>63.713172347831261</v>
      </c>
      <c r="AJ28" s="2" t="str">
        <f>IMSUM(R28,IMDIV(BASE!K$21^2,FRES!O28))</f>
        <v>7.88430203329311+2.78791859716643i</v>
      </c>
      <c r="AK28" s="2" t="str">
        <f>IMSUM(S28,IMDIV(BASE!L$21^2,FRES!P28))</f>
        <v>7.33345870184804+1.28804968456603i</v>
      </c>
      <c r="AL28" s="2" t="str">
        <f>IMSUM(T28,IMDIV(BASE!M$21^2,FRES!Q28))</f>
        <v>7.22945647286336+0.633240208595306i</v>
      </c>
      <c r="AM28" s="31">
        <f t="shared" si="24"/>
        <v>0.31198002244029477</v>
      </c>
      <c r="AN28" s="31">
        <f t="shared" si="24"/>
        <v>0.15474485873761529</v>
      </c>
      <c r="AO28" s="31">
        <f t="shared" si="24"/>
        <v>7.4588919915219667E-2</v>
      </c>
      <c r="AP28" s="31">
        <f t="shared" si="12"/>
        <v>2.5554055720666731</v>
      </c>
      <c r="AQ28" s="31">
        <f t="shared" si="13"/>
        <v>1.2675038330136938</v>
      </c>
      <c r="AR28" s="31">
        <f t="shared" si="14"/>
        <v>0.61095239392215861</v>
      </c>
      <c r="AS28" s="2">
        <f t="shared" si="15"/>
        <v>118.13905415068969</v>
      </c>
      <c r="AT28" s="2">
        <f t="shared" si="16"/>
        <v>119.10528323111014</v>
      </c>
      <c r="AU28" s="2">
        <f t="shared" si="17"/>
        <v>119.56180069137895</v>
      </c>
      <c r="AV28" s="2">
        <f t="shared" si="18"/>
        <v>118.13905415068969</v>
      </c>
      <c r="AW28" s="2">
        <f t="shared" si="19"/>
        <v>119.10528323111014</v>
      </c>
      <c r="AX28" s="2">
        <f t="shared" si="20"/>
        <v>119.56180069137895</v>
      </c>
      <c r="AY28">
        <f t="shared" si="21"/>
        <v>8.3626974509793364</v>
      </c>
      <c r="AZ28">
        <f t="shared" si="22"/>
        <v>7.4457161187908181</v>
      </c>
      <c r="BA28">
        <f t="shared" si="23"/>
        <v>7.2571367669906666</v>
      </c>
    </row>
    <row r="29" spans="1:53" x14ac:dyDescent="0.2">
      <c r="A29" s="2">
        <v>25</v>
      </c>
      <c r="B29" s="42">
        <f t="shared" si="26"/>
        <v>503.96841995794921</v>
      </c>
      <c r="C29" s="43">
        <v>28.284271247461902</v>
      </c>
      <c r="D29" s="2">
        <f t="shared" si="1"/>
        <v>177.71531752633464</v>
      </c>
      <c r="E29" s="2"/>
      <c r="F29" s="2">
        <f>$D29*BASE!E$15/100/E$3</f>
        <v>3.2546700593485703E-2</v>
      </c>
      <c r="G29" s="2">
        <f>$D29*BASE!F$15/100/F$3</f>
        <v>3.2546700593485703E-2</v>
      </c>
      <c r="H29" s="2">
        <f>$D29*BASE!G$15/100/G$3</f>
        <v>3.2546700593485703E-2</v>
      </c>
      <c r="I29" s="2">
        <f>(1-BESSELJ(2*F29,1)/F29)*BASE!K$13*E$2*E$3</f>
        <v>2.7256984411023885E-3</v>
      </c>
      <c r="J29" s="2">
        <f>(1-BESSELJ(2*G29,1)/G29)*BASE!L$13*F$2*F$3</f>
        <v>2.7256984411023885E-3</v>
      </c>
      <c r="K29" s="2">
        <f>(1-BESSELJ(2*H29,1)/H29)*BASE!M$13*G$2*G$3</f>
        <v>2.7256984411023885E-3</v>
      </c>
      <c r="L29" s="2" t="str">
        <f>IMPRODUCT(COMPLEX(1-BESSELJ(2*F29,1)/F29,(STRUVE(2*F29)/(2*F29^2))),PI()*(BASE!E$15/100)^2*E$2*E$3)</f>
        <v>0.00272569844110239+0.142158819364404i</v>
      </c>
      <c r="M29" s="2" t="str">
        <f>IMPRODUCT(COMPLEX(1-BESSELJ(2*G29,1)/G29,(STRUVE(2*G29)/(2*G29^2))),PI()*(BASE!F$15/100)^2*F$2*F$3)</f>
        <v>0.00272569844110239+0.142158819364404i</v>
      </c>
      <c r="N29" s="2" t="str">
        <f>IMPRODUCT(COMPLEX(1-BESSELJ(2*H29,1)/H29,(STRUVE(2*H29)/(2*H29^2))),PI()*(BASE!G$15/100)^2*G$2*G$3)</f>
        <v>0.00272569844110239+0.142158819364404i</v>
      </c>
      <c r="O29" s="2" t="str">
        <f>IMSUM(IMPRODUCT(IF($O$3=1,L29,COMPLEX(I29,$D29*BASE!K$15)),2),COMPLEX(BASE!E$36,$D29*BASE!K$14-BASE!K$10/$D29))</f>
        <v>0.805451396882205-3.07238885729096i</v>
      </c>
      <c r="P29" s="2" t="str">
        <f>IMSUM(IMPRODUCT(IF($O$3=1,M29,COMPLEX(J29,$D29*BASE!L$15)),2),COMPLEX(BASE!F$36,$D29*BASE!L$14-BASE!L$10/$D29))</f>
        <v>0.805451396882205-7.20821693463766i</v>
      </c>
      <c r="Q29" s="2" t="str">
        <f>IMSUM(IMPRODUCT(IF($O$3=1,N29,COMPLEX(K29,$D29*BASE!M$15)),2),COMPLEX(BASE!G$36,$D29*BASE!M$14-BASE!M$10/$D29))</f>
        <v>0.805451396882205-15.4798730893311i</v>
      </c>
      <c r="R29" s="2" t="str">
        <f>COMPLEX(BASE!E$19,FRES!$D29*BASE!K$36)</f>
        <v>7.2+0.0494765912485965i</v>
      </c>
      <c r="S29" s="2" t="str">
        <f>COMPLEX(BASE!F$19,FRES!$D29*BASE!L$36)</f>
        <v>7.2+0.0494765912485965i</v>
      </c>
      <c r="T29" s="2" t="str">
        <f>COMPLEX(BASE!G$19,FRES!$D29*BASE!M$36)</f>
        <v>7.2+0.0494765912485965i</v>
      </c>
      <c r="U29" s="2" t="str">
        <f>IMDIV(BASE!K$21*BASE!E$38,IMPRODUCT(FRES!R29,IMSUM(FRES!O29,IMDIV(BASE!K$21^2,FRES!R29))))</f>
        <v>0.183933048763842+0.26485693438158i</v>
      </c>
      <c r="V29" s="2" t="str">
        <f>IMDIV(BASE!L$21*BASE!F$38,IMPRODUCT(FRES!S29,IMSUM(FRES!P29,IMDIV(BASE!L$21^2,FRES!S29))))</f>
        <v>0.0459623968406451+0.153390499468071i</v>
      </c>
      <c r="W29" s="2" t="str">
        <f>IMDIV(BASE!M$21*BASE!G$38,IMPRODUCT(FRES!T29,IMSUM(FRES!Q29,IMDIV(BASE!M$21^2,FRES!T29))))</f>
        <v>0.0109141291619232+0.0762452626822817i</v>
      </c>
      <c r="X29" s="2" t="str">
        <f t="shared" si="2"/>
        <v>0.0014903438716943-0.0010349870305163i</v>
      </c>
      <c r="Y29" s="2" t="str">
        <f t="shared" si="25"/>
        <v>0.0008631248088412-0.000258629348783253i</v>
      </c>
      <c r="Z29" s="2" t="str">
        <f t="shared" si="25"/>
        <v>0.000429030337640891-0.0000614135535070345i</v>
      </c>
      <c r="AA29" s="44" t="str">
        <f>IMPRODUCT(COMPLEX(0,$D29),U29,E$2,BASE!E$15^2/10000,1/(2*BASE!$U$3))</f>
        <v>-0.112090436166434+0.0778425368001047i</v>
      </c>
      <c r="AB29" s="44" t="str">
        <f>IMPRODUCT(COMPLEX(0,$D29),V29,F$2,BASE!F$15^2/10000,1/(2*BASE!$U$3))</f>
        <v>-0.0649165861158553+0.0194518037488882i</v>
      </c>
      <c r="AC29" s="44" t="str">
        <f>IMPRODUCT(COMPLEX(0,$D29),W29,G$2,BASE!G$15^2/10000,1/(2*BASE!$U$3))</f>
        <v>-0.0322678534720505+0.00461898232339373i</v>
      </c>
      <c r="AD29" s="44">
        <f t="shared" si="6"/>
        <v>2.5345932161132305</v>
      </c>
      <c r="AE29" s="44">
        <f t="shared" si="7"/>
        <v>2.8504633699012638</v>
      </c>
      <c r="AF29" s="44">
        <f t="shared" si="8"/>
        <v>2.9994134970557909</v>
      </c>
      <c r="AG29" s="31">
        <f t="shared" si="9"/>
        <v>76.6800659185607</v>
      </c>
      <c r="AH29" s="31">
        <f t="shared" si="10"/>
        <v>70.599925611830429</v>
      </c>
      <c r="AI29" s="31">
        <f t="shared" si="11"/>
        <v>64.242891249207105</v>
      </c>
      <c r="AJ29" s="2" t="str">
        <f>IMSUM(R29,IMDIV(BASE!K$21^2,FRES!O29))</f>
        <v>7.94916971689112+2.90717936425989i</v>
      </c>
      <c r="AK29" s="2" t="str">
        <f>IMSUM(S29,IMDIV(BASE!L$21^2,FRES!P29))</f>
        <v>7.34366618842938+1.33518676119812i</v>
      </c>
      <c r="AL29" s="2" t="str">
        <f>IMSUM(T29,IMDIV(BASE!M$21^2,FRES!Q29))</f>
        <v>7.23145504425209+0.654007286615794i</v>
      </c>
      <c r="AM29" s="31">
        <f t="shared" si="24"/>
        <v>0.32246017136627969</v>
      </c>
      <c r="AN29" s="31">
        <f t="shared" si="24"/>
        <v>0.16012865842940557</v>
      </c>
      <c r="AO29" s="31">
        <f t="shared" si="24"/>
        <v>7.7022453199396865E-2</v>
      </c>
      <c r="AP29" s="31">
        <f t="shared" si="12"/>
        <v>2.5660565111601517</v>
      </c>
      <c r="AQ29" s="31">
        <f t="shared" si="13"/>
        <v>1.2742633759856772</v>
      </c>
      <c r="AR29" s="31">
        <f t="shared" si="14"/>
        <v>0.61292520778740756</v>
      </c>
      <c r="AS29" s="2">
        <f t="shared" si="15"/>
        <v>118.0678607814321</v>
      </c>
      <c r="AT29" s="2">
        <f t="shared" si="16"/>
        <v>119.07330670844335</v>
      </c>
      <c r="AU29" s="2">
        <f t="shared" si="17"/>
        <v>119.54742968865955</v>
      </c>
      <c r="AV29" s="2">
        <f t="shared" si="18"/>
        <v>118.0678607814321</v>
      </c>
      <c r="AW29" s="2">
        <f t="shared" si="19"/>
        <v>119.07330670844335</v>
      </c>
      <c r="AX29" s="2">
        <f t="shared" si="20"/>
        <v>119.54742968865955</v>
      </c>
      <c r="AY29">
        <f t="shared" si="21"/>
        <v>8.4641001319642601</v>
      </c>
      <c r="AZ29">
        <f t="shared" si="22"/>
        <v>7.4640576615109051</v>
      </c>
      <c r="BA29">
        <f t="shared" si="23"/>
        <v>7.2609687775107234</v>
      </c>
    </row>
    <row r="30" spans="1:53" x14ac:dyDescent="0.2">
      <c r="A30" s="2">
        <v>26</v>
      </c>
      <c r="B30" s="42">
        <f t="shared" si="26"/>
        <v>634.96042078727976</v>
      </c>
      <c r="C30" s="43">
        <v>29.113063656843746</v>
      </c>
      <c r="D30" s="2">
        <f t="shared" si="1"/>
        <v>182.92277381566461</v>
      </c>
      <c r="E30" s="2"/>
      <c r="F30" s="2">
        <f>$D30*BASE!E$15/100/E$3</f>
        <v>3.3500391716240904E-2</v>
      </c>
      <c r="G30" s="2">
        <f>$D30*BASE!F$15/100/F$3</f>
        <v>3.3500391716240904E-2</v>
      </c>
      <c r="H30" s="2">
        <f>$D30*BASE!G$15/100/G$3</f>
        <v>3.3500391716240904E-2</v>
      </c>
      <c r="I30" s="2">
        <f>(1-BESSELJ(2*F30,1)/F30)*BASE!K$13*E$2*E$3</f>
        <v>2.8877466352386976E-3</v>
      </c>
      <c r="J30" s="2">
        <f>(1-BESSELJ(2*G30,1)/G30)*BASE!L$13*F$2*F$3</f>
        <v>2.8877466352386976E-3</v>
      </c>
      <c r="K30" s="2">
        <f>(1-BESSELJ(2*H30,1)/H30)*BASE!M$13*G$2*G$3</f>
        <v>2.8877466352386976E-3</v>
      </c>
      <c r="L30" s="2" t="str">
        <f>IMPRODUCT(COMPLEX(1-BESSELJ(2*F30,1)/F30,(STRUVE(2*F30)/(2*F30^2))),PI()*(BASE!E$15/100)^2*E$2*E$3)</f>
        <v>0.0028877466352387+0.146321932846852i</v>
      </c>
      <c r="M30" s="2" t="str">
        <f>IMPRODUCT(COMPLEX(1-BESSELJ(2*G30,1)/G30,(STRUVE(2*G30)/(2*G30^2))),PI()*(BASE!F$15/100)^2*F$2*F$3)</f>
        <v>0.0028877466352387+0.146321932846852i</v>
      </c>
      <c r="N30" s="2" t="str">
        <f>IMPRODUCT(COMPLEX(1-BESSELJ(2*H30,1)/H30,(STRUVE(2*H30)/(2*H30^2))),PI()*(BASE!G$15/100)^2*G$2*G$3)</f>
        <v>0.0028877466352387+0.146321932846852i</v>
      </c>
      <c r="O30" s="2" t="str">
        <f>IMSUM(IMPRODUCT(IF($O$3=1,L30,COMPLEX(I30,$D30*BASE!K$15)),2),COMPLEX(BASE!E$36,$D30*BASE!K$14-BASE!K$10/$D30))</f>
        <v>0.805775493270477-2.92364969344858i</v>
      </c>
      <c r="P30" s="2" t="str">
        <f>IMSUM(IMPRODUCT(IF($O$3=1,M30,COMPLEX(J30,$D30*BASE!L$15)),2),COMPLEX(BASE!F$36,$D30*BASE!L$14-BASE!L$10/$D30))</f>
        <v>0.805775493270477-6.94173877371082i</v>
      </c>
      <c r="Q30" s="2" t="str">
        <f>IMSUM(IMPRODUCT(IF($O$3=1,N30,COMPLEX(K30,$D30*BASE!M$15)),2),COMPLEX(BASE!G$36,$D30*BASE!M$14-BASE!M$10/$D30))</f>
        <v>0.805775493270477-14.9779169342353i</v>
      </c>
      <c r="R30" s="2" t="str">
        <f>COMPLEX(BASE!E$19,FRES!$D30*BASE!K$36)</f>
        <v>7.2+0.0509263660336762i</v>
      </c>
      <c r="S30" s="2" t="str">
        <f>COMPLEX(BASE!F$19,FRES!$D30*BASE!L$36)</f>
        <v>7.2+0.0509263660336762i</v>
      </c>
      <c r="T30" s="2" t="str">
        <f>COMPLEX(BASE!G$19,FRES!$D30*BASE!M$36)</f>
        <v>7.2+0.0509263660336762i</v>
      </c>
      <c r="U30" s="2" t="str">
        <f>IMDIV(BASE!K$21*BASE!E$38,IMPRODUCT(FRES!R30,IMSUM(FRES!O30,IMDIV(BASE!K$21^2,FRES!R30))))</f>
        <v>0.196489886588134+0.269214760062616i</v>
      </c>
      <c r="V30" s="2" t="str">
        <f>IMDIV(BASE!L$21*BASE!F$38,IMPRODUCT(FRES!S30,IMSUM(FRES!P30,IMDIV(BASE!L$21^2,FRES!S30))))</f>
        <v>0.0492441919866732+0.158266906170788i</v>
      </c>
      <c r="W30" s="2" t="str">
        <f>IMDIV(BASE!M$21*BASE!G$38,IMPRODUCT(FRES!T30,IMSUM(FRES!Q30,IMDIV(BASE!M$21^2,FRES!T30))))</f>
        <v>0.0116419622762784+0.0786946919145112i</v>
      </c>
      <c r="X30" s="2" t="str">
        <f t="shared" si="2"/>
        <v>0.00147173998320138-0.00107416852745815i</v>
      </c>
      <c r="Y30" s="2" t="str">
        <f t="shared" si="25"/>
        <v>0.000865211601975142-0.00026920755114012i</v>
      </c>
      <c r="Z30" s="2" t="str">
        <f t="shared" si="25"/>
        <v>0.000430207186743262-0.0000636441380886244i</v>
      </c>
      <c r="AA30" s="44" t="str">
        <f>IMPRODUCT(COMPLEX(0,$D30),U30,E$2,BASE!E$15^2/10000,1/(2*BASE!$U$3))</f>
        <v>-0.117273259092326+0.08559341015891i</v>
      </c>
      <c r="AB30" s="44" t="str">
        <f>IMPRODUCT(COMPLEX(0,$D30),V30,F$2,BASE!F$15^2/10000,1/(2*BASE!$U$3))</f>
        <v>-0.0689430099924342+0.0214513754160514i</v>
      </c>
      <c r="AC30" s="44" t="str">
        <f>IMPRODUCT(COMPLEX(0,$D30),W30,G$2,BASE!G$15^2/10000,1/(2*BASE!$U$3))</f>
        <v>-0.0342803752362417+0.00507138188876247i</v>
      </c>
      <c r="AD30" s="44">
        <f t="shared" si="6"/>
        <v>2.5111042894318447</v>
      </c>
      <c r="AE30" s="44">
        <f t="shared" si="7"/>
        <v>2.8399413529186095</v>
      </c>
      <c r="AF30" s="44">
        <f t="shared" si="8"/>
        <v>2.9947196043110678</v>
      </c>
      <c r="AG30" s="31">
        <f t="shared" si="9"/>
        <v>77.217951459932351</v>
      </c>
      <c r="AH30" s="31">
        <f t="shared" si="10"/>
        <v>71.150527370160418</v>
      </c>
      <c r="AI30" s="31">
        <f t="shared" si="11"/>
        <v>64.774334872624578</v>
      </c>
      <c r="AJ30" s="2" t="str">
        <f>IMSUM(R30,IMDIV(BASE!K$21^2,FRES!O30))</f>
        <v>8.02210585113806+3.03382860088147i</v>
      </c>
      <c r="AK30" s="2" t="str">
        <f>IMSUM(S30,IMDIV(BASE!L$21^2,FRES!P30))</f>
        <v>7.35481923814964+1.38469081699472i</v>
      </c>
      <c r="AL30" s="2" t="str">
        <f>IMSUM(T30,IMDIV(BASE!M$21^2,FRES!Q30))</f>
        <v>7.23360594088709+0.675600354393174i</v>
      </c>
      <c r="AM30" s="31">
        <f t="shared" si="24"/>
        <v>0.3332939581915485</v>
      </c>
      <c r="AN30" s="31">
        <f t="shared" si="24"/>
        <v>0.165751030263143</v>
      </c>
      <c r="AO30" s="31">
        <f t="shared" si="24"/>
        <v>7.9551177371313134E-2</v>
      </c>
      <c r="AP30" s="31">
        <f t="shared" si="12"/>
        <v>2.5767640961233567</v>
      </c>
      <c r="AQ30" s="31">
        <f t="shared" si="13"/>
        <v>1.2814552834830033</v>
      </c>
      <c r="AR30" s="31">
        <f t="shared" si="14"/>
        <v>0.61502650323152064</v>
      </c>
      <c r="AS30" s="2">
        <f t="shared" si="15"/>
        <v>117.99309320564679</v>
      </c>
      <c r="AT30" s="2">
        <f t="shared" si="16"/>
        <v>119.03981408816163</v>
      </c>
      <c r="AU30" s="2">
        <f t="shared" si="17"/>
        <v>119.53248856400623</v>
      </c>
      <c r="AV30" s="2">
        <f t="shared" si="18"/>
        <v>117.99309320564679</v>
      </c>
      <c r="AW30" s="2">
        <f t="shared" si="19"/>
        <v>119.03981408816163</v>
      </c>
      <c r="AX30" s="2">
        <f t="shared" si="20"/>
        <v>119.53248856400623</v>
      </c>
      <c r="AY30">
        <f t="shared" si="21"/>
        <v>8.5766134497475122</v>
      </c>
      <c r="AZ30">
        <f t="shared" si="22"/>
        <v>7.4840319804584974</v>
      </c>
      <c r="BA30">
        <f t="shared" si="23"/>
        <v>7.2650871121338376</v>
      </c>
    </row>
    <row r="31" spans="1:53" x14ac:dyDescent="0.2">
      <c r="A31" s="2">
        <v>27</v>
      </c>
      <c r="B31" s="42">
        <f t="shared" si="26"/>
        <v>800</v>
      </c>
      <c r="C31" s="43">
        <v>29.96614153753363</v>
      </c>
      <c r="D31" s="2">
        <f t="shared" si="1"/>
        <v>188.2828202214952</v>
      </c>
      <c r="E31" s="2"/>
      <c r="F31" s="2">
        <f>$D31*BASE!E$15/100/E$3</f>
        <v>3.4482028121959878E-2</v>
      </c>
      <c r="G31" s="2">
        <f>$D31*BASE!F$15/100/F$3</f>
        <v>3.4482028121959878E-2</v>
      </c>
      <c r="H31" s="2">
        <f>$D31*BASE!G$15/100/G$3</f>
        <v>3.4482028121959878E-2</v>
      </c>
      <c r="I31" s="2">
        <f>(1-BESSELJ(2*F31,1)/F31)*BASE!K$13*E$2*E$3</f>
        <v>3.0594270042457747E-3</v>
      </c>
      <c r="J31" s="2">
        <f>(1-BESSELJ(2*G31,1)/G31)*BASE!L$13*F$2*F$3</f>
        <v>3.0594270042457747E-3</v>
      </c>
      <c r="K31" s="2">
        <f>(1-BESSELJ(2*H31,1)/H31)*BASE!M$13*G$2*G$3</f>
        <v>3.0594270042457747E-3</v>
      </c>
      <c r="L31" s="2" t="str">
        <f>IMPRODUCT(COMPLEX(1-BESSELJ(2*F31,1)/F31,(STRUVE(2*F31)/(2*F31^2))),PI()*(BASE!E$15/100)^2*E$2*E$3)</f>
        <v>0.00305942700424577+0.15060681244801i</v>
      </c>
      <c r="M31" s="2" t="str">
        <f>IMPRODUCT(COMPLEX(1-BESSELJ(2*G31,1)/G31,(STRUVE(2*G31)/(2*G31^2))),PI()*(BASE!F$15/100)^2*F$2*F$3)</f>
        <v>0.00305942700424577+0.15060681244801i</v>
      </c>
      <c r="N31" s="2" t="str">
        <f>IMPRODUCT(COMPLEX(1-BESSELJ(2*H31,1)/H31,(STRUVE(2*H31)/(2*H31^2))),PI()*(BASE!G$15/100)^2*G$2*G$3)</f>
        <v>0.00305942700424577+0.15060681244801i</v>
      </c>
      <c r="O31" s="2" t="str">
        <f>IMSUM(IMPRODUCT(IF($O$3=1,L31,COMPLEX(I31,$D31*BASE!K$15)),2),COMPLEX(BASE!E$36,$D31*BASE!K$14-BASE!K$10/$D31))</f>
        <v>0.806118854008492-2.77734937326699i</v>
      </c>
      <c r="P31" s="2" t="str">
        <f>IMSUM(IMPRODUCT(IF($O$3=1,M31,COMPLEX(J31,$D31*BASE!L$15)),2),COMPLEX(BASE!F$36,$D31*BASE!L$14-BASE!L$10/$D31))</f>
        <v>0.806118854008492-6.68105125714226i</v>
      </c>
      <c r="Q31" s="2" t="str">
        <f>IMSUM(IMPRODUCT(IF($O$3=1,N31,COMPLEX(K31,$D31*BASE!M$15)),2),COMPLEX(BASE!G$36,$D31*BASE!M$14-BASE!M$10/$D31))</f>
        <v>0.806118854008492-14.4884550248928i</v>
      </c>
      <c r="R31" s="2" t="str">
        <f>COMPLEX(BASE!E$19,FRES!$D31*BASE!K$36)</f>
        <v>7.2+0.0524186224625881i</v>
      </c>
      <c r="S31" s="2" t="str">
        <f>COMPLEX(BASE!F$19,FRES!$D31*BASE!L$36)</f>
        <v>7.2+0.0524186224625881i</v>
      </c>
      <c r="T31" s="2" t="str">
        <f>COMPLEX(BASE!G$19,FRES!$D31*BASE!M$36)</f>
        <v>7.2+0.0524186224625881i</v>
      </c>
      <c r="U31" s="2" t="str">
        <f>IMDIV(BASE!K$21*BASE!E$38,IMPRODUCT(FRES!R31,IMSUM(FRES!O31,IMDIV(BASE!K$21^2,FRES!R31))))</f>
        <v>0.209889939003778+0.273154171162574i</v>
      </c>
      <c r="V31" s="2" t="str">
        <f>IMDIV(BASE!L$21*BASE!F$38,IMPRODUCT(FRES!S31,IMSUM(FRES!P31,IMDIV(BASE!L$21^2,FRES!S31))))</f>
        <v>0.0527945433112034+0.163304828126333i</v>
      </c>
      <c r="W31" s="2" t="str">
        <f>IMDIV(BASE!M$21*BASE!G$38,IMPRODUCT(FRES!T31,IMSUM(FRES!Q31,IMDIV(BASE!M$21^2,FRES!T31))))</f>
        <v>0.0124235425721077+0.0812357890916869i</v>
      </c>
      <c r="X31" s="2" t="str">
        <f t="shared" si="2"/>
        <v>0.00145076524157242-0.00111475884393948i</v>
      </c>
      <c r="Y31" s="2" t="str">
        <f t="shared" si="25"/>
        <v>0.000867337911840401-0.000280400215213986i</v>
      </c>
      <c r="Z31" s="2" t="str">
        <f t="shared" si="25"/>
        <v>0.000431456194442602-0.0000659834102627776i</v>
      </c>
      <c r="AA31" s="44" t="str">
        <f>IMPRODUCT(COMPLEX(0,$D31),U31,E$2,BASE!E$15^2/10000,1/(2*BASE!$U$3))</f>
        <v>-0.122475968062958+0.0941097599086748i</v>
      </c>
      <c r="AB31" s="44" t="str">
        <f>IMPRODUCT(COMPLEX(0,$D31),V31,F$2,BASE!F$15^2/10000,1/(2*BASE!$U$3))</f>
        <v>-0.0732220812481153+0.0236718435342251i</v>
      </c>
      <c r="AC31" s="44" t="str">
        <f>IMPRODUCT(COMPLEX(0,$D31),W31,G$2,BASE!G$15^2/10000,1/(2*BASE!$U$3))</f>
        <v>-0.0364242356908436+0.00557042712111709i</v>
      </c>
      <c r="AD31" s="44">
        <f t="shared" si="6"/>
        <v>2.4864231432795791</v>
      </c>
      <c r="AE31" s="44">
        <f t="shared" si="7"/>
        <v>2.8289096898638273</v>
      </c>
      <c r="AF31" s="44">
        <f t="shared" si="8"/>
        <v>2.9898365747675673</v>
      </c>
      <c r="AG31" s="31">
        <f t="shared" si="9"/>
        <v>77.755560151381985</v>
      </c>
      <c r="AH31" s="31">
        <f t="shared" si="10"/>
        <v>71.70395897426117</v>
      </c>
      <c r="AI31" s="31">
        <f t="shared" si="11"/>
        <v>65.307612927767522</v>
      </c>
      <c r="AJ31" s="2" t="str">
        <f>IMSUM(R31,IMDIV(BASE!K$21^2,FRES!O31))</f>
        <v>8.10442199544561+3.16845523384951i</v>
      </c>
      <c r="AK31" s="2" t="str">
        <f>IMSUM(S31,IMDIV(BASE!L$21^2,FRES!P31))</f>
        <v>7.3670292164412+1.43674396224956i</v>
      </c>
      <c r="AL31" s="2" t="str">
        <f>IMSUM(T31,IMDIV(BASE!M$21^2,FRES!Q31))</f>
        <v>7.23592299362853+0.698066190384274i</v>
      </c>
      <c r="AM31" s="31">
        <f t="shared" si="24"/>
        <v>0.34448075086791491</v>
      </c>
      <c r="AN31" s="31">
        <f t="shared" si="24"/>
        <v>0.17162671905274454</v>
      </c>
      <c r="AO31" s="31">
        <f t="shared" si="24"/>
        <v>8.2180276462117161E-2</v>
      </c>
      <c r="AP31" s="31">
        <f t="shared" si="12"/>
        <v>2.5874338895113702</v>
      </c>
      <c r="AQ31" s="31">
        <f t="shared" si="13"/>
        <v>1.2891077022558799</v>
      </c>
      <c r="AR31" s="31">
        <f t="shared" si="14"/>
        <v>0.61726535323602671</v>
      </c>
      <c r="AS31" s="2">
        <f t="shared" si="15"/>
        <v>117.91453067742066</v>
      </c>
      <c r="AT31" s="2">
        <f t="shared" si="16"/>
        <v>119.00469921404778</v>
      </c>
      <c r="AU31" s="2">
        <f t="shared" si="17"/>
        <v>119.51694539822398</v>
      </c>
      <c r="AV31" s="2">
        <f t="shared" si="18"/>
        <v>117.91453067742066</v>
      </c>
      <c r="AW31" s="2">
        <f t="shared" si="19"/>
        <v>119.00469921404778</v>
      </c>
      <c r="AX31" s="2">
        <f t="shared" si="20"/>
        <v>119.51694539822398</v>
      </c>
      <c r="AY31">
        <f t="shared" si="21"/>
        <v>8.7017678921682915</v>
      </c>
      <c r="AZ31">
        <f t="shared" si="22"/>
        <v>7.5058212534644593</v>
      </c>
      <c r="BA31">
        <f t="shared" si="23"/>
        <v>7.2695170386951888</v>
      </c>
    </row>
    <row r="32" spans="1:53" x14ac:dyDescent="0.2">
      <c r="A32" s="2">
        <v>28</v>
      </c>
      <c r="B32" s="42">
        <f t="shared" ref="B32:B85" si="27">1000*2^(($A32-28)/1.5)</f>
        <v>1000</v>
      </c>
      <c r="C32" s="43">
        <v>30.844216508158816</v>
      </c>
      <c r="D32" s="2">
        <f t="shared" si="1"/>
        <v>193.79992797552953</v>
      </c>
      <c r="E32" s="2"/>
      <c r="F32" s="2">
        <f>$D32*BASE!E$15/100/E$3</f>
        <v>3.5492428669937091E-2</v>
      </c>
      <c r="G32" s="2">
        <f>$D32*BASE!F$15/100/F$3</f>
        <v>3.5492428669937091E-2</v>
      </c>
      <c r="H32" s="2">
        <f>$D32*BASE!G$15/100/G$3</f>
        <v>3.5492428669937091E-2</v>
      </c>
      <c r="I32" s="2">
        <f>(1-BESSELJ(2*F32,1)/F32)*BASE!K$13*E$2*E$3</f>
        <v>3.2413118525109843E-3</v>
      </c>
      <c r="J32" s="2">
        <f>(1-BESSELJ(2*G32,1)/G32)*BASE!L$13*F$2*F$3</f>
        <v>3.2413118525109843E-3</v>
      </c>
      <c r="K32" s="2">
        <f>(1-BESSELJ(2*H32,1)/H32)*BASE!M$13*G$2*G$3</f>
        <v>3.2413118525109843E-3</v>
      </c>
      <c r="L32" s="2" t="str">
        <f>IMPRODUCT(COMPLEX(1-BESSELJ(2*F32,1)/F32,(STRUVE(2*F32)/(2*F32^2))),PI()*(BASE!E$15/100)^2*E$2*E$3)</f>
        <v>0.00324131185251098+0.155017006063152i</v>
      </c>
      <c r="M32" s="2" t="str">
        <f>IMPRODUCT(COMPLEX(1-BESSELJ(2*G32,1)/G32,(STRUVE(2*G32)/(2*G32^2))),PI()*(BASE!F$15/100)^2*F$2*F$3)</f>
        <v>0.00324131185251098+0.155017006063152i</v>
      </c>
      <c r="N32" s="2" t="str">
        <f>IMPRODUCT(COMPLEX(1-BESSELJ(2*H32,1)/H32,(STRUVE(2*H32)/(2*H32^2))),PI()*(BASE!G$15/100)^2*G$2*G$3)</f>
        <v>0.00324131185251098+0.155017006063152i</v>
      </c>
      <c r="O32" s="2" t="str">
        <f>IMSUM(IMPRODUCT(IF($O$3=1,L32,COMPLEX(I32,$D32*BASE!K$15)),2),COMPLEX(BASE!E$36,$D32*BASE!K$14-BASE!K$10/$D32))</f>
        <v>0.806482623705022-2.63336585626734i</v>
      </c>
      <c r="P32" s="2" t="str">
        <f>IMSUM(IMPRODUCT(IF($O$3=1,M32,COMPLEX(J32,$D32*BASE!L$15)),2),COMPLEX(BASE!F$36,$D32*BASE!L$14-BASE!L$10/$D32))</f>
        <v>0.806482623705022-6.42593692519367i</v>
      </c>
      <c r="Q32" s="2" t="str">
        <f>IMSUM(IMPRODUCT(IF($O$3=1,N32,COMPLEX(K32,$D32*BASE!M$15)),2),COMPLEX(BASE!G$36,$D32*BASE!M$14-BASE!M$10/$D32))</f>
        <v>0.806482623705022-14.0110790630463i</v>
      </c>
      <c r="R32" s="2" t="str">
        <f>COMPLEX(BASE!E$19,FRES!$D32*BASE!K$36)</f>
        <v>7.2+0.0539546053425127i</v>
      </c>
      <c r="S32" s="2" t="str">
        <f>COMPLEX(BASE!F$19,FRES!$D32*BASE!L$36)</f>
        <v>7.2+0.0539546053425127i</v>
      </c>
      <c r="T32" s="2" t="str">
        <f>COMPLEX(BASE!G$19,FRES!$D32*BASE!M$36)</f>
        <v>7.2+0.0539546053425127i</v>
      </c>
      <c r="U32" s="2" t="str">
        <f>IMDIV(BASE!K$21*BASE!E$38,IMPRODUCT(FRES!R32,IMSUM(FRES!O32,IMDIV(BASE!K$21^2,FRES!R32))))</f>
        <v>0.224168954675037+0.276578380428317i</v>
      </c>
      <c r="V32" s="2" t="str">
        <f>IMDIV(BASE!L$21*BASE!F$38,IMPRODUCT(FRES!S32,IMSUM(FRES!P32,IMDIV(BASE!L$21^2,FRES!S32))))</f>
        <v>0.0566394995539829+0.168507318334303i</v>
      </c>
      <c r="W32" s="2" t="str">
        <f>IMDIV(BASE!M$21*BASE!G$38,IMPRODUCT(FRES!T32,IMSUM(FRES!Q32,IMDIV(BASE!M$21^2,FRES!T32))))</f>
        <v>0.0132635113771151+0.0838730853464151i</v>
      </c>
      <c r="X32" s="2" t="str">
        <f t="shared" si="2"/>
        <v>0.00142713355633052-0.00115670298238368i</v>
      </c>
      <c r="Y32" s="2" t="str">
        <f t="shared" si="25"/>
        <v>0.000869491129819096-0.000292257588254287i</v>
      </c>
      <c r="Z32" s="2" t="str">
        <f t="shared" si="25"/>
        <v>0.000432781818974697-0.0000684391966275127i</v>
      </c>
      <c r="AA32" s="44" t="str">
        <f>IMPRODUCT(COMPLEX(0,$D32),U32,E$2,BASE!E$15^2/10000,1/(2*BASE!$U$3))</f>
        <v>-0.127645112309989+0.103457368401664i</v>
      </c>
      <c r="AB32" s="44" t="str">
        <f>IMPRODUCT(COMPLEX(0,$D32),V32,F$2,BASE!F$15^2/10000,1/(2*BASE!$U$3))</f>
        <v>-0.0777686800411787+0.0261399870465418i</v>
      </c>
      <c r="AC32" s="44" t="str">
        <f>IMPRODUCT(COMPLEX(0,$D32),W32,G$2,BASE!G$15^2/10000,1/(2*BASE!$U$3))</f>
        <v>-0.0387086994372042+0.00612131142258774i</v>
      </c>
      <c r="AD32" s="44">
        <f t="shared" si="6"/>
        <v>2.4604772331229747</v>
      </c>
      <c r="AE32" s="44">
        <f t="shared" si="7"/>
        <v>2.8173318286080002</v>
      </c>
      <c r="AF32" s="44">
        <f t="shared" si="8"/>
        <v>2.9847535627818762</v>
      </c>
      <c r="AG32" s="31">
        <f t="shared" si="9"/>
        <v>78.292507176760921</v>
      </c>
      <c r="AH32" s="31">
        <f t="shared" si="10"/>
        <v>72.260367950490632</v>
      </c>
      <c r="AI32" s="31">
        <f t="shared" si="11"/>
        <v>65.842842483696302</v>
      </c>
      <c r="AJ32" s="2" t="str">
        <f>IMSUM(R32,IMDIV(BASE!K$21^2,FRES!O32))</f>
        <v>8.19769469843222+3.31167532567299i</v>
      </c>
      <c r="AK32" s="2" t="str">
        <f>IMSUM(S32,IMDIV(BASE!L$21^2,FRES!P32))</f>
        <v>7.38042414262416+1.49154808374713i</v>
      </c>
      <c r="AL32" s="2" t="str">
        <f>IMSUM(T32,IMDIV(BASE!M$21^2,FRES!Q32))</f>
        <v>7.23842158473539+0.72145548587237i</v>
      </c>
      <c r="AM32" s="31">
        <f t="shared" si="24"/>
        <v>0.35601589958939983</v>
      </c>
      <c r="AN32" s="31">
        <f t="shared" si="24"/>
        <v>0.17777162102524616</v>
      </c>
      <c r="AO32" s="31">
        <f t="shared" si="24"/>
        <v>8.4915341249846565E-2</v>
      </c>
      <c r="AP32" s="31">
        <f t="shared" si="12"/>
        <v>2.5979499521968847</v>
      </c>
      <c r="AQ32" s="31">
        <f t="shared" si="13"/>
        <v>1.2972504174031325</v>
      </c>
      <c r="AR32" s="31">
        <f t="shared" si="14"/>
        <v>0.61965155768394031</v>
      </c>
      <c r="AS32" s="2">
        <f t="shared" si="15"/>
        <v>117.83194228033182</v>
      </c>
      <c r="AT32" s="2">
        <f t="shared" si="16"/>
        <v>118.96784573706184</v>
      </c>
      <c r="AU32" s="2">
        <f t="shared" si="17"/>
        <v>119.50076566855763</v>
      </c>
      <c r="AV32" s="2">
        <f t="shared" si="18"/>
        <v>117.83194228033182</v>
      </c>
      <c r="AW32" s="2">
        <f t="shared" si="19"/>
        <v>118.96784573706184</v>
      </c>
      <c r="AX32" s="2">
        <f t="shared" si="20"/>
        <v>119.50076566855763</v>
      </c>
      <c r="AY32">
        <f t="shared" si="21"/>
        <v>8.8413455894097392</v>
      </c>
      <c r="AZ32">
        <f t="shared" si="22"/>
        <v>7.5296332056189375</v>
      </c>
      <c r="BA32">
        <f t="shared" si="23"/>
        <v>7.2742865668365404</v>
      </c>
    </row>
    <row r="33" spans="1:53" x14ac:dyDescent="0.2">
      <c r="A33" s="2">
        <v>29</v>
      </c>
      <c r="B33" s="42">
        <f t="shared" si="27"/>
        <v>1587.4010519681995</v>
      </c>
      <c r="C33" s="43">
        <v>31.748021039363987</v>
      </c>
      <c r="D33" s="2">
        <f t="shared" si="1"/>
        <v>199.47869932656019</v>
      </c>
      <c r="E33" s="2"/>
      <c r="F33" s="2">
        <f>$D33*BASE!E$15/100/E$3</f>
        <v>3.6532436213875849E-2</v>
      </c>
      <c r="G33" s="2">
        <f>$D33*BASE!F$15/100/F$3</f>
        <v>3.6532436213875849E-2</v>
      </c>
      <c r="H33" s="2">
        <f>$D33*BASE!G$15/100/G$3</f>
        <v>3.6532436213875849E-2</v>
      </c>
      <c r="I33" s="2">
        <f>(1-BESSELJ(2*F33,1)/F33)*BASE!K$13*E$2*E$3</f>
        <v>3.4340074597655414E-3</v>
      </c>
      <c r="J33" s="2">
        <f>(1-BESSELJ(2*G33,1)/G33)*BASE!L$13*F$2*F$3</f>
        <v>3.4340074597655414E-3</v>
      </c>
      <c r="K33" s="2">
        <f>(1-BESSELJ(2*H33,1)/H33)*BASE!M$13*G$2*G$3</f>
        <v>3.4340074597655414E-3</v>
      </c>
      <c r="L33" s="2" t="str">
        <f>IMPRODUCT(COMPLEX(1-BESSELJ(2*F33,1)/F33,(STRUVE(2*F33)/(2*F33^2))),PI()*(BASE!E$15/100)^2*E$2*E$3)</f>
        <v>0.00343400745976554+0.159556163728369i</v>
      </c>
      <c r="M33" s="2" t="str">
        <f>IMPRODUCT(COMPLEX(1-BESSELJ(2*G33,1)/G33,(STRUVE(2*G33)/(2*G33^2))),PI()*(BASE!F$15/100)^2*F$2*F$3)</f>
        <v>0.00343400745976554+0.159556163728369i</v>
      </c>
      <c r="N33" s="2" t="str">
        <f>IMPRODUCT(COMPLEX(1-BESSELJ(2*H33,1)/H33,(STRUVE(2*H33)/(2*H33^2))),PI()*(BASE!G$15/100)^2*G$2*G$3)</f>
        <v>0.00343400745976554+0.159556163728369i</v>
      </c>
      <c r="O33" s="2" t="str">
        <f>IMSUM(IMPRODUCT(IF($O$3=1,L33,COMPLEX(I33,$D33*BASE!K$15)),2),COMPLEX(BASE!E$36,$D33*BASE!K$14-BASE!K$10/$D33))</f>
        <v>0.806868014919531-2.49157903459663i</v>
      </c>
      <c r="P33" s="2" t="str">
        <f>IMSUM(IMPRODUCT(IF($O$3=1,M33,COMPLEX(J33,$D33*BASE!L$15)),2),COMPLEX(BASE!F$36,$D33*BASE!L$14-BASE!L$10/$D33))</f>
        <v>0.806868014919531-6.17618296715364i</v>
      </c>
      <c r="Q33" s="2" t="str">
        <f>IMSUM(IMPRODUCT(IF($O$3=1,N33,COMPLEX(K33,$D33*BASE!M$15)),2),COMPLEX(BASE!G$36,$D33*BASE!M$14-BASE!M$10/$D33))</f>
        <v>0.806868014919531-13.5453908322676i</v>
      </c>
      <c r="R33" s="2" t="str">
        <f>COMPLEX(BASE!E$19,FRES!$D33*BASE!K$36)</f>
        <v>7.2+0.0555355959562652i</v>
      </c>
      <c r="S33" s="2" t="str">
        <f>COMPLEX(BASE!F$19,FRES!$D33*BASE!L$36)</f>
        <v>7.2+0.0555355959562652i</v>
      </c>
      <c r="T33" s="2" t="str">
        <f>COMPLEX(BASE!G$19,FRES!$D33*BASE!M$36)</f>
        <v>7.2+0.0555355959562652i</v>
      </c>
      <c r="U33" s="2" t="str">
        <f>IMDIV(BASE!K$21*BASE!E$38,IMPRODUCT(FRES!R33,IMSUM(FRES!O33,IMDIV(BASE!K$21^2,FRES!R33))))</f>
        <v>0.239356651343679+0.279376537345263i</v>
      </c>
      <c r="V33" s="2" t="str">
        <f>IMDIV(BASE!L$21*BASE!F$38,IMPRODUCT(FRES!S33,IMSUM(FRES!P33,IMDIV(BASE!L$21^2,FRES!S33))))</f>
        <v>0.060808061678981+0.173876613997084i</v>
      </c>
      <c r="W33" s="2" t="str">
        <f>IMDIV(BASE!M$21*BASE!G$38,IMPRODUCT(FRES!T33,IMSUM(FRES!Q33,IMDIV(BASE!M$21^2,FRES!T33))))</f>
        <v>0.0141669965371784+0.0866114133175117i</v>
      </c>
      <c r="X33" s="2" t="str">
        <f t="shared" si="2"/>
        <v>0.00140053318117893-0.00119991082833278i</v>
      </c>
      <c r="Y33" s="2" t="str">
        <f t="shared" si="25"/>
        <v>0.000871655041786874-0.000304834861487813i</v>
      </c>
      <c r="Z33" s="2" t="str">
        <f t="shared" si="25"/>
        <v>0.000434188781107516-0.0000710200968073593i</v>
      </c>
      <c r="AA33" s="44" t="str">
        <f>IMPRODUCT(COMPLEX(0,$D33),U33,E$2,BASE!E$15^2/10000,1/(2*BASE!$U$3))</f>
        <v>-0.132714632070548+0.11370364246965i</v>
      </c>
      <c r="AB33" s="44" t="str">
        <f>IMPRODUCT(COMPLEX(0,$D33),V33,F$2,BASE!F$15^2/10000,1/(2*BASE!$U$3))</f>
        <v>-0.0825980988653231+0.028886174942729i</v>
      </c>
      <c r="AC33" s="44" t="str">
        <f>IMPRODUCT(COMPLEX(0,$D33),W33,G$2,BASE!G$15^2/10000,1/(2*BASE!$U$3))</f>
        <v>-0.0411437623243869+0.00672986984104818i</v>
      </c>
      <c r="AD33" s="44">
        <f t="shared" si="6"/>
        <v>2.4331912385067218</v>
      </c>
      <c r="AE33" s="44">
        <f t="shared" si="7"/>
        <v>2.8051676464595845</v>
      </c>
      <c r="AF33" s="44">
        <f t="shared" si="8"/>
        <v>2.979458817431075</v>
      </c>
      <c r="AG33" s="31">
        <f t="shared" si="9"/>
        <v>78.828331000784374</v>
      </c>
      <c r="AH33" s="31">
        <f t="shared" si="10"/>
        <v>72.819905471387841</v>
      </c>
      <c r="AI33" s="31">
        <f t="shared" si="11"/>
        <v>66.380148497683493</v>
      </c>
      <c r="AJ33" s="2" t="str">
        <f>IMSUM(R33,IMDIV(BASE!K$21^2,FRES!O33))</f>
        <v>8.3038282776529+3.46411710314262i</v>
      </c>
      <c r="AK33" s="2" t="str">
        <f>IMSUM(S33,IMDIV(BASE!L$21^2,FRES!P33))</f>
        <v>7.39515175180145+1.54932752127692i</v>
      </c>
      <c r="AL33" s="2" t="str">
        <f>IMSUM(T33,IMDIV(BASE!M$21^2,FRES!Q33))</f>
        <v>7.24111886173658+0.745823279321006i</v>
      </c>
      <c r="AM33" s="31">
        <f t="shared" si="24"/>
        <v>0.36788973369949951</v>
      </c>
      <c r="AN33" s="31">
        <f t="shared" si="24"/>
        <v>0.18420286984801759</v>
      </c>
      <c r="AO33" s="31">
        <f t="shared" si="24"/>
        <v>8.7762410562502599E-2</v>
      </c>
      <c r="AP33" s="31">
        <f t="shared" si="12"/>
        <v>2.6081714619761609</v>
      </c>
      <c r="AQ33" s="31">
        <f t="shared" si="13"/>
        <v>1.3059148553031865</v>
      </c>
      <c r="AR33" s="31">
        <f t="shared" si="14"/>
        <v>0.62219571163767617</v>
      </c>
      <c r="AS33" s="2">
        <f t="shared" si="15"/>
        <v>117.74508826192471</v>
      </c>
      <c r="AT33" s="2">
        <f t="shared" si="16"/>
        <v>118.92912594271002</v>
      </c>
      <c r="AU33" s="2">
        <f t="shared" si="17"/>
        <v>119.48391197065777</v>
      </c>
      <c r="AV33" s="2">
        <f t="shared" si="18"/>
        <v>117.74508826192471</v>
      </c>
      <c r="AW33" s="2">
        <f t="shared" si="19"/>
        <v>118.92912594271002</v>
      </c>
      <c r="AX33" s="2">
        <f t="shared" si="20"/>
        <v>119.48391197065777</v>
      </c>
      <c r="AY33">
        <f t="shared" si="21"/>
        <v>8.9974258190347509</v>
      </c>
      <c r="AZ33">
        <f t="shared" si="22"/>
        <v>7.5557054733729618</v>
      </c>
      <c r="BA33">
        <f t="shared" si="23"/>
        <v>7.2794268135461335</v>
      </c>
    </row>
    <row r="34" spans="1:53" x14ac:dyDescent="0.2">
      <c r="A34" s="2">
        <v>30</v>
      </c>
      <c r="B34" s="42">
        <f t="shared" si="27"/>
        <v>2519.842099789746</v>
      </c>
      <c r="C34" s="43">
        <v>32.678309064821995</v>
      </c>
      <c r="D34" s="2">
        <f t="shared" si="1"/>
        <v>205.32387137956306</v>
      </c>
      <c r="E34" s="2"/>
      <c r="F34" s="2">
        <f>$D34*BASE!E$15/100/E$3</f>
        <v>3.7602918304978111E-2</v>
      </c>
      <c r="G34" s="2">
        <f>$D34*BASE!F$15/100/F$3</f>
        <v>3.7602918304978111E-2</v>
      </c>
      <c r="H34" s="2">
        <f>$D34*BASE!G$15/100/G$3</f>
        <v>3.7602918304978111E-2</v>
      </c>
      <c r="I34" s="2">
        <f>(1-BESSELJ(2*F34,1)/F34)*BASE!K$13*E$2*E$3</f>
        <v>3.6381560945471709E-3</v>
      </c>
      <c r="J34" s="2">
        <f>(1-BESSELJ(2*G34,1)/G34)*BASE!L$13*F$2*F$3</f>
        <v>3.6381560945471709E-3</v>
      </c>
      <c r="K34" s="2">
        <f>(1-BESSELJ(2*H34,1)/H34)*BASE!M$13*G$2*G$3</f>
        <v>3.6381560945471709E-3</v>
      </c>
      <c r="L34" s="2" t="str">
        <f>IMPRODUCT(COMPLEX(1-BESSELJ(2*F34,1)/F34,(STRUVE(2*F34)/(2*F34^2))),PI()*(BASE!E$15/100)^2*E$2*E$3)</f>
        <v>0.00363815609454717+0.164228040448907i</v>
      </c>
      <c r="M34" s="2" t="str">
        <f>IMPRODUCT(COMPLEX(1-BESSELJ(2*G34,1)/G34,(STRUVE(2*G34)/(2*G34^2))),PI()*(BASE!F$15/100)^2*F$2*F$3)</f>
        <v>0.00363815609454717+0.164228040448907i</v>
      </c>
      <c r="N34" s="2" t="str">
        <f>IMPRODUCT(COMPLEX(1-BESSELJ(2*H34,1)/H34,(STRUVE(2*H34)/(2*H34^2))),PI()*(BASE!G$15/100)^2*G$2*G$3)</f>
        <v>0.00363815609454717+0.164228040448907i</v>
      </c>
      <c r="O34" s="2" t="str">
        <f>IMSUM(IMPRODUCT(IF($O$3=1,L34,COMPLEX(I34,$D34*BASE!K$15)),2),COMPLEX(BASE!E$36,$D34*BASE!K$14-BASE!K$10/$D34))</f>
        <v>0.807276312189094-2.3518706328363i</v>
      </c>
      <c r="P34" s="2" t="str">
        <f>IMSUM(IMPRODUCT(IF($O$3=1,M34,COMPLEX(J34,$D34*BASE!L$15)),2),COMPLEX(BASE!F$36,$D34*BASE!L$14-BASE!L$10/$D34))</f>
        <v>0.807276312189094-5.93158104381562i</v>
      </c>
      <c r="Q34" s="2" t="str">
        <f>IMSUM(IMPRODUCT(IF($O$3=1,N34,COMPLEX(K34,$D34*BASE!M$15)),2),COMPLEX(BASE!G$36,$D34*BASE!M$14-BASE!M$10/$D34))</f>
        <v>0.807276312189094-13.0910018657743i</v>
      </c>
      <c r="R34" s="2" t="str">
        <f>COMPLEX(BASE!E$19,FRES!$D34*BASE!K$36)</f>
        <v>7.2+0.0571629131311131i</v>
      </c>
      <c r="S34" s="2" t="str">
        <f>COMPLEX(BASE!F$19,FRES!$D34*BASE!L$36)</f>
        <v>7.2+0.0571629131311131i</v>
      </c>
      <c r="T34" s="2" t="str">
        <f>COMPLEX(BASE!G$19,FRES!$D34*BASE!M$36)</f>
        <v>7.2+0.0571629131311131i</v>
      </c>
      <c r="U34" s="2" t="str">
        <f>IMDIV(BASE!K$21*BASE!E$38,IMPRODUCT(FRES!R34,IMSUM(FRES!O34,IMDIV(BASE!K$21^2,FRES!R34))))</f>
        <v>0.255474003240465+0.281422636833392i</v>
      </c>
      <c r="V34" s="2" t="str">
        <f>IMDIV(BASE!L$21*BASE!F$38,IMPRODUCT(FRES!S34,IMSUM(FRES!P34,IMDIV(BASE!L$21^2,FRES!S34))))</f>
        <v>0.0653325465622188+0.179413853084499i</v>
      </c>
      <c r="W34" s="2" t="str">
        <f>IMDIV(BASE!M$21*BASE!G$38,IMPRODUCT(FRES!T34,IMSUM(FRES!Q34,IMDIV(BASE!M$21^2,FRES!T34))))</f>
        <v>0.0151396741762738+0.0894559300867037i</v>
      </c>
      <c r="X34" s="2" t="str">
        <f t="shared" si="2"/>
        <v>0.00137062794960237-0.00124424891038702i</v>
      </c>
      <c r="Y34" s="2" t="str">
        <f t="shared" si="25"/>
        <v>0.00087380903096666-0.000318192649121858i</v>
      </c>
      <c r="Z34" s="2" t="str">
        <f t="shared" si="25"/>
        <v>0.000435682073816614-0.0000737355772348871i</v>
      </c>
      <c r="AA34" s="44" t="str">
        <f>IMPRODUCT(COMPLEX(0,$D34),U34,E$2,BASE!E$15^2/10000,1/(2*BASE!$U$3))</f>
        <v>-0.137603924885979+0.124916125965493i</v>
      </c>
      <c r="AB34" s="44" t="str">
        <f>IMPRODUCT(COMPLEX(0,$D34),V34,F$2,BASE!F$15^2/10000,1/(2*BASE!$U$3))</f>
        <v>-0.0877258867344039+0.0319448887655741i</v>
      </c>
      <c r="AC34" s="44" t="str">
        <f>IMPRODUCT(COMPLEX(0,$D34),W34,G$2,BASE!G$15^2/10000,1/(2*BASE!$U$3))</f>
        <v>-0.043740216575199+0.00740266885276722i</v>
      </c>
      <c r="AD34" s="44">
        <f t="shared" si="6"/>
        <v>2.4044876918338378</v>
      </c>
      <c r="AE34" s="44">
        <f t="shared" si="7"/>
        <v>2.792373035929903</v>
      </c>
      <c r="AF34" s="44">
        <f t="shared" si="8"/>
        <v>2.9739395839784817</v>
      </c>
      <c r="AG34" s="31">
        <f t="shared" si="9"/>
        <v>79.362482424470045</v>
      </c>
      <c r="AH34" s="31">
        <f t="shared" si="10"/>
        <v>73.382725330065355</v>
      </c>
      <c r="AI34" s="31">
        <f t="shared" si="11"/>
        <v>66.919664383508277</v>
      </c>
      <c r="AJ34" s="2" t="str">
        <f>IMSUM(R34,IMDIV(BASE!K$21^2,FRES!O34))</f>
        <v>8.42513396126605+3.62639508467673i</v>
      </c>
      <c r="AK34" s="2" t="str">
        <f>IMSUM(S34,IMDIV(BASE!L$21^2,FRES!P34))</f>
        <v>7.41138322732669+1.61033216294042i</v>
      </c>
      <c r="AL34" s="2" t="str">
        <f>IMSUM(T34,IMDIV(BASE!M$21^2,FRES!Q34))</f>
        <v>7.24403398654499+0.771229449351809i</v>
      </c>
      <c r="AM34" s="31">
        <f t="shared" si="24"/>
        <v>0.38008639393428484</v>
      </c>
      <c r="AN34" s="31">
        <f t="shared" si="24"/>
        <v>0.19093892300662713</v>
      </c>
      <c r="AO34" s="31">
        <f t="shared" si="24"/>
        <v>9.0728017513009449E-2</v>
      </c>
      <c r="AP34" s="31">
        <f t="shared" si="12"/>
        <v>2.6179290774314277</v>
      </c>
      <c r="AQ34" s="31">
        <f t="shared" si="13"/>
        <v>1.3151340498626589</v>
      </c>
      <c r="AR34" s="31">
        <f t="shared" si="14"/>
        <v>0.62490928108855526</v>
      </c>
      <c r="AS34" s="2">
        <f t="shared" si="15"/>
        <v>117.65372203517954</v>
      </c>
      <c r="AT34" s="2">
        <f t="shared" si="16"/>
        <v>118.88839943249533</v>
      </c>
      <c r="AU34" s="2">
        <f t="shared" si="17"/>
        <v>119.46634370493661</v>
      </c>
      <c r="AV34" s="2">
        <f t="shared" si="18"/>
        <v>117.65372203517954</v>
      </c>
      <c r="AW34" s="2">
        <f t="shared" si="19"/>
        <v>118.88839943249533</v>
      </c>
      <c r="AX34" s="2">
        <f t="shared" si="20"/>
        <v>119.46634370493661</v>
      </c>
      <c r="AY34">
        <f t="shared" si="21"/>
        <v>9.1724382568347718</v>
      </c>
      <c r="AZ34">
        <f t="shared" si="22"/>
        <v>7.5843108465634339</v>
      </c>
      <c r="BA34">
        <f t="shared" si="23"/>
        <v>7.2849724269736518</v>
      </c>
    </row>
    <row r="35" spans="1:53" x14ac:dyDescent="0.2">
      <c r="A35" s="2">
        <v>31</v>
      </c>
      <c r="B35" s="42">
        <f t="shared" si="27"/>
        <v>4000</v>
      </c>
      <c r="C35" s="43">
        <v>33.635856610148579</v>
      </c>
      <c r="D35" s="2">
        <f t="shared" si="1"/>
        <v>211.34032004728491</v>
      </c>
      <c r="E35" s="2"/>
      <c r="F35" s="2">
        <f>$D35*BASE!E$15/100/E$3</f>
        <v>3.8704767915636477E-2</v>
      </c>
      <c r="G35" s="2">
        <f>$D35*BASE!F$15/100/F$3</f>
        <v>3.8704767915636477E-2</v>
      </c>
      <c r="H35" s="2">
        <f>$D35*BASE!G$15/100/G$3</f>
        <v>3.8704767915636477E-2</v>
      </c>
      <c r="I35" s="2">
        <f>(1-BESSELJ(2*F35,1)/F35)*BASE!K$13*E$2*E$3</f>
        <v>3.8544381465565212E-3</v>
      </c>
      <c r="J35" s="2">
        <f>(1-BESSELJ(2*G35,1)/G35)*BASE!L$13*F$2*F$3</f>
        <v>3.8544381465565212E-3</v>
      </c>
      <c r="K35" s="2">
        <f>(1-BESSELJ(2*H35,1)/H35)*BASE!M$13*G$2*G$3</f>
        <v>3.8544381465565212E-3</v>
      </c>
      <c r="L35" s="2" t="str">
        <f>IMPRODUCT(COMPLEX(1-BESSELJ(2*F35,1)/F35,(STRUVE(2*F35)/(2*F35^2))),PI()*(BASE!E$15/100)^2*E$2*E$3)</f>
        <v>0.00385443814655652+0.169036499095504i</v>
      </c>
      <c r="M35" s="2" t="str">
        <f>IMPRODUCT(COMPLEX(1-BESSELJ(2*G35,1)/G35,(STRUVE(2*G35)/(2*G35^2))),PI()*(BASE!F$15/100)^2*F$2*F$3)</f>
        <v>0.00385443814655652+0.169036499095504i</v>
      </c>
      <c r="N35" s="2" t="str">
        <f>IMPRODUCT(COMPLEX(1-BESSELJ(2*H35,1)/H35,(STRUVE(2*H35)/(2*H35^2))),PI()*(BASE!G$15/100)^2*G$2*G$3)</f>
        <v>0.00385443814655652+0.169036499095504i</v>
      </c>
      <c r="O35" s="2" t="str">
        <f>IMSUM(IMPRODUCT(IF($O$3=1,L35,COMPLEX(I35,$D35*BASE!K$15)),2),COMPLEX(BASE!E$36,$D35*BASE!K$14-BASE!K$10/$D35))</f>
        <v>0.807708876293113-2.21412410933952i</v>
      </c>
      <c r="P35" s="2" t="str">
        <f>IMSUM(IMPRODUCT(IF($O$3=1,M35,COMPLEX(J35,$D35*BASE!L$15)),2),COMPLEX(BASE!F$36,$D35*BASE!L$14-BASE!L$10/$D35))</f>
        <v>0.807708876293113-5.69192711368603i</v>
      </c>
      <c r="Q35" s="2" t="str">
        <f>IMSUM(IMPRODUCT(IF($O$3=1,N35,COMPLEX(K35,$D35*BASE!M$15)),2),COMPLEX(BASE!G$36,$D35*BASE!M$14-BASE!M$10/$D35))</f>
        <v>0.807708876293113-12.6475331223791i</v>
      </c>
      <c r="R35" s="2" t="str">
        <f>COMPLEX(BASE!E$19,FRES!$D35*BASE!K$36)</f>
        <v>7.2+0.0588379143389123i</v>
      </c>
      <c r="S35" s="2" t="str">
        <f>COMPLEX(BASE!F$19,FRES!$D35*BASE!L$36)</f>
        <v>7.2+0.0588379143389123i</v>
      </c>
      <c r="T35" s="2" t="str">
        <f>COMPLEX(BASE!G$19,FRES!$D35*BASE!M$36)</f>
        <v>7.2+0.0588379143389123i</v>
      </c>
      <c r="U35" s="2" t="str">
        <f>IMDIV(BASE!K$21*BASE!E$38,IMPRODUCT(FRES!R35,IMSUM(FRES!O35,IMDIV(BASE!K$21^2,FRES!R35))))</f>
        <v>0.272529900393177+0.282574713991252i</v>
      </c>
      <c r="V35" s="2" t="str">
        <f>IMDIV(BASE!L$21*BASE!F$38,IMPRODUCT(FRES!S35,IMSUM(FRES!P35,IMDIV(BASE!L$21^2,FRES!S35))))</f>
        <v>0.0702489919096011+0.185118715494678i</v>
      </c>
      <c r="W35" s="2" t="str">
        <f>IMDIV(BASE!M$21*BASE!G$38,IMPRODUCT(FRES!T35,IMSUM(FRES!Q35,IMDIV(BASE!M$21^2,FRES!T35))))</f>
        <v>0.0161878396732754+0.0924121414630635i</v>
      </c>
      <c r="X35" s="2" t="str">
        <f t="shared" si="2"/>
        <v>0.00133706012145732-0.00128953102906346i</v>
      </c>
      <c r="Y35" s="2" t="str">
        <f t="shared" si="25"/>
        <v>0.000875927108718582-0.000332397489953094i</v>
      </c>
      <c r="Z35" s="2" t="str">
        <f t="shared" si="25"/>
        <v>0.000437266970365084-0.0000765960781627167i</v>
      </c>
      <c r="AA35" s="44" t="str">
        <f>IMPRODUCT(COMPLEX(0,$D35),U35,E$2,BASE!E$15^2/10000,1/(2*BASE!$U$3))</f>
        <v>-0.14221585177408+0.137160439343206i</v>
      </c>
      <c r="AB35" s="44" t="str">
        <f>IMPRODUCT(COMPLEX(0,$D35),V35,F$2,BASE!F$15^2/10000,1/(2*BASE!$U$3))</f>
        <v>-0.0931676278869535+0.0353553227731611i</v>
      </c>
      <c r="AC35" s="44" t="str">
        <f>IMPRODUCT(COMPLEX(0,$D35),W35,G$2,BASE!G$15^2/10000,1/(2*BASE!$U$3))</f>
        <v>-0.0465097220724543+0.00814711045797389i</v>
      </c>
      <c r="AD35" s="44">
        <f t="shared" si="6"/>
        <v>2.3742878678896044</v>
      </c>
      <c r="AE35" s="44">
        <f t="shared" si="7"/>
        <v>2.7788994393073754</v>
      </c>
      <c r="AF35" s="44">
        <f t="shared" si="8"/>
        <v>2.9681819924932498</v>
      </c>
      <c r="AG35" s="31">
        <f t="shared" si="9"/>
        <v>79.894312909703032</v>
      </c>
      <c r="AH35" s="31">
        <f t="shared" si="10"/>
        <v>73.948982549944276</v>
      </c>
      <c r="AI35" s="31">
        <f t="shared" si="11"/>
        <v>67.461532621607546</v>
      </c>
      <c r="AJ35" s="2" t="str">
        <f>IMSUM(R35,IMDIV(BASE!K$21^2,FRES!O35))</f>
        <v>8.56442959993814+3.79906729820321i</v>
      </c>
      <c r="AK35" s="2" t="str">
        <f>IMSUM(S35,IMDIV(BASE!L$21^2,FRES!P35))</f>
        <v>7.42931777490843+1.67484103001816i</v>
      </c>
      <c r="AL35" s="2" t="str">
        <f>IMSUM(T35,IMDIV(BASE!M$21^2,FRES!Q35))</f>
        <v>7.24718842658501+0.797739275638704i</v>
      </c>
      <c r="AM35" s="31">
        <f t="shared" si="24"/>
        <v>0.39258249527399058</v>
      </c>
      <c r="AN35" s="31">
        <f t="shared" si="24"/>
        <v>0.19799964568330608</v>
      </c>
      <c r="AO35" s="31">
        <f t="shared" si="24"/>
        <v>9.3819241326483394E-2</v>
      </c>
      <c r="AP35" s="31">
        <f t="shared" si="12"/>
        <v>2.6270211431615578</v>
      </c>
      <c r="AQ35" s="31">
        <f t="shared" si="13"/>
        <v>1.3249425580871133</v>
      </c>
      <c r="AR35" s="31">
        <f t="shared" si="14"/>
        <v>0.62780468708375903</v>
      </c>
      <c r="AS35" s="2">
        <f t="shared" si="15"/>
        <v>117.55759300995496</v>
      </c>
      <c r="AT35" s="2">
        <f t="shared" si="16"/>
        <v>118.8455116424213</v>
      </c>
      <c r="AU35" s="2">
        <f t="shared" si="17"/>
        <v>119.44801672203303</v>
      </c>
      <c r="AV35" s="2">
        <f t="shared" si="18"/>
        <v>117.55759300995496</v>
      </c>
      <c r="AW35" s="2">
        <f t="shared" si="19"/>
        <v>118.8455116424213</v>
      </c>
      <c r="AX35" s="2">
        <f t="shared" si="20"/>
        <v>119.44801672203303</v>
      </c>
      <c r="AY35">
        <f t="shared" si="21"/>
        <v>9.3692244454156182</v>
      </c>
      <c r="AZ35">
        <f t="shared" si="22"/>
        <v>7.6157635911576618</v>
      </c>
      <c r="BA35">
        <f t="shared" si="23"/>
        <v>7.2909620793366008</v>
      </c>
    </row>
    <row r="36" spans="1:53" x14ac:dyDescent="0.2">
      <c r="A36" s="2">
        <v>32</v>
      </c>
      <c r="B36" s="42">
        <f t="shared" si="27"/>
        <v>6349.6042078727978</v>
      </c>
      <c r="C36" s="43">
        <v>34.621462440245722</v>
      </c>
      <c r="D36" s="2">
        <f t="shared" si="1"/>
        <v>217.53306411762182</v>
      </c>
      <c r="E36" s="2"/>
      <c r="F36" s="2">
        <f>$D36*BASE!E$15/100/E$3</f>
        <v>3.9838904184331898E-2</v>
      </c>
      <c r="G36" s="2">
        <f>$D36*BASE!F$15/100/F$3</f>
        <v>3.9838904184331898E-2</v>
      </c>
      <c r="H36" s="2">
        <f>$D36*BASE!G$15/100/G$3</f>
        <v>3.9838904184331898E-2</v>
      </c>
      <c r="I36" s="2">
        <f>(1-BESSELJ(2*F36,1)/F36)*BASE!K$13*E$2*E$3</f>
        <v>4.0835743848842065E-3</v>
      </c>
      <c r="J36" s="2">
        <f>(1-BESSELJ(2*G36,1)/G36)*BASE!L$13*F$2*F$3</f>
        <v>4.0835743848842065E-3</v>
      </c>
      <c r="K36" s="2">
        <f>(1-BESSELJ(2*H36,1)/H36)*BASE!M$13*G$2*G$3</f>
        <v>4.0835743848842065E-3</v>
      </c>
      <c r="L36" s="2" t="str">
        <f>IMPRODUCT(COMPLEX(1-BESSELJ(2*F36,1)/F36,(STRUVE(2*F36)/(2*F36^2))),PI()*(BASE!E$15/100)^2*E$2*E$3)</f>
        <v>0.00408357438488421+0.173985513369385i</v>
      </c>
      <c r="M36" s="2" t="str">
        <f>IMPRODUCT(COMPLEX(1-BESSELJ(2*G36,1)/G36,(STRUVE(2*G36)/(2*G36^2))),PI()*(BASE!F$15/100)^2*F$2*F$3)</f>
        <v>0.00408357438488421+0.173985513369385i</v>
      </c>
      <c r="N36" s="2" t="str">
        <f>IMPRODUCT(COMPLEX(1-BESSELJ(2*H36,1)/H36,(STRUVE(2*H36)/(2*H36^2))),PI()*(BASE!G$15/100)^2*G$2*G$3)</f>
        <v>0.00408357438488421+0.173985513369385i</v>
      </c>
      <c r="O36" s="2" t="str">
        <f>IMSUM(IMPRODUCT(IF($O$3=1,L36,COMPLEX(I36,$D36*BASE!K$15)),2),COMPLEX(BASE!E$36,$D36*BASE!K$14-BASE!K$10/$D36))</f>
        <v>0.808167148769768-2.07822455901478i</v>
      </c>
      <c r="P36" s="2" t="str">
        <f>IMSUM(IMPRODUCT(IF($O$3=1,M36,COMPLEX(J36,$D36*BASE!L$15)),2),COMPLEX(BASE!F$36,$D36*BASE!L$14-BASE!L$10/$D36))</f>
        <v>0.808167148769768-5.45702126277738i</v>
      </c>
      <c r="Q36" s="2" t="str">
        <f>IMSUM(IMPRODUCT(IF($O$3=1,N36,COMPLEX(K36,$D36*BASE!M$15)),2),COMPLEX(BASE!G$36,$D36*BASE!M$14-BASE!M$10/$D36))</f>
        <v>0.808167148769768-12.2146146703026i</v>
      </c>
      <c r="R36" s="2" t="str">
        <f>COMPLEX(BASE!E$19,FRES!$D36*BASE!K$36)</f>
        <v>7.2+0.0605619968284807i</v>
      </c>
      <c r="S36" s="2" t="str">
        <f>COMPLEX(BASE!F$19,FRES!$D36*BASE!L$36)</f>
        <v>7.2+0.0605619968284807i</v>
      </c>
      <c r="T36" s="2" t="str">
        <f>COMPLEX(BASE!G$19,FRES!$D36*BASE!M$36)</f>
        <v>7.2+0.0605619968284807i</v>
      </c>
      <c r="U36" s="2" t="str">
        <f>IMDIV(BASE!K$21*BASE!E$38,IMPRODUCT(FRES!R36,IMSUM(FRES!O36,IMDIV(BASE!K$21^2,FRES!R36))))</f>
        <v>0.290517121313192+0.282674511262155i</v>
      </c>
      <c r="V36" s="2" t="str">
        <f>IMDIV(BASE!L$21*BASE!F$38,IMPRODUCT(FRES!S36,IMSUM(FRES!P36,IMDIV(BASE!L$21^2,FRES!S36))))</f>
        <v>0.0755976039059837+0.190988969622422i</v>
      </c>
      <c r="W36" s="2" t="str">
        <f>IMDIV(BASE!M$21*BASE!G$38,IMPRODUCT(FRES!T36,IMSUM(FRES!Q36,IMDIV(BASE!M$21^2,FRES!T36))))</f>
        <v>0.0173184894223633+0.0954859274950098i</v>
      </c>
      <c r="X36" s="2" t="str">
        <f t="shared" si="2"/>
        <v>0.00129945538352418-0.00133550788010832i</v>
      </c>
      <c r="Y36" s="2" t="str">
        <f t="shared" si="25"/>
        <v>0.000877976736075177-0.000347522360394406i</v>
      </c>
      <c r="Z36" s="2" t="str">
        <f t="shared" si="25"/>
        <v>0.000438949030035175-0.0000796131360196308i</v>
      </c>
      <c r="AA36" s="44" t="str">
        <f>IMPRODUCT(COMPLEX(0,$D36),U36,E$2,BASE!E$15^2/10000,1/(2*BASE!$U$3))</f>
        <v>-0.146434792620699+0.150497525306786i</v>
      </c>
      <c r="AB36" s="44" t="str">
        <f>IMPRODUCT(COMPLEX(0,$D36),V36,F$2,BASE!F$15^2/10000,1/(2*BASE!$U$3))</f>
        <v>-0.0989386345257107+0.0391620716037177i</v>
      </c>
      <c r="AC36" s="44" t="str">
        <f>IMPRODUCT(COMPLEX(0,$D36),W36,G$2,BASE!G$15^2/10000,1/(2*BASE!$U$3))</f>
        <v>-0.0494648842886275+0.00897155316814396i</v>
      </c>
      <c r="AD36" s="44">
        <f t="shared" si="6"/>
        <v>2.3425129912594502</v>
      </c>
      <c r="AE36" s="44">
        <f t="shared" si="7"/>
        <v>2.764693326407059</v>
      </c>
      <c r="AF36" s="44">
        <f t="shared" si="8"/>
        <v>2.9621709316854585</v>
      </c>
      <c r="AG36" s="31">
        <f t="shared" si="9"/>
        <v>80.423062452835396</v>
      </c>
      <c r="AH36" s="31">
        <f t="shared" si="10"/>
        <v>74.518831532650694</v>
      </c>
      <c r="AI36" s="31">
        <f t="shared" si="11"/>
        <v>68.005905413356246</v>
      </c>
      <c r="AJ36" s="2" t="str">
        <f>IMSUM(R36,IMDIV(BASE!K$21^2,FRES!O36))</f>
        <v>8.72516487080928+3.98256636917573i</v>
      </c>
      <c r="AK36" s="2" t="str">
        <f>IMSUM(S36,IMDIV(BASE!L$21^2,FRES!P36))</f>
        <v>7.44918825940293+1.74316643338135i</v>
      </c>
      <c r="AL36" s="2" t="str">
        <f>IMSUM(T36,IMDIV(BASE!M$21^2,FRES!Q36))</f>
        <v>7.2506062961953+0.825424078710573i</v>
      </c>
      <c r="AM36" s="31">
        <f t="shared" si="24"/>
        <v>0.40534562671059138</v>
      </c>
      <c r="AN36" s="31">
        <f t="shared" si="24"/>
        <v>0.20540638800621669</v>
      </c>
      <c r="AO36" s="31">
        <f t="shared" si="24"/>
        <v>9.7043765515641325E-2</v>
      </c>
      <c r="AP36" s="31">
        <f t="shared" si="12"/>
        <v>2.6352098935763704</v>
      </c>
      <c r="AQ36" s="31">
        <f t="shared" si="13"/>
        <v>1.3353763065618025</v>
      </c>
      <c r="AR36" s="31">
        <f t="shared" si="14"/>
        <v>0.63089539924729399</v>
      </c>
      <c r="AS36" s="2">
        <f t="shared" si="15"/>
        <v>117.45645043631846</v>
      </c>
      <c r="AT36" s="2">
        <f t="shared" si="16"/>
        <v>118.80029218061716</v>
      </c>
      <c r="AU36" s="2">
        <f t="shared" si="17"/>
        <v>119.42888292121731</v>
      </c>
      <c r="AV36" s="2">
        <f t="shared" si="18"/>
        <v>117.45645043631846</v>
      </c>
      <c r="AW36" s="2">
        <f t="shared" si="19"/>
        <v>118.80029218061716</v>
      </c>
      <c r="AX36" s="2">
        <f t="shared" si="20"/>
        <v>119.42888292121731</v>
      </c>
      <c r="AY36">
        <f t="shared" si="21"/>
        <v>9.5911071784071886</v>
      </c>
      <c r="AZ36">
        <f t="shared" si="22"/>
        <v>7.6504271082400299</v>
      </c>
      <c r="BA36">
        <f t="shared" si="23"/>
        <v>7.2974390420298914</v>
      </c>
    </row>
    <row r="37" spans="1:53" x14ac:dyDescent="0.2">
      <c r="A37" s="2">
        <v>33</v>
      </c>
      <c r="B37" s="42">
        <f t="shared" si="27"/>
        <v>10079.368399158986</v>
      </c>
      <c r="C37" s="43">
        <v>35.635948725613574</v>
      </c>
      <c r="D37" s="2">
        <f t="shared" si="1"/>
        <v>223.9072694401803</v>
      </c>
      <c r="E37" s="2"/>
      <c r="F37" s="2">
        <f>$D37*BASE!E$15/100/E$3</f>
        <v>4.1006273182358603E-2</v>
      </c>
      <c r="G37" s="2">
        <f>$D37*BASE!F$15/100/F$3</f>
        <v>4.1006273182358603E-2</v>
      </c>
      <c r="H37" s="2">
        <f>$D37*BASE!G$15/100/G$3</f>
        <v>4.1006273182358603E-2</v>
      </c>
      <c r="I37" s="2">
        <f>(1-BESSELJ(2*F37,1)/F37)*BASE!K$13*E$2*E$3</f>
        <v>4.3263283494585272E-3</v>
      </c>
      <c r="J37" s="2">
        <f>(1-BESSELJ(2*G37,1)/G37)*BASE!L$13*F$2*F$3</f>
        <v>4.3263283494585272E-3</v>
      </c>
      <c r="K37" s="2">
        <f>(1-BESSELJ(2*H37,1)/H37)*BASE!M$13*G$2*G$3</f>
        <v>4.3263283494585272E-3</v>
      </c>
      <c r="L37" s="2" t="str">
        <f>IMPRODUCT(COMPLEX(1-BESSELJ(2*F37,1)/F37,(STRUVE(2*F37)/(2*F37^2))),PI()*(BASE!E$15/100)^2*E$2*E$3)</f>
        <v>0.00432632834945853+0.179079170836445i</v>
      </c>
      <c r="M37" s="2" t="str">
        <f>IMPRODUCT(COMPLEX(1-BESSELJ(2*G37,1)/G37,(STRUVE(2*G37)/(2*G37^2))),PI()*(BASE!F$15/100)^2*F$2*F$3)</f>
        <v>0.00432632834945853+0.179079170836445i</v>
      </c>
      <c r="N37" s="2" t="str">
        <f>IMPRODUCT(COMPLEX(1-BESSELJ(2*H37,1)/H37,(STRUVE(2*H37)/(2*H37^2))),PI()*(BASE!G$15/100)^2*G$2*G$3)</f>
        <v>0.00432632834945853+0.179079170836445i</v>
      </c>
      <c r="O37" s="2" t="str">
        <f>IMSUM(IMPRODUCT(IF($O$3=1,L37,COMPLEX(I37,$D37*BASE!K$15)),2),COMPLEX(BASE!E$36,$D37*BASE!K$14-BASE!K$10/$D37))</f>
        <v>0.808652656698917-1.94405861747454i</v>
      </c>
      <c r="P37" s="2" t="str">
        <f>IMSUM(IMPRODUCT(IF($O$3=1,M37,COMPLEX(J37,$D37*BASE!L$15)),2),COMPLEX(BASE!F$36,$D37*BASE!L$14-BASE!L$10/$D37))</f>
        <v>0.808652656698917-5.22666753784443i</v>
      </c>
      <c r="Q37" s="2" t="str">
        <f>IMSUM(IMPRODUCT(IF($O$3=1,N37,COMPLEX(K37,$D37*BASE!M$15)),2),COMPLEX(BASE!G$36,$D37*BASE!M$14-BASE!M$10/$D37))</f>
        <v>0.808652656698917-11.7918853785842i</v>
      </c>
      <c r="R37" s="2" t="str">
        <f>COMPLEX(BASE!E$19,FRES!$D37*BASE!K$36)</f>
        <v>7.2+0.0623365987911512i</v>
      </c>
      <c r="S37" s="2" t="str">
        <f>COMPLEX(BASE!F$19,FRES!$D37*BASE!L$36)</f>
        <v>7.2+0.0623365987911512i</v>
      </c>
      <c r="T37" s="2" t="str">
        <f>COMPLEX(BASE!G$19,FRES!$D37*BASE!M$36)</f>
        <v>7.2+0.0623365987911512i</v>
      </c>
      <c r="U37" s="2" t="str">
        <f>IMDIV(BASE!K$21*BASE!E$38,IMPRODUCT(FRES!R37,IMSUM(FRES!O37,IMDIV(BASE!K$21^2,FRES!R37))))</f>
        <v>0.309407595356623+0.281547859190999i</v>
      </c>
      <c r="V37" s="2" t="str">
        <f>IMDIV(BASE!L$21*BASE!F$38,IMPRODUCT(FRES!S37,IMSUM(FRES!P37,IMDIV(BASE!L$21^2,FRES!S37))))</f>
        <v>0.0814232473199347+0.197019900395367i</v>
      </c>
      <c r="W37" s="2" t="str">
        <f>IMDIV(BASE!M$21*BASE!G$38,IMPRODUCT(FRES!T37,IMSUM(FRES!Q37,IMDIV(BASE!M$21^2,FRES!T37))))</f>
        <v>0.0185394152395334+0.0986835689966991i</v>
      </c>
      <c r="X37" s="2" t="str">
        <f t="shared" ref="X37:X68" si="28">IMDIV(U37,COMPLEX(0,$D37))</f>
        <v>0.0012574306314169-0.00138185596265013i</v>
      </c>
      <c r="Y37" s="2" t="str">
        <f t="shared" si="25"/>
        <v>0.000879917391194856-0.000363647180922315i</v>
      </c>
      <c r="Z37" s="2" t="str">
        <f t="shared" si="25"/>
        <v>0.000440734100520411-0.0000827995235969168i</v>
      </c>
      <c r="AA37" s="44" t="str">
        <f>IMPRODUCT(COMPLEX(0,$D37),U37,E$2,BASE!E$15^2/10000,1/(2*BASE!$U$3))</f>
        <v>-0.150124914293595+0.16498008142619i</v>
      </c>
      <c r="AB37" s="44" t="str">
        <f>IMPRODUCT(COMPLEX(0,$D37),V37,F$2,BASE!F$15^2/10000,1/(2*BASE!$U$3))</f>
        <v>-0.105053527119601+0.0434159153635014i</v>
      </c>
      <c r="AC37" s="44" t="str">
        <f>IMPRODUCT(COMPLEX(0,$D37),W37,G$2,BASE!G$15^2/10000,1/(2*BASE!$U$3))</f>
        <v>-0.0526193393207985+0.00988545298083839i</v>
      </c>
      <c r="AD37" s="44">
        <f t="shared" si="6"/>
        <v>2.3090858225601778</v>
      </c>
      <c r="AE37" s="44">
        <f t="shared" si="7"/>
        <v>2.749695609757429</v>
      </c>
      <c r="AF37" s="44">
        <f t="shared" si="8"/>
        <v>2.9558899056863854</v>
      </c>
      <c r="AG37" s="31">
        <f t="shared" si="9"/>
        <v>80.947847447430092</v>
      </c>
      <c r="AH37" s="31">
        <f t="shared" si="10"/>
        <v>75.092423622196065</v>
      </c>
      <c r="AI37" s="31">
        <f t="shared" si="11"/>
        <v>68.552945381482672</v>
      </c>
      <c r="AJ37" s="2" t="str">
        <f>IMSUM(R37,IMDIV(BASE!K$21^2,FRES!O37))</f>
        <v>8.91157726711376+4.17709032901343i</v>
      </c>
      <c r="AK37" s="2" t="str">
        <f>IMSUM(S37,IMDIV(BASE!L$21^2,FRES!P37))</f>
        <v>7.47126819183408+1.81565879536538i</v>
      </c>
      <c r="AL37" s="2" t="str">
        <f>IMSUM(T37,IMDIV(BASE!M$21^2,FRES!Q37))</f>
        <v>7.25431475843307+0.854361951706991i</v>
      </c>
      <c r="AM37" s="31">
        <f t="shared" si="24"/>
        <v>0.41833271098421448</v>
      </c>
      <c r="AN37" s="31">
        <f t="shared" si="24"/>
        <v>0.2131820497976403</v>
      </c>
      <c r="AO37" s="31">
        <f t="shared" si="24"/>
        <v>0.10040994326933021</v>
      </c>
      <c r="AP37" s="31">
        <f t="shared" si="12"/>
        <v>2.6422178919753088</v>
      </c>
      <c r="AQ37" s="31">
        <f t="shared" si="13"/>
        <v>1.3464723446992206</v>
      </c>
      <c r="AR37" s="31">
        <f t="shared" si="14"/>
        <v>0.63419603983218331</v>
      </c>
      <c r="AS37" s="2">
        <f t="shared" si="15"/>
        <v>117.35004845367735</v>
      </c>
      <c r="AT37" s="2">
        <f t="shared" si="16"/>
        <v>118.75255296581956</v>
      </c>
      <c r="AU37" s="2">
        <f t="shared" si="17"/>
        <v>119.4088897945085</v>
      </c>
      <c r="AV37" s="2">
        <f t="shared" si="18"/>
        <v>117.35004845367735</v>
      </c>
      <c r="AW37" s="2">
        <f t="shared" si="19"/>
        <v>118.75255296581956</v>
      </c>
      <c r="AX37" s="2">
        <f t="shared" si="20"/>
        <v>119.4088897945085</v>
      </c>
      <c r="AY37">
        <f t="shared" si="21"/>
        <v>9.8419659115684937</v>
      </c>
      <c r="AZ37">
        <f t="shared" si="22"/>
        <v>7.6887232526277964</v>
      </c>
      <c r="BA37">
        <f t="shared" si="23"/>
        <v>7.3044518588970409</v>
      </c>
    </row>
    <row r="38" spans="1:53" x14ac:dyDescent="0.2">
      <c r="A38" s="2">
        <v>34</v>
      </c>
      <c r="B38" s="42">
        <f t="shared" si="27"/>
        <v>16000</v>
      </c>
      <c r="C38" s="43">
        <v>36.680161728186846</v>
      </c>
      <c r="D38" s="2">
        <f t="shared" ref="D38:D45" si="29">C38*2*PI()</f>
        <v>230.46825323551457</v>
      </c>
      <c r="E38" s="2"/>
      <c r="F38" s="2">
        <f>$D38*BASE!E$15/100/E$3</f>
        <v>4.2207848703015749E-2</v>
      </c>
      <c r="G38" s="2">
        <f>$D38*BASE!F$15/100/F$3</f>
        <v>4.2207848703015749E-2</v>
      </c>
      <c r="H38" s="2">
        <f>$D38*BASE!G$15/100/G$3</f>
        <v>4.2207848703015749E-2</v>
      </c>
      <c r="I38" s="2">
        <f>(1-BESSELJ(2*F38,1)/F38)*BASE!K$13*E$2*E$3</f>
        <v>4.5835088835147527E-3</v>
      </c>
      <c r="J38" s="2">
        <f>(1-BESSELJ(2*G38,1)/G38)*BASE!L$13*F$2*F$3</f>
        <v>4.5835088835147527E-3</v>
      </c>
      <c r="K38" s="2">
        <f>(1-BESSELJ(2*H38,1)/H38)*BASE!M$13*G$2*G$3</f>
        <v>4.5835088835147527E-3</v>
      </c>
      <c r="L38" s="2" t="str">
        <f>IMPRODUCT(COMPLEX(1-BESSELJ(2*F38,1)/F38,(STRUVE(2*F38)/(2*F38^2))),PI()*(BASE!E$15/100)^2*E$2*E$3)</f>
        <v>0.00458350888351475+0.184321676031069i</v>
      </c>
      <c r="M38" s="2" t="str">
        <f>IMPRODUCT(COMPLEX(1-BESSELJ(2*G38,1)/G38,(STRUVE(2*G38)/(2*G38^2))),PI()*(BASE!F$15/100)^2*F$2*F$3)</f>
        <v>0.00458350888351475+0.184321676031069i</v>
      </c>
      <c r="N38" s="2" t="str">
        <f>IMPRODUCT(COMPLEX(1-BESSELJ(2*H38,1)/H38,(STRUVE(2*H38)/(2*H38^2))),PI()*(BASE!G$15/100)^2*G$2*G$3)</f>
        <v>0.00458350888351475+0.184321676031069i</v>
      </c>
      <c r="O38" s="2" t="str">
        <f>IMSUM(IMPRODUCT(IF($O$3=1,L38,COMPLEX(I38,$D38*BASE!K$15)),2),COMPLEX(BASE!E$36,$D38*BASE!K$14-BASE!K$10/$D38))</f>
        <v>0.80916701776703-1.81151436646927i</v>
      </c>
      <c r="P38" s="2" t="str">
        <f>IMSUM(IMPRODUCT(IF($O$3=1,M38,COMPLEX(J38,$D38*BASE!L$15)),2),COMPLEX(BASE!F$36,$D38*BASE!L$14-BASE!L$10/$D38))</f>
        <v>0.80916701776703-5.00067378292437i</v>
      </c>
      <c r="Q38" s="2" t="str">
        <f>IMSUM(IMPRODUCT(IF($O$3=1,N38,COMPLEX(K38,$D38*BASE!M$15)),2),COMPLEX(BASE!G$36,$D38*BASE!M$14-BASE!M$10/$D38))</f>
        <v>0.80916701776703-11.3789926158346i</v>
      </c>
      <c r="R38" s="2" t="str">
        <f>COMPLEX(BASE!E$19,FRES!$D38*BASE!K$36)</f>
        <v>7.2+0.0641632005604799i</v>
      </c>
      <c r="S38" s="2" t="str">
        <f>COMPLEX(BASE!F$19,FRES!$D38*BASE!L$36)</f>
        <v>7.2+0.0641632005604799i</v>
      </c>
      <c r="T38" s="2" t="str">
        <f>COMPLEX(BASE!G$19,FRES!$D38*BASE!M$36)</f>
        <v>7.2+0.0641632005604799i</v>
      </c>
      <c r="U38" s="2" t="str">
        <f>IMDIV(BASE!K$21*BASE!E$38,IMPRODUCT(FRES!R38,IMSUM(FRES!O38,IMDIV(BASE!K$21^2,FRES!R38))))</f>
        <v>0.32914699066618+0.279006069269716i</v>
      </c>
      <c r="V38" s="2" t="str">
        <f>IMDIV(BASE!L$21*BASE!F$38,IMPRODUCT(FRES!S38,IMSUM(FRES!P38,IMDIV(BASE!L$21^2,FRES!S38))))</f>
        <v>0.0877759748913322+0.20320358901653i</v>
      </c>
      <c r="W38" s="2" t="str">
        <f>IMDIV(BASE!M$21*BASE!G$38,IMPRODUCT(FRES!T38,IMSUM(FRES!Q38,IMDIV(BASE!M$21^2,FRES!T38))))</f>
        <v>0.0198593136340035+0.102011774746597i</v>
      </c>
      <c r="X38" s="2" t="str">
        <f t="shared" si="28"/>
        <v>0.00121060521504713-0.00142816629208286i</v>
      </c>
      <c r="Y38" s="2" t="str">
        <f t="shared" si="25"/>
        <v>0.000881698829074201-0.000380859288249276i</v>
      </c>
      <c r="Z38" s="2" t="str">
        <f t="shared" si="25"/>
        <v>0.000442628315676743-0.0000861694109934929i</v>
      </c>
      <c r="AA38" s="44" t="str">
        <f>IMPRODUCT(COMPLEX(0,$D38),U38,E$2,BASE!E$15^2/10000,1/(2*BASE!$U$3))</f>
        <v>-0.15312888145354+0.18064807925661i</v>
      </c>
      <c r="AB38" s="44" t="str">
        <f>IMPRODUCT(COMPLEX(0,$D38),V38,F$2,BASE!F$15^2/10000,1/(2*BASE!$U$3))</f>
        <v>-0.111525668150845+0.0481747113558674i</v>
      </c>
      <c r="AC38" s="44" t="str">
        <f>IMPRODUCT(COMPLEX(0,$D38),W38,G$2,BASE!G$15^2/10000,1/(2*BASE!$U$3))</f>
        <v>-0.0559878464397706+0.0108995280682235i</v>
      </c>
      <c r="AD38" s="44">
        <f t="shared" si="6"/>
        <v>2.2739326841579945</v>
      </c>
      <c r="AE38" s="44">
        <f t="shared" si="7"/>
        <v>2.7338409916827016</v>
      </c>
      <c r="AF38" s="44">
        <f t="shared" si="8"/>
        <v>2.9493208711085868</v>
      </c>
      <c r="AG38" s="31">
        <f t="shared" si="9"/>
        <v>81.467649179070264</v>
      </c>
      <c r="AH38" s="31">
        <f t="shared" si="10"/>
        <v>75.669903932788216</v>
      </c>
      <c r="AI38" s="31">
        <f t="shared" si="11"/>
        <v>69.10282631818599</v>
      </c>
      <c r="AJ38" s="2" t="str">
        <f>IMSUM(R38,IMDIV(BASE!K$21^2,FRES!O38))</f>
        <v>9.12888354668152+4.38243146821966i</v>
      </c>
      <c r="AK38" s="2" t="str">
        <f>IMSUM(S38,IMDIV(BASE!L$21^2,FRES!P38))</f>
        <v>7.49588044323305+1.89271224280721i</v>
      </c>
      <c r="AL38" s="2" t="str">
        <f>IMSUM(T38,IMDIV(BASE!M$21^2,FRES!Q38))</f>
        <v>7.25834449974801+0.884638599618657i</v>
      </c>
      <c r="AM38" s="31">
        <f t="shared" si="24"/>
        <v>0.43148827116613486</v>
      </c>
      <c r="AN38" s="31">
        <f t="shared" si="24"/>
        <v>0.22135112459014661</v>
      </c>
      <c r="AO38" s="31">
        <f t="shared" si="24"/>
        <v>0.10392687104384585</v>
      </c>
      <c r="AP38" s="31">
        <f t="shared" si="12"/>
        <v>2.6477250403095156</v>
      </c>
      <c r="AQ38" s="31">
        <f t="shared" si="13"/>
        <v>1.3582684731941341</v>
      </c>
      <c r="AR38" s="31">
        <f t="shared" si="14"/>
        <v>0.63772249957139815</v>
      </c>
      <c r="AS38" s="2">
        <f t="shared" si="15"/>
        <v>117.23815253883933</v>
      </c>
      <c r="AT38" s="2">
        <f t="shared" si="16"/>
        <v>118.70208614907102</v>
      </c>
      <c r="AU38" s="2">
        <f t="shared" si="17"/>
        <v>119.38797990802053</v>
      </c>
      <c r="AV38" s="2">
        <f t="shared" si="18"/>
        <v>117.23815253883933</v>
      </c>
      <c r="AW38" s="2">
        <f t="shared" si="19"/>
        <v>118.70208614907102</v>
      </c>
      <c r="AX38" s="2">
        <f t="shared" si="20"/>
        <v>119.38797990802053</v>
      </c>
      <c r="AY38">
        <f t="shared" si="21"/>
        <v>10.126313267054032</v>
      </c>
      <c r="AZ38">
        <f t="shared" si="22"/>
        <v>7.7311437222002279</v>
      </c>
      <c r="BA38">
        <f t="shared" si="23"/>
        <v>7.3120551371661193</v>
      </c>
    </row>
    <row r="39" spans="1:53" x14ac:dyDescent="0.2">
      <c r="A39" s="2">
        <v>35</v>
      </c>
      <c r="B39" s="42">
        <f t="shared" si="27"/>
        <v>25398.416831491199</v>
      </c>
      <c r="C39" s="43">
        <v>37.754972507267738</v>
      </c>
      <c r="D39" s="2">
        <f t="shared" si="29"/>
        <v>237.22148853063388</v>
      </c>
      <c r="E39" s="2"/>
      <c r="F39" s="2">
        <f>$D39*BASE!E$15/100/E$3</f>
        <v>4.3444633073924231E-2</v>
      </c>
      <c r="G39" s="2">
        <f>$D39*BASE!F$15/100/F$3</f>
        <v>4.3444633073924231E-2</v>
      </c>
      <c r="H39" s="2">
        <f>$D39*BASE!G$15/100/G$3</f>
        <v>4.3444633073924231E-2</v>
      </c>
      <c r="I39" s="2">
        <f>(1-BESSELJ(2*F39,1)/F39)*BASE!K$13*E$2*E$3</f>
        <v>4.855972815345784E-3</v>
      </c>
      <c r="J39" s="2">
        <f>(1-BESSELJ(2*G39,1)/G39)*BASE!L$13*F$2*F$3</f>
        <v>4.855972815345784E-3</v>
      </c>
      <c r="K39" s="2">
        <f>(1-BESSELJ(2*H39,1)/H39)*BASE!M$13*G$2*G$3</f>
        <v>4.855972815345784E-3</v>
      </c>
      <c r="L39" s="2" t="str">
        <f>IMPRODUCT(COMPLEX(1-BESSELJ(2*F39,1)/F39,(STRUVE(2*F39)/(2*F39^2))),PI()*(BASE!E$15/100)^2*E$2*E$3)</f>
        <v>0.00485597281534578+0.189717353629884i</v>
      </c>
      <c r="M39" s="2" t="str">
        <f>IMPRODUCT(COMPLEX(1-BESSELJ(2*G39,1)/G39,(STRUVE(2*G39)/(2*G39^2))),PI()*(BASE!F$15/100)^2*F$2*F$3)</f>
        <v>0.00485597281534578+0.189717353629884i</v>
      </c>
      <c r="N39" s="2" t="str">
        <f>IMPRODUCT(COMPLEX(1-BESSELJ(2*H39,1)/H39,(STRUVE(2*H39)/(2*H39^2))),PI()*(BASE!G$15/100)^2*G$2*G$3)</f>
        <v>0.00485597281534578+0.189717353629884i</v>
      </c>
      <c r="O39" s="2" t="str">
        <f>IMSUM(IMPRODUCT(IF($O$3=1,L39,COMPLEX(I39,$D39*BASE!K$15)),2),COMPLEX(BASE!E$36,$D39*BASE!K$14-BASE!K$10/$D39))</f>
        <v>0.809711945630692-1.68048124052763i</v>
      </c>
      <c r="P39" s="2" t="str">
        <f>IMSUM(IMPRODUCT(IF($O$3=1,M39,COMPLEX(J39,$D39*BASE!L$15)),2),COMPLEX(BASE!F$36,$D39*BASE!L$14-BASE!L$10/$D39))</f>
        <v>0.809711945630692-4.77885147904455i</v>
      </c>
      <c r="Q39" s="2" t="str">
        <f>IMSUM(IMPRODUCT(IF($O$3=1,N39,COMPLEX(K39,$D39*BASE!M$15)),2),COMPLEX(BASE!G$36,$D39*BASE!M$14-BASE!M$10/$D39))</f>
        <v>0.809711945630692-10.9755919560784i</v>
      </c>
      <c r="R39" s="2" t="str">
        <f>COMPLEX(BASE!E$19,FRES!$D39*BASE!K$36)</f>
        <v>7.2+0.066043325847107i</v>
      </c>
      <c r="S39" s="2" t="str">
        <f>COMPLEX(BASE!F$19,FRES!$D39*BASE!L$36)</f>
        <v>7.2+0.066043325847107i</v>
      </c>
      <c r="T39" s="2" t="str">
        <f>COMPLEX(BASE!G$19,FRES!$D39*BASE!M$36)</f>
        <v>7.2+0.066043325847107i</v>
      </c>
      <c r="U39" s="2" t="str">
        <f>IMDIV(BASE!K$21*BASE!E$38,IMPRODUCT(FRES!R39,IMSUM(FRES!O39,IMDIV(BASE!K$21^2,FRES!R39))))</f>
        <v>0.349648755330004+0.274848689139384i</v>
      </c>
      <c r="V39" s="2" t="str">
        <f>IMDIV(BASE!L$21*BASE!F$38,IMPRODUCT(FRES!S39,IMSUM(FRES!P39,IMDIV(BASE!L$21^2,FRES!S39))))</f>
        <v>0.0947115882922844+0.209528007600824i</v>
      </c>
      <c r="W39" s="2" t="str">
        <f>IMDIV(BASE!M$21*BASE!G$38,IMPRODUCT(FRES!T39,IMSUM(FRES!Q39,IMDIV(BASE!M$21^2,FRES!T39))))</f>
        <v>0.0212879125931535+0.105477708838027i</v>
      </c>
      <c r="X39" s="2" t="str">
        <f t="shared" si="28"/>
        <v>0.00115861632452361-0.00147393373802581i</v>
      </c>
      <c r="Y39" s="2" t="str">
        <f t="shared" si="25"/>
        <v>0.000883258969913117-0.000399253831846914i</v>
      </c>
      <c r="Z39" s="2" t="str">
        <f t="shared" si="25"/>
        <v>0.000444638086926117-0.0000897385507738455i</v>
      </c>
      <c r="AA39" s="44" t="str">
        <f>IMPRODUCT(COMPLEX(0,$D39),U39,E$2,BASE!E$15^2/10000,1/(2*BASE!$U$3))</f>
        <v>-0.155267316098066+0.197523313598879i</v>
      </c>
      <c r="AB39" s="44" t="str">
        <f>IMPRODUCT(COMPLEX(0,$D39),V39,F$2,BASE!F$15^2/10000,1/(2*BASE!$U$3))</f>
        <v>-0.118366405491775+0.0535043996883332i</v>
      </c>
      <c r="AC39" s="44" t="str">
        <f>IMPRODUCT(COMPLEX(0,$D39),W39,G$2,BASE!G$15^2/10000,1/(2*BASE!$U$3))</f>
        <v>-0.0595863884624473+0.0120259516755161i</v>
      </c>
      <c r="AD39" s="44">
        <f t="shared" si="6"/>
        <v>2.2369859793199165</v>
      </c>
      <c r="AE39" s="44">
        <f t="shared" si="7"/>
        <v>2.717057238416797</v>
      </c>
      <c r="AF39" s="44">
        <f t="shared" si="8"/>
        <v>2.9424440512491343</v>
      </c>
      <c r="AG39" s="31">
        <f t="shared" si="9"/>
        <v>81.981303839790513</v>
      </c>
      <c r="AH39" s="31">
        <f t="shared" si="10"/>
        <v>76.251407249446444</v>
      </c>
      <c r="AI39" s="31">
        <f t="shared" si="11"/>
        <v>69.655733981823218</v>
      </c>
      <c r="AJ39" s="2" t="str">
        <f>IMSUM(R39,IMDIV(BASE!K$21^2,FRES!O39))</f>
        <v>9.38350833787357+4.59771019840896i</v>
      </c>
      <c r="AK39" s="2" t="str">
        <f>IMSUM(S39,IMDIV(BASE!L$21^2,FRES!P39))</f>
        <v>7.52340818203773+1.97477108688106i</v>
      </c>
      <c r="AL39" s="2" t="str">
        <f>IMSUM(T39,IMDIV(BASE!M$21^2,FRES!Q39))</f>
        <v>7.26273029294958+0.916348304568411i</v>
      </c>
      <c r="AM39" s="31">
        <f t="shared" si="24"/>
        <v>0.44474268293639047</v>
      </c>
      <c r="AN39" s="31">
        <f t="shared" si="24"/>
        <v>0.22993971150285922</v>
      </c>
      <c r="AO39" s="31">
        <f t="shared" si="24"/>
        <v>0.10760447148837887</v>
      </c>
      <c r="AP39" s="31">
        <f t="shared" si="12"/>
        <v>2.6513666104646245</v>
      </c>
      <c r="AQ39" s="31">
        <f t="shared" si="13"/>
        <v>1.370802706574819</v>
      </c>
      <c r="AR39" s="31">
        <f t="shared" si="14"/>
        <v>0.64149206673240666</v>
      </c>
      <c r="AS39" s="2">
        <f t="shared" si="15"/>
        <v>117.12054752472058</v>
      </c>
      <c r="AT39" s="2">
        <f t="shared" si="16"/>
        <v>118.64866180315295</v>
      </c>
      <c r="AU39" s="2">
        <f t="shared" si="17"/>
        <v>119.36609031055283</v>
      </c>
      <c r="AV39" s="2">
        <f t="shared" si="18"/>
        <v>117.12054752472058</v>
      </c>
      <c r="AW39" s="2">
        <f t="shared" si="19"/>
        <v>118.64866180315295</v>
      </c>
      <c r="AX39" s="2">
        <f t="shared" si="20"/>
        <v>119.36609031055283</v>
      </c>
      <c r="AY39">
        <f t="shared" si="21"/>
        <v>10.449362076007157</v>
      </c>
      <c r="AZ39">
        <f t="shared" si="22"/>
        <v>7.7782640427754606</v>
      </c>
      <c r="BA39">
        <f t="shared" si="23"/>
        <v>7.3203104799873682</v>
      </c>
    </row>
    <row r="40" spans="1:53" x14ac:dyDescent="0.2">
      <c r="A40" s="2">
        <v>36</v>
      </c>
      <c r="B40" s="42">
        <f t="shared" si="27"/>
        <v>40317.473596635929</v>
      </c>
      <c r="C40" s="43">
        <v>38.861277646144231</v>
      </c>
      <c r="D40" s="2">
        <f t="shared" si="29"/>
        <v>244.17260872447991</v>
      </c>
      <c r="E40" s="2"/>
      <c r="F40" s="2">
        <f>$D40*BASE!E$15/100/E$3</f>
        <v>4.4717657993146032E-2</v>
      </c>
      <c r="G40" s="2">
        <f>$D40*BASE!F$15/100/F$3</f>
        <v>4.4717657993146032E-2</v>
      </c>
      <c r="H40" s="2">
        <f>$D40*BASE!G$15/100/G$3</f>
        <v>4.4717657993146032E-2</v>
      </c>
      <c r="I40" s="2">
        <f>(1-BESSELJ(2*F40,1)/F40)*BASE!K$13*E$2*E$3</f>
        <v>5.1446277980162674E-3</v>
      </c>
      <c r="J40" s="2">
        <f>(1-BESSELJ(2*G40,1)/G40)*BASE!L$13*F$2*F$3</f>
        <v>5.1446277980162674E-3</v>
      </c>
      <c r="K40" s="2">
        <f>(1-BESSELJ(2*H40,1)/H40)*BASE!M$13*G$2*G$3</f>
        <v>5.1446277980162674E-3</v>
      </c>
      <c r="L40" s="2" t="str">
        <f>IMPRODUCT(COMPLEX(1-BESSELJ(2*F40,1)/F40,(STRUVE(2*F40)/(2*F40^2))),PI()*(BASE!E$15/100)^2*E$2*E$3)</f>
        <v>0.00514462779801627+0.195270651695592i</v>
      </c>
      <c r="M40" s="2" t="str">
        <f>IMPRODUCT(COMPLEX(1-BESSELJ(2*G40,1)/G40,(STRUVE(2*G40)/(2*G40^2))),PI()*(BASE!F$15/100)^2*F$2*F$3)</f>
        <v>0.00514462779801627+0.195270651695592i</v>
      </c>
      <c r="N40" s="2" t="str">
        <f>IMPRODUCT(COMPLEX(1-BESSELJ(2*H40,1)/H40,(STRUVE(2*H40)/(2*H40^2))),PI()*(BASE!G$15/100)^2*G$2*G$3)</f>
        <v>0.00514462779801627+0.195270651695592i</v>
      </c>
      <c r="O40" s="2" t="str">
        <f>IMSUM(IMPRODUCT(IF($O$3=1,L40,COMPLEX(I40,$D40*BASE!K$15)),2),COMPLEX(BASE!E$36,$D40*BASE!K$14-BASE!K$10/$D40))</f>
        <v>0.810289255596033-1.55084993472527i</v>
      </c>
      <c r="P40" s="2" t="str">
        <f>IMSUM(IMPRODUCT(IF($O$3=1,M40,COMPLEX(J40,$D40*BASE!L$15)),2),COMPLEX(BASE!F$36,$D40*BASE!L$14-BASE!L$10/$D40))</f>
        <v>0.810289255596033-4.56101558696418i</v>
      </c>
      <c r="Q40" s="2" t="str">
        <f>IMSUM(IMPRODUCT(IF($O$3=1,N40,COMPLEX(K40,$D40*BASE!M$15)),2),COMPLEX(BASE!G$36,$D40*BASE!M$14-BASE!M$10/$D40))</f>
        <v>0.810289255596033-10.581346891442i</v>
      </c>
      <c r="R40" s="2" t="str">
        <f>COMPLEX(BASE!E$19,FRES!$D40*BASE!K$36)</f>
        <v>7.2+0.0679785430098021i</v>
      </c>
      <c r="S40" s="2" t="str">
        <f>COMPLEX(BASE!F$19,FRES!$D40*BASE!L$36)</f>
        <v>7.2+0.0679785430098021i</v>
      </c>
      <c r="T40" s="2" t="str">
        <f>COMPLEX(BASE!G$19,FRES!$D40*BASE!M$36)</f>
        <v>7.2+0.0679785430098021i</v>
      </c>
      <c r="U40" s="2" t="str">
        <f>IMDIV(BASE!K$21*BASE!E$38,IMPRODUCT(FRES!R40,IMSUM(FRES!O40,IMDIV(BASE!K$21^2,FRES!R40))))</f>
        <v>0.370787869293798+0.268868003290211i</v>
      </c>
      <c r="V40" s="2" t="str">
        <f>IMDIV(BASE!L$21*BASE!F$38,IMPRODUCT(FRES!S40,IMSUM(FRES!P40,IMDIV(BASE!L$21^2,FRES!S40))))</f>
        <v>0.102292216044979+0.215975883493224i</v>
      </c>
      <c r="W40" s="2" t="str">
        <f>IMDIV(BASE!M$21*BASE!G$38,IMPRODUCT(FRES!T40,IMSUM(FRES!Q40,IMDIV(BASE!M$21^2,FRES!T40))))</f>
        <v>0.0228361190488483+0.109089017417351i</v>
      </c>
      <c r="X40" s="2" t="str">
        <f t="shared" si="28"/>
        <v>0.00110113908638129-0.00151854817471434i</v>
      </c>
      <c r="Y40" s="2" t="str">
        <f t="shared" si="25"/>
        <v>0.000884521341773136-0.000418934034326527i</v>
      </c>
      <c r="Z40" s="2" t="str">
        <f t="shared" si="25"/>
        <v>0.000446770086076465-0.0000935244914167099i</v>
      </c>
      <c r="AA40" s="44" t="str">
        <f>IMPRODUCT(COMPLEX(0,$D40),U40,E$2,BASE!E$15^2/10000,1/(2*BASE!$U$3))</f>
        <v>-0.156339390485345+0.215603005100543i</v>
      </c>
      <c r="AB40" s="44" t="str">
        <f>IMPRODUCT(COMPLEX(0,$D40),V40,F$2,BASE!F$15^2/10000,1/(2*BASE!$U$3))</f>
        <v>-0.125584069400845+0.0594801259806488i</v>
      </c>
      <c r="AC40" s="44" t="str">
        <f>IMPRODUCT(COMPLEX(0,$D40),W40,G$2,BASE!G$15^2/10000,1/(2*BASE!$U$3))</f>
        <v>-0.0634322800889963+0.01327857866856i</v>
      </c>
      <c r="AD40" s="44">
        <f t="shared" si="6"/>
        <v>2.1981872424781201</v>
      </c>
      <c r="AE40" s="44">
        <f t="shared" si="7"/>
        <v>2.6992643778052661</v>
      </c>
      <c r="AF40" s="44">
        <f t="shared" si="8"/>
        <v>2.9352377237360976</v>
      </c>
      <c r="AG40" s="31">
        <f t="shared" si="9"/>
        <v>82.48749522741592</v>
      </c>
      <c r="AH40" s="31">
        <f t="shared" si="10"/>
        <v>76.837052763509391</v>
      </c>
      <c r="AI40" s="31">
        <f t="shared" si="11"/>
        <v>70.211866941996021</v>
      </c>
      <c r="AJ40" s="2" t="str">
        <f>IMSUM(R40,IMDIV(BASE!K$21^2,FRES!O40))</f>
        <v>9.68334352679893+4.8209641217259i</v>
      </c>
      <c r="AK40" s="2" t="str">
        <f>IMSUM(S40,IMDIV(BASE!L$21^2,FRES!P40))</f>
        <v>7.55430869509083+2.06233731025955i</v>
      </c>
      <c r="AL40" s="2" t="str">
        <f>IMSUM(T40,IMDIV(BASE!M$21^2,FRES!Q40))</f>
        <v>7.26751166764432+0.949595039379131i</v>
      </c>
      <c r="AM40" s="31">
        <f t="shared" si="24"/>
        <v>0.45801053176613693</v>
      </c>
      <c r="AN40" s="31">
        <f t="shared" si="24"/>
        <v>0.23897547931549656</v>
      </c>
      <c r="AO40" s="31">
        <f t="shared" si="24"/>
        <v>0.11145358699609575</v>
      </c>
      <c r="AP40" s="31">
        <f t="shared" si="12"/>
        <v>2.65273287252406</v>
      </c>
      <c r="AQ40" s="31">
        <f t="shared" si="13"/>
        <v>1.3841125165023604</v>
      </c>
      <c r="AR40" s="31">
        <f t="shared" si="14"/>
        <v>0.64552357092135093</v>
      </c>
      <c r="AS40" s="2">
        <f t="shared" si="15"/>
        <v>116.99704730963872</v>
      </c>
      <c r="AT40" s="2">
        <f t="shared" si="16"/>
        <v>118.59202536879155</v>
      </c>
      <c r="AU40" s="2">
        <f t="shared" si="17"/>
        <v>119.34315185764807</v>
      </c>
      <c r="AV40" s="2">
        <f t="shared" si="18"/>
        <v>116.99704730963872</v>
      </c>
      <c r="AW40" s="2">
        <f t="shared" si="19"/>
        <v>118.59202536879155</v>
      </c>
      <c r="AX40" s="2">
        <f t="shared" si="20"/>
        <v>119.34315185764807</v>
      </c>
      <c r="AY40">
        <f t="shared" si="21"/>
        <v>10.817062305495291</v>
      </c>
      <c r="AZ40">
        <f t="shared" si="22"/>
        <v>7.8307608214025732</v>
      </c>
      <c r="BA40">
        <f t="shared" si="23"/>
        <v>7.3292875900840313</v>
      </c>
    </row>
    <row r="41" spans="1:53" x14ac:dyDescent="0.2">
      <c r="A41" s="2">
        <v>37</v>
      </c>
      <c r="B41" s="42">
        <f t="shared" si="27"/>
        <v>64000</v>
      </c>
      <c r="C41" s="43">
        <v>40</v>
      </c>
      <c r="D41" s="2">
        <f t="shared" si="29"/>
        <v>251.32741228718345</v>
      </c>
      <c r="E41" s="2"/>
      <c r="F41" s="2">
        <f>$D41*BASE!E$15/100/E$3</f>
        <v>4.6027985389803946E-2</v>
      </c>
      <c r="G41" s="2">
        <f>$D41*BASE!F$15/100/F$3</f>
        <v>4.6027985389803946E-2</v>
      </c>
      <c r="H41" s="2">
        <f>$D41*BASE!G$15/100/G$3</f>
        <v>4.6027985389803946E-2</v>
      </c>
      <c r="I41" s="2">
        <f>(1-BESSELJ(2*F41,1)/F41)*BASE!K$13*E$2*E$3</f>
        <v>5.4504353162782918E-3</v>
      </c>
      <c r="J41" s="2">
        <f>(1-BESSELJ(2*G41,1)/G41)*BASE!L$13*F$2*F$3</f>
        <v>5.4504353162782918E-3</v>
      </c>
      <c r="K41" s="2">
        <f>(1-BESSELJ(2*H41,1)/H41)*BASE!M$13*G$2*G$3</f>
        <v>5.4504353162782918E-3</v>
      </c>
      <c r="L41" s="2" t="str">
        <f>IMPRODUCT(COMPLEX(1-BESSELJ(2*F41,1)/F41,(STRUVE(2*F41)/(2*F41^2))),PI()*(BASE!E$15/100)^2*E$2*E$3)</f>
        <v>0.00545043531627828+0.200986144990877i</v>
      </c>
      <c r="M41" s="2" t="str">
        <f>IMPRODUCT(COMPLEX(1-BESSELJ(2*G41,1)/G41,(STRUVE(2*G41)/(2*G41^2))),PI()*(BASE!F$15/100)^2*F$2*F$3)</f>
        <v>0.00545043531627828+0.200986144990877i</v>
      </c>
      <c r="N41" s="2" t="str">
        <f>IMPRODUCT(COMPLEX(1-BESSELJ(2*H41,1)/H41,(STRUVE(2*H41)/(2*H41^2))),PI()*(BASE!G$15/100)^2*G$2*G$3)</f>
        <v>0.00545043531627828+0.200986144990877i</v>
      </c>
      <c r="O41" s="2" t="str">
        <f>IMSUM(IMPRODUCT(IF($O$3=1,L41,COMPLEX(I41,$D41*BASE!K$15)),2),COMPLEX(BASE!E$36,$D41*BASE!K$14-BASE!K$10/$D41))</f>
        <v>0.810900870632557-1.42251231350509i</v>
      </c>
      <c r="P41" s="2" t="str">
        <f>IMSUM(IMPRODUCT(IF($O$3=1,M41,COMPLEX(J41,$D41*BASE!L$15)),2),COMPLEX(BASE!F$36,$D41*BASE!L$14-BASE!L$10/$D41))</f>
        <v>0.810900870632557-4.34698439281867i</v>
      </c>
      <c r="Q41" s="2" t="str">
        <f>IMSUM(IMPRODUCT(IF($O$3=1,N41,COMPLEX(K41,$D41*BASE!M$15)),2),COMPLEX(BASE!G$36,$D41*BASE!M$14-BASE!M$10/$D41))</f>
        <v>0.810900870632557-10.1959285514458i</v>
      </c>
      <c r="R41" s="2" t="str">
        <f>COMPLEX(BASE!E$19,FRES!$D41*BASE!K$36)</f>
        <v>7.2+0.0699704663637552i</v>
      </c>
      <c r="S41" s="2" t="str">
        <f>COMPLEX(BASE!F$19,FRES!$D41*BASE!L$36)</f>
        <v>7.2+0.0699704663637552i</v>
      </c>
      <c r="T41" s="2" t="str">
        <f>COMPLEX(BASE!G$19,FRES!$D41*BASE!M$36)</f>
        <v>7.2+0.0699704663637552i</v>
      </c>
      <c r="U41" s="2" t="str">
        <f>IMDIV(BASE!K$21*BASE!E$38,IMPRODUCT(FRES!R41,IMSUM(FRES!O41,IMDIV(BASE!K$21^2,FRES!R41))))</f>
        <v>0.392394734581844+0.260855656855947i</v>
      </c>
      <c r="V41" s="2" t="str">
        <f>IMDIV(BASE!L$21*BASE!F$38,IMPRODUCT(FRES!S41,IMSUM(FRES!P41,IMDIV(BASE!L$21^2,FRES!S41))))</f>
        <v>0.110586883485094+0.222523278289178i</v>
      </c>
      <c r="W41" s="2" t="str">
        <f>IMDIV(BASE!M$21*BASE!G$38,IMPRODUCT(FRES!T41,IMSUM(FRES!Q41,IMDIV(BASE!M$21^2,FRES!T41))))</f>
        <v>0.0245161908206439+0.112853853711479i</v>
      </c>
      <c r="X41" s="2" t="str">
        <f t="shared" si="28"/>
        <v>0.00103791168055268-0.00156128904129832i</v>
      </c>
      <c r="Y41" s="2" t="str">
        <f t="shared" si="25"/>
        <v>0.000885391992318405-0.000440011228694506i</v>
      </c>
      <c r="Z41" s="2" t="str">
        <f t="shared" si="25"/>
        <v>0.000449031216628789-0.0000975468238722408i</v>
      </c>
      <c r="AA41" s="44" t="str">
        <f>IMPRODUCT(COMPLEX(0,$D41),U41,E$2,BASE!E$15^2/10000,1/(2*BASE!$U$3))</f>
        <v>-0.156125006027132+0.234852604079951i</v>
      </c>
      <c r="AB41" s="44" t="str">
        <f>IMPRODUCT(COMPLEX(0,$D41),V41,F$2,BASE!F$15^2/10000,1/(2*BASE!$U$3))</f>
        <v>-0.133182651980058+0.0661874772382896i</v>
      </c>
      <c r="AC41" s="44" t="str">
        <f>IMPRODUCT(COMPLEX(0,$D41),W41,G$2,BASE!G$15^2/10000,1/(2*BASE!$U$3))</f>
        <v>-0.0675442840812906+0.0146732123265744i</v>
      </c>
      <c r="AD41" s="44">
        <f t="shared" si="6"/>
        <v>2.1574907290404095</v>
      </c>
      <c r="AE41" s="44">
        <f t="shared" si="7"/>
        <v>2.6803738196916305</v>
      </c>
      <c r="AF41" s="44">
        <f t="shared" si="8"/>
        <v>2.9276779772438224</v>
      </c>
      <c r="AG41" s="31">
        <f t="shared" si="9"/>
        <v>82.984751584866672</v>
      </c>
      <c r="AH41" s="31">
        <f t="shared" si="10"/>
        <v>77.426937347549355</v>
      </c>
      <c r="AI41" s="31">
        <f t="shared" si="11"/>
        <v>70.771437471346403</v>
      </c>
      <c r="AJ41" s="2" t="str">
        <f>IMSUM(R41,IMDIV(BASE!K$21^2,FRES!O41))</f>
        <v>10.0380135231002+5.04851880526842i</v>
      </c>
      <c r="AK41" s="2" t="str">
        <f>IMSUM(S41,IMDIV(BASE!L$21^2,FRES!P41))</f>
        <v>7.58913097589517+2.15597917623122i</v>
      </c>
      <c r="AL41" s="2" t="str">
        <f>IMSUM(T41,IMDIV(BASE!M$21^2,FRES!Q41))</f>
        <v>7.27273371210829+0.984493756194575i</v>
      </c>
      <c r="AM41" s="31">
        <f t="shared" si="24"/>
        <v>0.47118924164427117</v>
      </c>
      <c r="AN41" s="31">
        <f t="shared" si="24"/>
        <v>0.24848756141808934</v>
      </c>
      <c r="AO41" s="31">
        <f t="shared" si="24"/>
        <v>0.11548608535181254</v>
      </c>
      <c r="AP41" s="31">
        <f t="shared" si="12"/>
        <v>2.6513710140626929</v>
      </c>
      <c r="AQ41" s="31">
        <f t="shared" si="13"/>
        <v>1.3982337869174837</v>
      </c>
      <c r="AR41" s="31">
        <f t="shared" si="14"/>
        <v>0.64983754332093246</v>
      </c>
      <c r="AS41" s="2">
        <f t="shared" si="15"/>
        <v>116.86750628403436</v>
      </c>
      <c r="AT41" s="2">
        <f t="shared" si="16"/>
        <v>118.53189485476055</v>
      </c>
      <c r="AU41" s="2">
        <f t="shared" si="17"/>
        <v>119.31908843719272</v>
      </c>
      <c r="AV41" s="2">
        <f t="shared" si="18"/>
        <v>116.86750628403436</v>
      </c>
      <c r="AW41" s="2">
        <f t="shared" si="19"/>
        <v>118.53189485476055</v>
      </c>
      <c r="AX41" s="2">
        <f t="shared" si="20"/>
        <v>119.31908843719272</v>
      </c>
      <c r="AY41">
        <f t="shared" si="21"/>
        <v>11.236069491467708</v>
      </c>
      <c r="AZ41">
        <f t="shared" si="22"/>
        <v>7.8894331341126307</v>
      </c>
      <c r="BA41">
        <f t="shared" si="23"/>
        <v>7.339065581068378</v>
      </c>
    </row>
    <row r="42" spans="1:53" x14ac:dyDescent="0.2">
      <c r="A42" s="2">
        <v>38</v>
      </c>
      <c r="B42" s="42">
        <f t="shared" si="27"/>
        <v>101593.66732596477</v>
      </c>
      <c r="C42" s="43">
        <v>41.172089465739681</v>
      </c>
      <c r="D42" s="2">
        <f t="shared" si="29"/>
        <v>258.69186759701898</v>
      </c>
      <c r="E42" s="2"/>
      <c r="F42" s="2">
        <f>$D42*BASE!E$15/100/E$3</f>
        <v>4.737670830991917E-2</v>
      </c>
      <c r="G42" s="2">
        <f>$D42*BASE!F$15/100/F$3</f>
        <v>4.737670830991917E-2</v>
      </c>
      <c r="H42" s="2">
        <f>$D42*BASE!G$15/100/G$3</f>
        <v>4.737670830991917E-2</v>
      </c>
      <c r="I42" s="2">
        <f>(1-BESSELJ(2*F42,1)/F42)*BASE!K$13*E$2*E$3</f>
        <v>5.774413870409654E-3</v>
      </c>
      <c r="J42" s="2">
        <f>(1-BESSELJ(2*G42,1)/G42)*BASE!L$13*F$2*F$3</f>
        <v>5.774413870409654E-3</v>
      </c>
      <c r="K42" s="2">
        <f>(1-BESSELJ(2*H42,1)/H42)*BASE!M$13*G$2*G$3</f>
        <v>5.774413870409654E-3</v>
      </c>
      <c r="L42" s="2" t="str">
        <f>IMPRODUCT(COMPLEX(1-BESSELJ(2*F42,1)/F42,(STRUVE(2*F42)/(2*F42^2))),PI()*(BASE!E$15/100)^2*E$2*E$3)</f>
        <v>0.00577441387040964+0.206868538362187i</v>
      </c>
      <c r="M42" s="2" t="str">
        <f>IMPRODUCT(COMPLEX(1-BESSELJ(2*G42,1)/G42,(STRUVE(2*G42)/(2*G42^2))),PI()*(BASE!F$15/100)^2*F$2*F$3)</f>
        <v>0.00577441387040964+0.206868538362187i</v>
      </c>
      <c r="N42" s="2" t="str">
        <f>IMPRODUCT(COMPLEX(1-BESSELJ(2*H42,1)/H42,(STRUVE(2*H42)/(2*H42^2))),PI()*(BASE!G$15/100)^2*G$2*G$3)</f>
        <v>0.00577441387040964+0.206868538362187i</v>
      </c>
      <c r="O42" s="2" t="str">
        <f>IMSUM(IMPRODUCT(IF($O$3=1,L42,COMPLEX(I42,$D42*BASE!K$15)),2),COMPLEX(BASE!E$36,$D42*BASE!K$14-BASE!K$10/$D42))</f>
        <v>0.811548827740819-1.29536132047294i</v>
      </c>
      <c r="P42" s="2" t="str">
        <f>IMSUM(IMPRODUCT(IF($O$3=1,M42,COMPLEX(J42,$D42*BASE!L$15)),2),COMPLEX(BASE!F$36,$D42*BASE!L$14-BASE!L$10/$D42))</f>
        <v>0.811548827740819-4.13657935653798i</v>
      </c>
      <c r="Q42" s="2" t="str">
        <f>IMSUM(IMPRODUCT(IF($O$3=1,N42,COMPLEX(K42,$D42*BASE!M$15)),2),COMPLEX(BASE!G$36,$D42*BASE!M$14-BASE!M$10/$D42))</f>
        <v>0.811548827740819-9.8190154286681i</v>
      </c>
      <c r="R42" s="2" t="str">
        <f>COMPLEX(BASE!E$19,FRES!$D42*BASE!K$36)</f>
        <v>7.2+0.0720207575272014i</v>
      </c>
      <c r="S42" s="2" t="str">
        <f>COMPLEX(BASE!F$19,FRES!$D42*BASE!L$36)</f>
        <v>7.2+0.0720207575272014i</v>
      </c>
      <c r="T42" s="2" t="str">
        <f>COMPLEX(BASE!G$19,FRES!$D42*BASE!M$36)</f>
        <v>7.2+0.0720207575272014i</v>
      </c>
      <c r="U42" s="2" t="str">
        <f>IMDIV(BASE!K$21*BASE!E$38,IMPRODUCT(FRES!R42,IMSUM(FRES!O42,IMDIV(BASE!K$21^2,FRES!R42))))</f>
        <v>0.414249835175665+0.250611710711474i</v>
      </c>
      <c r="V42" s="2" t="str">
        <f>IMDIV(BASE!L$21*BASE!F$38,IMPRODUCT(FRES!S42,IMSUM(FRES!P42,IMDIV(BASE!L$21^2,FRES!S42))))</f>
        <v>0.119672034779177+0.229137815631512i</v>
      </c>
      <c r="W42" s="2" t="str">
        <f>IMDIV(BASE!M$21*BASE!G$38,IMPRODUCT(FRES!T42,IMSUM(FRES!Q42,IMDIV(BASE!M$21^2,FRES!T42))))</f>
        <v>0.0263419375903884+0.116780899790581i</v>
      </c>
      <c r="X42" s="2" t="str">
        <f t="shared" si="28"/>
        <v>0.000968765323159938-0.00160132531039193i</v>
      </c>
      <c r="Y42" s="2" t="str">
        <f t="shared" si="25"/>
        <v>0.000885755774852787-0.000462604549152654i</v>
      </c>
      <c r="Z42" s="2" t="str">
        <f t="shared" si="25"/>
        <v>0.000451428569731841-0.000101827466920696i</v>
      </c>
      <c r="AA42" s="44" t="str">
        <f>IMPRODUCT(COMPLEX(0,$D42),U42,E$2,BASE!E$15^2/10000,1/(2*BASE!$U$3))</f>
        <v>-0.154389047031891+0.255198119450692i</v>
      </c>
      <c r="AB42" s="44" t="str">
        <f>IMPRODUCT(COMPLEX(0,$D42),V42,F$2,BASE!F$15^2/10000,1/(2*BASE!$U$3))</f>
        <v>-0.141160079446753+0.0737238150343091i</v>
      </c>
      <c r="AC42" s="44" t="str">
        <f>IMPRODUCT(COMPLEX(0,$D42),W42,G$2,BASE!G$15^2/10000,1/(2*BASE!$U$3))</f>
        <v>-0.0719427347549291+0.0162279193977324i</v>
      </c>
      <c r="AD42" s="44">
        <f t="shared" si="6"/>
        <v>2.1148675076681953</v>
      </c>
      <c r="AE42" s="44">
        <f t="shared" si="7"/>
        <v>2.6602874022789593</v>
      </c>
      <c r="AF42" s="44">
        <f t="shared" si="8"/>
        <v>2.9197384320936619</v>
      </c>
      <c r="AG42" s="31">
        <f t="shared" si="9"/>
        <v>83.471448298304296</v>
      </c>
      <c r="AH42" s="31">
        <f t="shared" si="10"/>
        <v>78.021127004621874</v>
      </c>
      <c r="AI42" s="31">
        <f t="shared" si="11"/>
        <v>71.334672480200396</v>
      </c>
      <c r="AJ42" s="2" t="str">
        <f>IMSUM(R42,IMDIV(BASE!K$21^2,FRES!O42))</f>
        <v>10.4590824910655+5.27403603356315i</v>
      </c>
      <c r="AK42" s="2" t="str">
        <f>IMSUM(S42,IMDIV(BASE!L$21^2,FRES!P42))</f>
        <v>7.6285382723186+2.25634104752668i</v>
      </c>
      <c r="AL42" s="2" t="str">
        <f>IMSUM(T42,IMDIV(BASE!M$21^2,FRES!Q42))</f>
        <v>7.27844803670952+1.02117188247407i</v>
      </c>
      <c r="AM42" s="31">
        <f t="shared" si="24"/>
        <v>0.4841581926279851</v>
      </c>
      <c r="AN42" s="31">
        <f t="shared" si="24"/>
        <v>0.25850635284373447</v>
      </c>
      <c r="AO42" s="31">
        <f t="shared" si="24"/>
        <v>0.11971497914594328</v>
      </c>
      <c r="AP42" s="31">
        <f t="shared" si="12"/>
        <v>2.6467901318612292</v>
      </c>
      <c r="AQ42" s="31">
        <f t="shared" si="13"/>
        <v>1.4131993925711905</v>
      </c>
      <c r="AR42" s="31">
        <f t="shared" si="14"/>
        <v>0.65445639517025289</v>
      </c>
      <c r="AS42" s="2">
        <f t="shared" si="15"/>
        <v>116.7318323565966</v>
      </c>
      <c r="AT42" s="2">
        <f t="shared" si="16"/>
        <v>118.46795780235588</v>
      </c>
      <c r="AU42" s="2">
        <f t="shared" si="17"/>
        <v>119.29381608006173</v>
      </c>
      <c r="AV42" s="2">
        <f t="shared" si="18"/>
        <v>116.7318323565966</v>
      </c>
      <c r="AW42" s="2">
        <f t="shared" si="19"/>
        <v>118.46795780235588</v>
      </c>
      <c r="AX42" s="2">
        <f t="shared" si="20"/>
        <v>119.29381608006173</v>
      </c>
      <c r="AY42">
        <f t="shared" si="21"/>
        <v>11.713575997031624</v>
      </c>
      <c r="AZ42">
        <f t="shared" si="22"/>
        <v>7.9552291667169115</v>
      </c>
      <c r="BA42">
        <f t="shared" si="23"/>
        <v>7.3497345419162112</v>
      </c>
    </row>
    <row r="43" spans="1:53" x14ac:dyDescent="0.2">
      <c r="A43" s="2">
        <v>39</v>
      </c>
      <c r="B43" s="42">
        <f t="shared" si="27"/>
        <v>161269.89438654369</v>
      </c>
      <c r="C43" s="43">
        <v>42.3785237743718</v>
      </c>
      <c r="D43" s="2">
        <f t="shared" si="29"/>
        <v>266.27211791909366</v>
      </c>
      <c r="E43" s="2"/>
      <c r="F43" s="2">
        <f>$D43*BASE!E$15/100/E$3</f>
        <v>4.8764951828206109E-2</v>
      </c>
      <c r="G43" s="2">
        <f>$D43*BASE!F$15/100/F$3</f>
        <v>4.8764951828206109E-2</v>
      </c>
      <c r="H43" s="2">
        <f>$D43*BASE!G$15/100/G$3</f>
        <v>4.8764951828206109E-2</v>
      </c>
      <c r="I43" s="2">
        <f>(1-BESSELJ(2*F43,1)/F43)*BASE!K$13*E$2*E$3</f>
        <v>6.1176423472882888E-3</v>
      </c>
      <c r="J43" s="2">
        <f>(1-BESSELJ(2*G43,1)/G43)*BASE!L$13*F$2*F$3</f>
        <v>6.1176423472882888E-3</v>
      </c>
      <c r="K43" s="2">
        <f>(1-BESSELJ(2*H43,1)/H43)*BASE!M$13*G$2*G$3</f>
        <v>6.1176423472882888E-3</v>
      </c>
      <c r="L43" s="2" t="str">
        <f>IMPRODUCT(COMPLEX(1-BESSELJ(2*F43,1)/F43,(STRUVE(2*F43)/(2*F43^2))),PI()*(BASE!E$15/100)^2*E$2*E$3)</f>
        <v>0.00611764234728828+0.212922670192976i</v>
      </c>
      <c r="M43" s="2" t="str">
        <f>IMPRODUCT(COMPLEX(1-BESSELJ(2*G43,1)/G43,(STRUVE(2*G43)/(2*G43^2))),PI()*(BASE!F$15/100)^2*F$2*F$3)</f>
        <v>0.00611764234728828+0.212922670192976i</v>
      </c>
      <c r="N43" s="2" t="str">
        <f>IMPRODUCT(COMPLEX(1-BESSELJ(2*H43,1)/H43,(STRUVE(2*H43)/(2*H43^2))),PI()*(BASE!G$15/100)^2*G$2*G$3)</f>
        <v>0.00611764234728828+0.212922670192976i</v>
      </c>
      <c r="O43" s="2" t="str">
        <f>IMSUM(IMPRODUCT(IF($O$3=1,L43,COMPLEX(I43,$D43*BASE!K$15)),2),COMPLEX(BASE!E$36,$D43*BASE!K$14-BASE!K$10/$D43))</f>
        <v>0.812235284694577-1.16929088909354i</v>
      </c>
      <c r="P43" s="2" t="str">
        <f>IMSUM(IMPRODUCT(IF($O$3=1,M43,COMPLEX(J43,$D43*BASE!L$15)),2),COMPLEX(BASE!F$36,$D43*BASE!L$14-BASE!L$10/$D43))</f>
        <v>0.812235284694577-3.92962496291245i</v>
      </c>
      <c r="Q43" s="2" t="str">
        <f>IMSUM(IMPRODUCT(IF($O$3=1,N43,COMPLEX(K43,$D43*BASE!M$15)),2),COMPLEX(BASE!G$36,$D43*BASE!M$14-BASE!M$10/$D43))</f>
        <v>0.812235284694577-9.45029311055026i</v>
      </c>
      <c r="R43" s="2" t="str">
        <f>COMPLEX(BASE!E$19,FRES!$D43*BASE!K$36)</f>
        <v>7.2+0.074131126807507i</v>
      </c>
      <c r="S43" s="2" t="str">
        <f>COMPLEX(BASE!F$19,FRES!$D43*BASE!L$36)</f>
        <v>7.2+0.074131126807507i</v>
      </c>
      <c r="T43" s="2" t="str">
        <f>COMPLEX(BASE!G$19,FRES!$D43*BASE!M$36)</f>
        <v>7.2+0.074131126807507i</v>
      </c>
      <c r="U43" s="2" t="str">
        <f>IMDIV(BASE!K$21*BASE!E$38,IMPRODUCT(FRES!R43,IMSUM(FRES!O43,IMDIV(BASE!K$21^2,FRES!R43))))</f>
        <v>0.436080015584065+0.237956274217465i</v>
      </c>
      <c r="V43" s="2" t="str">
        <f>IMDIV(BASE!L$21*BASE!F$38,IMPRODUCT(FRES!S43,IMSUM(FRES!P43,IMDIV(BASE!L$21^2,FRES!S43))))</f>
        <v>0.129631945256856+0.235776480305864i</v>
      </c>
      <c r="W43" s="2" t="str">
        <f>IMDIV(BASE!M$21*BASE!G$38,IMPRODUCT(FRES!T43,IMSUM(FRES!Q43,IMDIV(BASE!M$21^2,FRES!T43))))</f>
        <v>0.0283289563804146+0.12087938289053i</v>
      </c>
      <c r="X43" s="2" t="str">
        <f t="shared" si="28"/>
        <v>0.000893658247348929-0.00163772316452813i</v>
      </c>
      <c r="Y43" s="2" t="str">
        <f t="shared" si="25"/>
        <v>0.000885471908018188-0.000486840102786294i</v>
      </c>
      <c r="Z43" s="2" t="str">
        <f t="shared" si="25"/>
        <v>0.000453969359748206-0.000106390998057943i</v>
      </c>
      <c r="AA43" s="44" t="str">
        <f>IMPRODUCT(COMPLEX(0,$D43),U43,E$2,BASE!E$15^2/10000,1/(2*BASE!$U$3))</f>
        <v>-0.150888173806641+0.276518521738654i</v>
      </c>
      <c r="AB43" s="44" t="str">
        <f>IMPRODUCT(COMPLEX(0,$D43),V43,F$2,BASE!F$15^2/10000,1/(2*BASE!$U$3))</f>
        <v>-0.149505965568267+0.0821996711418248i</v>
      </c>
      <c r="AC43" s="44" t="str">
        <f>IMPRODUCT(COMPLEX(0,$D43),W43,G$2,BASE!G$15^2/10000,1/(2*BASE!$U$3))</f>
        <v>-0.0766496676551476+0.0179634031846639i</v>
      </c>
      <c r="AD43" s="44">
        <f t="shared" si="6"/>
        <v>2.0703099539636307</v>
      </c>
      <c r="AE43" s="44">
        <f t="shared" si="7"/>
        <v>2.6388963743581004</v>
      </c>
      <c r="AF43" s="44">
        <f t="shared" si="8"/>
        <v>2.9113899185848129</v>
      </c>
      <c r="AG43" s="31">
        <f t="shared" si="9"/>
        <v>83.945818352222972</v>
      </c>
      <c r="AH43" s="31">
        <f t="shared" si="10"/>
        <v>78.619646044079289</v>
      </c>
      <c r="AI43" s="31">
        <f t="shared" si="11"/>
        <v>71.901814487143582</v>
      </c>
      <c r="AJ43" s="2" t="str">
        <f>IMSUM(R43,IMDIV(BASE!K$21^2,FRES!O43))</f>
        <v>10.9600623867715+5.48710292712579i</v>
      </c>
      <c r="AK43" s="2" t="str">
        <f>IMSUM(S43,IMDIV(BASE!L$21^2,FRES!P43))</f>
        <v>7.67333721480916+2.36415443684993i</v>
      </c>
      <c r="AL43" s="2" t="str">
        <f>IMSUM(T43,IMDIV(BASE!M$21^2,FRES!Q43))</f>
        <v>7.28471393693811+1.05977106353453i</v>
      </c>
      <c r="AM43" s="31">
        <f t="shared" si="24"/>
        <v>0.49677859095502069</v>
      </c>
      <c r="AN43" s="31">
        <f t="shared" si="24"/>
        <v>0.26906317082889292</v>
      </c>
      <c r="AO43" s="31">
        <f t="shared" si="24"/>
        <v>0.12415456084090826</v>
      </c>
      <c r="AP43" s="31">
        <f t="shared" si="12"/>
        <v>2.6384700971156727</v>
      </c>
      <c r="AQ43" s="31">
        <f t="shared" si="13"/>
        <v>1.429037288226126</v>
      </c>
      <c r="AR43" s="31">
        <f t="shared" si="14"/>
        <v>0.65940461638960557</v>
      </c>
      <c r="AS43" s="2">
        <f t="shared" si="15"/>
        <v>116.59000125811332</v>
      </c>
      <c r="AT43" s="2">
        <f t="shared" si="16"/>
        <v>118.39986804572744</v>
      </c>
      <c r="AU43" s="2">
        <f t="shared" si="17"/>
        <v>119.26724193621368</v>
      </c>
      <c r="AV43" s="2">
        <f t="shared" si="18"/>
        <v>116.59000125811332</v>
      </c>
      <c r="AW43" s="2">
        <f t="shared" si="19"/>
        <v>118.39986804572744</v>
      </c>
      <c r="AX43" s="2">
        <f t="shared" si="20"/>
        <v>119.26724193621368</v>
      </c>
      <c r="AY43">
        <f t="shared" si="21"/>
        <v>12.256886474745363</v>
      </c>
      <c r="AZ43">
        <f t="shared" si="22"/>
        <v>8.029279557560093</v>
      </c>
      <c r="BA43">
        <f t="shared" si="23"/>
        <v>7.3613974115058793</v>
      </c>
    </row>
    <row r="44" spans="1:53" x14ac:dyDescent="0.2">
      <c r="A44" s="2">
        <v>40</v>
      </c>
      <c r="B44" s="42">
        <f t="shared" si="27"/>
        <v>256000</v>
      </c>
      <c r="C44" s="43">
        <v>43.620309306610309</v>
      </c>
      <c r="D44" s="2">
        <f t="shared" si="29"/>
        <v>274.07448652992286</v>
      </c>
      <c r="E44" s="2"/>
      <c r="F44" s="2">
        <f>$D44*BASE!E$15/100/E$3</f>
        <v>5.0193873986584703E-2</v>
      </c>
      <c r="G44" s="2">
        <f>$D44*BASE!F$15/100/F$3</f>
        <v>5.0193873986584703E-2</v>
      </c>
      <c r="H44" s="2">
        <f>$D44*BASE!G$15/100/G$3</f>
        <v>5.0193873986584703E-2</v>
      </c>
      <c r="I44" s="2">
        <f>(1-BESSELJ(2*F44,1)/F44)*BASE!K$13*E$2*E$3</f>
        <v>6.4812635895427672E-3</v>
      </c>
      <c r="J44" s="2">
        <f>(1-BESSELJ(2*G44,1)/G44)*BASE!L$13*F$2*F$3</f>
        <v>6.4812635895427672E-3</v>
      </c>
      <c r="K44" s="2">
        <f>(1-BESSELJ(2*H44,1)/H44)*BASE!M$13*G$2*G$3</f>
        <v>6.4812635895427672E-3</v>
      </c>
      <c r="L44" s="2" t="str">
        <f>IMPRODUCT(COMPLEX(1-BESSELJ(2*F44,1)/F44,(STRUVE(2*F44)/(2*F44^2))),PI()*(BASE!E$15/100)^2*E$2*E$3)</f>
        <v>0.00648126358954276+0.21915351592578i</v>
      </c>
      <c r="M44" s="2" t="str">
        <f>IMPRODUCT(COMPLEX(1-BESSELJ(2*G44,1)/G44,(STRUVE(2*G44)/(2*G44^2))),PI()*(BASE!F$15/100)^2*F$2*F$3)</f>
        <v>0.00648126358954276+0.21915351592578i</v>
      </c>
      <c r="N44" s="2" t="str">
        <f>IMPRODUCT(COMPLEX(1-BESSELJ(2*H44,1)/H44,(STRUVE(2*H44)/(2*H44^2))),PI()*(BASE!G$15/100)^2*G$2*G$3)</f>
        <v>0.00648126358954276+0.21915351592578i</v>
      </c>
      <c r="O44" s="2" t="str">
        <f>IMSUM(IMPRODUCT(IF($O$3=1,L44,COMPLEX(I44,$D44*BASE!K$15)),2),COMPLEX(BASE!E$36,$D44*BASE!K$14-BASE!K$10/$D44))</f>
        <v>0.812962527179086-1.04419585421218i</v>
      </c>
      <c r="P44" s="2" t="str">
        <f>IMSUM(IMPRODUCT(IF($O$3=1,M44,COMPLEX(J44,$D44*BASE!L$15)),2),COMPLEX(BASE!F$36,$D44*BASE!L$14-BASE!L$10/$D44))</f>
        <v>0.812962527179086-3.7259485751819i</v>
      </c>
      <c r="Q44" s="2" t="str">
        <f>IMSUM(IMPRODUCT(IF($O$3=1,N44,COMPLEX(K44,$D44*BASE!M$15)),2),COMPLEX(BASE!G$36,$D44*BASE!M$14-BASE!M$10/$D44))</f>
        <v>0.812962527179086-9.08945401712134i</v>
      </c>
      <c r="R44" s="2" t="str">
        <f>COMPLEX(BASE!E$19,FRES!$D44*BASE!K$36)</f>
        <v>7.2+0.0763033346278694i</v>
      </c>
      <c r="S44" s="2" t="str">
        <f>COMPLEX(BASE!F$19,FRES!$D44*BASE!L$36)</f>
        <v>7.2+0.0763033346278694i</v>
      </c>
      <c r="T44" s="2" t="str">
        <f>COMPLEX(BASE!G$19,FRES!$D44*BASE!M$36)</f>
        <v>7.2+0.0763033346278694i</v>
      </c>
      <c r="U44" s="2" t="str">
        <f>IMDIV(BASE!K$21*BASE!E$38,IMPRODUCT(FRES!R44,IMSUM(FRES!O44,IMDIV(BASE!K$21^2,FRES!R44))))</f>
        <v>0.45755742020726+0.22274358224444i</v>
      </c>
      <c r="V44" s="2" t="str">
        <f>IMDIV(BASE!L$21*BASE!F$38,IMPRODUCT(FRES!S44,IMSUM(FRES!P44,IMDIV(BASE!L$21^2,FRES!S44))))</f>
        <v>0.140558931434273+0.242382900245977i</v>
      </c>
      <c r="W44" s="2" t="str">
        <f>IMDIV(BASE!M$21*BASE!G$38,IMPRODUCT(FRES!T44,IMSUM(FRES!Q44,IMDIV(BASE!M$21^2,FRES!T44))))</f>
        <v>0.0304949081157162+0.125159083272571i</v>
      </c>
      <c r="X44" s="2" t="str">
        <f t="shared" si="28"/>
        <v>0.000812711847296013-0.00166946375053157i</v>
      </c>
      <c r="Y44" s="2" t="str">
        <f t="shared" si="25"/>
        <v>0.000884368710545825-0.0005128493834428i</v>
      </c>
      <c r="Z44" s="2" t="str">
        <f t="shared" si="25"/>
        <v>0.000456660832816725-0.000111265037843597i</v>
      </c>
      <c r="AA44" s="44" t="str">
        <f>IMPRODUCT(COMPLEX(0,$D44),U44,E$2,BASE!E$15^2/10000,1/(2*BASE!$U$3))</f>
        <v>-0.145380500043028+0.298639026444003i</v>
      </c>
      <c r="AB44" s="44" t="str">
        <f>IMPRODUCT(COMPLEX(0,$D44),V44,F$2,BASE!F$15^2/10000,1/(2*BASE!$U$3))</f>
        <v>-0.158198709406448+0.0917401414286464i</v>
      </c>
      <c r="AC44" s="44" t="str">
        <f>IMPRODUCT(COMPLEX(0,$D44),W44,G$2,BASE!G$15^2/10000,1/(2*BASE!$U$3))</f>
        <v>-0.0816889534043916+0.0199034465817462i</v>
      </c>
      <c r="AD44" s="44">
        <f t="shared" si="6"/>
        <v>2.0238364623476577</v>
      </c>
      <c r="AE44" s="44">
        <f t="shared" si="7"/>
        <v>2.6160803333394766</v>
      </c>
      <c r="AF44" s="44">
        <f t="shared" si="8"/>
        <v>2.9026001057314748</v>
      </c>
      <c r="AG44" s="31">
        <f t="shared" si="9"/>
        <v>84.405972454711844</v>
      </c>
      <c r="AH44" s="31">
        <f t="shared" si="10"/>
        <v>79.222463440258167</v>
      </c>
      <c r="AI44" s="31">
        <f t="shared" si="11"/>
        <v>72.473122614331345</v>
      </c>
      <c r="AJ44" s="2" t="str">
        <f>IMSUM(R44,IMDIV(BASE!K$21^2,FRES!O44))</f>
        <v>11.5559368246647+5.67121210527904i</v>
      </c>
      <c r="AK44" s="2" t="str">
        <f>IMSUM(S44,IMDIV(BASE!L$21^2,FRES!P44))</f>
        <v>7.72451574659595+2.48025017516793i</v>
      </c>
      <c r="AL44" s="2" t="str">
        <f>IMSUM(T44,IMDIV(BASE!M$21^2,FRES!Q44))</f>
        <v>7.29159980442962+1.10044919929567i</v>
      </c>
      <c r="AM44" s="31">
        <f t="shared" si="24"/>
        <v>0.50889438611347315</v>
      </c>
      <c r="AN44" s="31">
        <f t="shared" si="24"/>
        <v>0.28018972775174311</v>
      </c>
      <c r="AO44" s="31">
        <f t="shared" si="24"/>
        <v>0.12882055560591382</v>
      </c>
      <c r="AP44" s="31">
        <f t="shared" si="12"/>
        <v>2.6258750012421515</v>
      </c>
      <c r="AQ44" s="31">
        <f t="shared" si="13"/>
        <v>1.4457679663695313</v>
      </c>
      <c r="AR44" s="31">
        <f t="shared" si="14"/>
        <v>0.66470899629116198</v>
      </c>
      <c r="AS44" s="2">
        <f t="shared" si="15"/>
        <v>116.44207153984489</v>
      </c>
      <c r="AT44" s="2">
        <f t="shared" si="16"/>
        <v>118.32724233152942</v>
      </c>
      <c r="AU44" s="2">
        <f t="shared" si="17"/>
        <v>119.23926309292445</v>
      </c>
      <c r="AV44" s="2">
        <f t="shared" si="18"/>
        <v>116.44207153984489</v>
      </c>
      <c r="AW44" s="2">
        <f t="shared" si="19"/>
        <v>118.32724233152942</v>
      </c>
      <c r="AX44" s="2">
        <f t="shared" si="20"/>
        <v>119.23926309292445</v>
      </c>
      <c r="AY44">
        <f t="shared" si="21"/>
        <v>12.872541421129906</v>
      </c>
      <c r="AZ44">
        <f t="shared" si="22"/>
        <v>8.1129393225161834</v>
      </c>
      <c r="BA44">
        <f t="shared" si="23"/>
        <v>7.3741722347792074</v>
      </c>
    </row>
    <row r="45" spans="1:53" x14ac:dyDescent="0.2">
      <c r="A45" s="2">
        <v>41</v>
      </c>
      <c r="B45" s="42">
        <f t="shared" si="27"/>
        <v>406374.66930385877</v>
      </c>
      <c r="C45" s="43">
        <v>44.898481932374921</v>
      </c>
      <c r="D45" s="2">
        <f t="shared" si="29"/>
        <v>282.10548199216623</v>
      </c>
      <c r="E45" s="2"/>
      <c r="F45" s="2">
        <f>$D45*BASE!E$15/100/E$3</f>
        <v>5.1664666760193226E-2</v>
      </c>
      <c r="G45" s="2">
        <f>$D45*BASE!F$15/100/F$3</f>
        <v>5.1664666760193226E-2</v>
      </c>
      <c r="H45" s="2">
        <f>$D45*BASE!G$15/100/G$3</f>
        <v>5.1664666760193226E-2</v>
      </c>
      <c r="I45" s="2">
        <f>(1-BESSELJ(2*F45,1)/F45)*BASE!K$13*E$2*E$3</f>
        <v>6.8664881743119369E-3</v>
      </c>
      <c r="J45" s="2">
        <f>(1-BESSELJ(2*G45,1)/G45)*BASE!L$13*F$2*F$3</f>
        <v>6.8664881743119369E-3</v>
      </c>
      <c r="K45" s="2">
        <f>(1-BESSELJ(2*H45,1)/H45)*BASE!M$13*G$2*G$3</f>
        <v>6.8664881743119369E-3</v>
      </c>
      <c r="L45" s="2" t="str">
        <f>IMPRODUCT(COMPLEX(1-BESSELJ(2*F45,1)/F45,(STRUVE(2*F45)/(2*F45^2))),PI()*(BASE!E$15/100)^2*E$2*E$3)</f>
        <v>0.00686648817431194+0.225566191652208i</v>
      </c>
      <c r="M45" s="2" t="str">
        <f>IMPRODUCT(COMPLEX(1-BESSELJ(2*G45,1)/G45,(STRUVE(2*G45)/(2*G45^2))),PI()*(BASE!F$15/100)^2*F$2*F$3)</f>
        <v>0.00686648817431194+0.225566191652208i</v>
      </c>
      <c r="N45" s="2" t="str">
        <f>IMPRODUCT(COMPLEX(1-BESSELJ(2*H45,1)/H45,(STRUVE(2*H45)/(2*H45^2))),PI()*(BASE!G$15/100)^2*G$2*G$3)</f>
        <v>0.00686648817431194+0.225566191652208i</v>
      </c>
      <c r="O45" s="2" t="str">
        <f>IMSUM(IMPRODUCT(IF($O$3=1,L45,COMPLEX(I45,$D45*BASE!K$15)),2),COMPLEX(BASE!E$36,$D45*BASE!K$14-BASE!K$10/$D45))</f>
        <v>0.813732976348624-0.91997186432821i</v>
      </c>
      <c r="P45" s="2" t="str">
        <f>IMSUM(IMPRODUCT(IF($O$3=1,M45,COMPLEX(J45,$D45*BASE!L$15)),2),COMPLEX(BASE!F$36,$D45*BASE!L$14-BASE!L$10/$D45))</f>
        <v>0.813732976348624-3.52538029102589i</v>
      </c>
      <c r="Q45" s="2" t="str">
        <f>IMSUM(IMPRODUCT(IF($O$3=1,N45,COMPLEX(K45,$D45*BASE!M$15)),2),COMPLEX(BASE!G$36,$D45*BASE!M$14-BASE!M$10/$D45))</f>
        <v>0.813732976348624-8.73619714442125i</v>
      </c>
      <c r="R45" s="2" t="str">
        <f>COMPLEX(BASE!E$19,FRES!$D45*BASE!K$36)</f>
        <v>7.2+0.0785391929958227i</v>
      </c>
      <c r="S45" s="2" t="str">
        <f>COMPLEX(BASE!F$19,FRES!$D45*BASE!L$36)</f>
        <v>7.2+0.0785391929958227i</v>
      </c>
      <c r="T45" s="2" t="str">
        <f>COMPLEX(BASE!G$19,FRES!$D45*BASE!M$36)</f>
        <v>7.2+0.0785391929958227i</v>
      </c>
      <c r="U45" s="2" t="str">
        <f>IMDIV(BASE!K$21*BASE!E$38,IMPRODUCT(FRES!R45,IMSUM(FRES!O45,IMDIV(BASE!K$21^2,FRES!R45))))</f>
        <v>0.478302244491237+0.204877974596785i</v>
      </c>
      <c r="V45" s="2" t="str">
        <f>IMDIV(BASE!L$21*BASE!F$38,IMPRODUCT(FRES!S45,IMSUM(FRES!P45,IMDIV(BASE!L$21^2,FRES!S45))))</f>
        <v>0.152553222964518+0.248884015168213i</v>
      </c>
      <c r="W45" s="2" t="str">
        <f>IMDIV(BASE!M$21*BASE!G$38,IMPRODUCT(FRES!T45,IMSUM(FRES!Q45,IMDIV(BASE!M$21^2,FRES!T45))))</f>
        <v>0.0328598431860117+0.129630329443202i</v>
      </c>
      <c r="X45" s="2" t="str">
        <f t="shared" si="28"/>
        <v>0.000726245988379887-0.00169547305891957i</v>
      </c>
      <c r="Y45" s="2" t="str">
        <f t="shared" si="25"/>
        <v>0.000882237429101518-0.000540766602219926i</v>
      </c>
      <c r="Z45" s="2" t="str">
        <f t="shared" si="25"/>
        <v>0.000459510139710088-0.00011648069705687i</v>
      </c>
      <c r="AA45" s="44" t="str">
        <f>IMPRODUCT(COMPLEX(0,$D45),U45,E$2,BASE!E$15^2/10000,1/(2*BASE!$U$3))</f>
        <v>-0.13763825153991+0.32132631518323i</v>
      </c>
      <c r="AB45" s="44" t="str">
        <f>IMPRODUCT(COMPLEX(0,$D45),V45,F$2,BASE!F$15^2/10000,1/(2*BASE!$U$3))</f>
        <v>-0.167201773403918+0.102486169716087i</v>
      </c>
      <c r="AC45" s="44" t="str">
        <f>IMPRODUCT(COMPLEX(0,$D45),W45,G$2,BASE!G$15^2/10000,1/(2*BASE!$U$3))</f>
        <v>-0.0870864324299348+0.0220754396410811i</v>
      </c>
      <c r="AD45" s="44">
        <f t="shared" si="6"/>
        <v>1.9754960970918645</v>
      </c>
      <c r="AE45" s="44">
        <f t="shared" si="7"/>
        <v>2.5917061539250539</v>
      </c>
      <c r="AF45" s="44">
        <f t="shared" si="8"/>
        <v>2.8933330716760248</v>
      </c>
      <c r="AG45" s="31">
        <f t="shared" si="9"/>
        <v>84.849930502982801</v>
      </c>
      <c r="AH45" s="31">
        <f t="shared" si="10"/>
        <v>79.829475723116943</v>
      </c>
      <c r="AI45" s="31">
        <f t="shared" si="11"/>
        <v>73.048873590413322</v>
      </c>
      <c r="AJ45" s="2" t="str">
        <f>IMSUM(R45,IMDIV(BASE!K$21^2,FRES!O45))</f>
        <v>12.2616695776891+5.80104735395922i</v>
      </c>
      <c r="AK45" s="2" t="str">
        <f>IMSUM(S45,IMDIV(BASE!L$21^2,FRES!P45))</f>
        <v>7.7832929234949+2.60557132288558i</v>
      </c>
      <c r="AL45" s="2" t="str">
        <f>IMSUM(T45,IMDIV(BASE!M$21^2,FRES!Q45))</f>
        <v>7.29918484788577+1.14338283342155i</v>
      </c>
      <c r="AM45" s="31">
        <f t="shared" si="24"/>
        <v>0.520334528510492</v>
      </c>
      <c r="AN45" s="31">
        <f t="shared" si="24"/>
        <v>0.29191734933558378</v>
      </c>
      <c r="AO45" s="31">
        <f t="shared" si="24"/>
        <v>0.13373029427082841</v>
      </c>
      <c r="AP45" s="31">
        <f t="shared" si="12"/>
        <v>2.6084716326461992</v>
      </c>
      <c r="AQ45" s="31">
        <f t="shared" si="13"/>
        <v>1.4634011065898096</v>
      </c>
      <c r="AR45" s="31">
        <f t="shared" si="14"/>
        <v>0.67039886826163275</v>
      </c>
      <c r="AS45" s="2">
        <f t="shared" si="15"/>
        <v>116.28819937821834</v>
      </c>
      <c r="AT45" s="2">
        <f t="shared" si="16"/>
        <v>118.24965690877714</v>
      </c>
      <c r="AU45" s="2">
        <f t="shared" si="17"/>
        <v>119.20976520736993</v>
      </c>
      <c r="AV45" s="2">
        <f t="shared" si="18"/>
        <v>116.28819937821834</v>
      </c>
      <c r="AW45" s="2">
        <f t="shared" si="19"/>
        <v>118.24965690877714</v>
      </c>
      <c r="AX45" s="2">
        <f t="shared" si="20"/>
        <v>119.20976520736993</v>
      </c>
      <c r="AY45">
        <f t="shared" si="21"/>
        <v>13.564685445497942</v>
      </c>
      <c r="AZ45">
        <f t="shared" si="22"/>
        <v>8.207840803254502</v>
      </c>
      <c r="BA45">
        <f t="shared" si="23"/>
        <v>7.3881948909979558</v>
      </c>
    </row>
    <row r="46" spans="1:53" x14ac:dyDescent="0.2">
      <c r="A46" s="2">
        <v>42</v>
      </c>
      <c r="B46" s="42">
        <f t="shared" si="27"/>
        <v>645079.57754617545</v>
      </c>
      <c r="C46" s="43">
        <v>46.214107874890914</v>
      </c>
      <c r="D46" s="2">
        <f t="shared" ref="D46:D109" si="30">C46*2*PI()</f>
        <v>290.37180358392698</v>
      </c>
      <c r="E46" s="2"/>
      <c r="F46" s="2">
        <f>$D46*BASE!E$15/100/E$3</f>
        <v>5.3178557051707563E-2</v>
      </c>
      <c r="G46" s="2">
        <f>$D46*BASE!F$15/100/F$3</f>
        <v>5.3178557051707563E-2</v>
      </c>
      <c r="H46" s="2">
        <f>$D46*BASE!G$15/100/G$3</f>
        <v>5.3178557051707563E-2</v>
      </c>
      <c r="I46" s="2">
        <f>(1-BESSELJ(2*F46,1)/F46)*BASE!K$13*E$2*E$3</f>
        <v>7.2745984137250761E-3</v>
      </c>
      <c r="J46" s="2">
        <f>(1-BESSELJ(2*G46,1)/G46)*BASE!L$13*F$2*F$3</f>
        <v>7.2745984137250761E-3</v>
      </c>
      <c r="K46" s="2">
        <f>(1-BESSELJ(2*H46,1)/H46)*BASE!M$13*G$2*G$3</f>
        <v>7.2745984137250761E-3</v>
      </c>
      <c r="L46" s="2" t="str">
        <f>IMPRODUCT(COMPLEX(1-BESSELJ(2*F46,1)/F46,(STRUVE(2*F46)/(2*F46^2))),PI()*(BASE!E$15/100)^2*E$2*E$3)</f>
        <v>0.00727459841372506+0.232165957769688i</v>
      </c>
      <c r="M46" s="2" t="str">
        <f>IMPRODUCT(COMPLEX(1-BESSELJ(2*G46,1)/G46,(STRUVE(2*G46)/(2*G46^2))),PI()*(BASE!F$15/100)^2*F$2*F$3)</f>
        <v>0.00727459841372506+0.232165957769688i</v>
      </c>
      <c r="N46" s="2" t="str">
        <f>IMPRODUCT(COMPLEX(1-BESSELJ(2*H46,1)/H46,(STRUVE(2*H46)/(2*H46^2))),PI()*(BASE!G$15/100)^2*G$2*G$3)</f>
        <v>0.00727459841372506+0.232165957769688i</v>
      </c>
      <c r="O46" s="2" t="str">
        <f>IMSUM(IMPRODUCT(IF($O$3=1,L46,COMPLEX(I46,$D46*BASE!K$15)),2),COMPLEX(BASE!E$36,$D46*BASE!K$14-BASE!K$10/$D46))</f>
        <v>0.81454919682745-0.796515294547438i</v>
      </c>
      <c r="P46" s="2" t="str">
        <f>IMSUM(IMPRODUCT(IF($O$3=1,M46,COMPLEX(J46,$D46*BASE!L$15)),2),COMPLEX(BASE!F$36,$D46*BASE!L$14-BASE!L$10/$D46))</f>
        <v>0.81454919682745-3.32775280083499i</v>
      </c>
      <c r="Q46" s="2" t="str">
        <f>IMSUM(IMPRODUCT(IF($O$3=1,N46,COMPLEX(K46,$D46*BASE!M$15)),2),COMPLEX(BASE!G$36,$D46*BASE!M$14-BASE!M$10/$D46))</f>
        <v>0.81454919682745-8.39022781341011i</v>
      </c>
      <c r="R46" s="2" t="str">
        <f>COMPLEX(BASE!E$19,FRES!$D46*BASE!K$36)</f>
        <v>7.2+0.0808405670147752i</v>
      </c>
      <c r="S46" s="2" t="str">
        <f>COMPLEX(BASE!F$19,FRES!$D46*BASE!L$36)</f>
        <v>7.2+0.0808405670147752i</v>
      </c>
      <c r="T46" s="2" t="str">
        <f>COMPLEX(BASE!G$19,FRES!$D46*BASE!M$36)</f>
        <v>7.2+0.0808405670147752i</v>
      </c>
      <c r="U46" s="2" t="str">
        <f>IMDIV(BASE!K$21*BASE!E$38,IMPRODUCT(FRES!R46,IMSUM(FRES!O46,IMDIV(BASE!K$21^2,FRES!R46))))</f>
        <v>0.49789039700653+0.184330717264515i</v>
      </c>
      <c r="V46" s="2" t="str">
        <f>IMDIV(BASE!L$21*BASE!F$38,IMPRODUCT(FRES!S46,IMSUM(FRES!P46,IMDIV(BASE!L$21^2,FRES!S46))))</f>
        <v>0.165722301642787+0.25518603487974i</v>
      </c>
      <c r="W46" s="2" t="str">
        <f>IMDIV(BASE!M$21*BASE!G$38,IMPRODUCT(FRES!T46,IMSUM(FRES!Q46,IMDIV(BASE!M$21^2,FRES!T46))))</f>
        <v>0.0354465855268761+0.134303974981922i</v>
      </c>
      <c r="X46" s="2" t="str">
        <f t="shared" si="28"/>
        <v>0.000634809285851467-0.00171466509785487i</v>
      </c>
      <c r="Y46" s="2" t="str">
        <f t="shared" si="25"/>
        <v>0.000878825119140684-0.000570724497342208i</v>
      </c>
      <c r="Z46" s="2" t="str">
        <f t="shared" si="25"/>
        <v>0.000462524161520744-0.000122073097626474i</v>
      </c>
      <c r="AA46" s="44" t="str">
        <f>IMPRODUCT(COMPLEX(0,$D46),U46,E$2,BASE!E$15^2/10000,1/(2*BASE!$U$3))</f>
        <v>-0.127463108150638+0.344286934172443i</v>
      </c>
      <c r="AB46" s="44" t="str">
        <f>IMPRODUCT(COMPLEX(0,$D46),V46,F$2,BASE!F$15^2/10000,1/(2*BASE!$U$3))</f>
        <v>-0.176458951850834+0.114595548537659i</v>
      </c>
      <c r="AC46" s="44" t="str">
        <f>IMPRODUCT(COMPLEX(0,$D46),W46,G$2,BASE!G$15^2/10000,1/(2*BASE!$U$3))</f>
        <v>-0.0928700454391209+0.0245110095139461i</v>
      </c>
      <c r="AD46" s="44">
        <f t="shared" si="6"/>
        <v>1.9253728044650213</v>
      </c>
      <c r="AE46" s="44">
        <f t="shared" si="7"/>
        <v>2.5656269638766509</v>
      </c>
      <c r="AF46" s="44">
        <f t="shared" si="8"/>
        <v>2.8835488053557734</v>
      </c>
      <c r="AG46" s="31">
        <f t="shared" si="9"/>
        <v>85.275665465433661</v>
      </c>
      <c r="AH46" s="31">
        <f t="shared" si="10"/>
        <v>80.440485636940963</v>
      </c>
      <c r="AI46" s="31">
        <f t="shared" si="11"/>
        <v>73.629362735752522</v>
      </c>
      <c r="AJ46" s="2" t="str">
        <f>IMSUM(R46,IMDIV(BASE!K$21^2,FRES!O46))</f>
        <v>13.0888026501037+5.83926669480169i</v>
      </c>
      <c r="AK46" s="2" t="str">
        <f>IMSUM(S46,IMDIV(BASE!L$21^2,FRES!P46))</f>
        <v>7.85118485008902+2.74118596688149i</v>
      </c>
      <c r="AL46" s="2" t="str">
        <f>IMSUM(T46,IMDIV(BASE!M$21^2,FRES!Q46))</f>
        <v>7.30756120361743+1.18876996618405i</v>
      </c>
      <c r="AM46" s="31">
        <f t="shared" si="24"/>
        <v>0.53091681152377401</v>
      </c>
      <c r="AN46" s="31">
        <f t="shared" si="24"/>
        <v>0.30427585125906192</v>
      </c>
      <c r="AO46" s="31">
        <f t="shared" si="24"/>
        <v>0.13890290897407037</v>
      </c>
      <c r="AP46" s="31">
        <f t="shared" si="12"/>
        <v>2.5857529762933282</v>
      </c>
      <c r="AQ46" s="31">
        <f t="shared" si="13"/>
        <v>1.4819312007641612</v>
      </c>
      <c r="AR46" s="31">
        <f t="shared" si="14"/>
        <v>0.67650638009495512</v>
      </c>
      <c r="AS46" s="2">
        <f t="shared" si="15"/>
        <v>116.12865198250627</v>
      </c>
      <c r="AT46" s="2">
        <f t="shared" si="16"/>
        <v>118.16664426861641</v>
      </c>
      <c r="AU46" s="2">
        <f t="shared" si="17"/>
        <v>119.17862092038202</v>
      </c>
      <c r="AV46" s="2">
        <f t="shared" si="18"/>
        <v>116.12865198250627</v>
      </c>
      <c r="AW46" s="2">
        <f t="shared" si="19"/>
        <v>118.16664426861641</v>
      </c>
      <c r="AX46" s="2">
        <f t="shared" si="20"/>
        <v>119.17862092038202</v>
      </c>
      <c r="AY46">
        <f t="shared" si="21"/>
        <v>14.332263964439878</v>
      </c>
      <c r="AZ46">
        <f t="shared" si="22"/>
        <v>8.315960801693052</v>
      </c>
      <c r="BA46">
        <f t="shared" si="23"/>
        <v>7.4036224091397207</v>
      </c>
    </row>
    <row r="47" spans="1:53" x14ac:dyDescent="0.2">
      <c r="A47" s="2">
        <v>43</v>
      </c>
      <c r="B47" s="42">
        <f t="shared" si="27"/>
        <v>1024000</v>
      </c>
      <c r="C47" s="43">
        <v>47.568284600108839</v>
      </c>
      <c r="D47" s="2">
        <f t="shared" si="30"/>
        <v>298.88034688714083</v>
      </c>
      <c r="E47" s="2"/>
      <c r="F47" s="2">
        <f>$D47*BASE!E$15/100/E$3</f>
        <v>5.4736807714796137E-2</v>
      </c>
      <c r="G47" s="2">
        <f>$D47*BASE!F$15/100/F$3</f>
        <v>5.4736807714796137E-2</v>
      </c>
      <c r="H47" s="2">
        <f>$D47*BASE!G$15/100/G$3</f>
        <v>5.4736807714796137E-2</v>
      </c>
      <c r="I47" s="2">
        <f>(1-BESSELJ(2*F47,1)/F47)*BASE!K$13*E$2*E$3</f>
        <v>7.7069525899397277E-3</v>
      </c>
      <c r="J47" s="2">
        <f>(1-BESSELJ(2*G47,1)/G47)*BASE!L$13*F$2*F$3</f>
        <v>7.7069525899397277E-3</v>
      </c>
      <c r="K47" s="2">
        <f>(1-BESSELJ(2*H47,1)/H47)*BASE!M$13*G$2*G$3</f>
        <v>7.7069525899397277E-3</v>
      </c>
      <c r="L47" s="2" t="str">
        <f>IMPRODUCT(COMPLEX(1-BESSELJ(2*F47,1)/F47,(STRUVE(2*F47)/(2*F47^2))),PI()*(BASE!E$15/100)^2*E$2*E$3)</f>
        <v>0.00770695258993974+0.238958222703426i</v>
      </c>
      <c r="M47" s="2" t="str">
        <f>IMPRODUCT(COMPLEX(1-BESSELJ(2*G47,1)/G47,(STRUVE(2*G47)/(2*G47^2))),PI()*(BASE!F$15/100)^2*F$2*F$3)</f>
        <v>0.00770695258993974+0.238958222703426i</v>
      </c>
      <c r="N47" s="2" t="str">
        <f>IMPRODUCT(COMPLEX(1-BESSELJ(2*H47,1)/H47,(STRUVE(2*H47)/(2*H47^2))),PI()*(BASE!G$15/100)^2*G$2*G$3)</f>
        <v>0.00770695258993974+0.238958222703426i</v>
      </c>
      <c r="O47" s="2" t="str">
        <f>IMSUM(IMPRODUCT(IF($O$3=1,L47,COMPLEX(I47,$D47*BASE!K$15)),2),COMPLEX(BASE!E$36,$D47*BASE!K$14-BASE!K$10/$D47))</f>
        <v>0.81541390517988-0.67372316014041i</v>
      </c>
      <c r="P47" s="2" t="str">
        <f>IMSUM(IMPRODUCT(IF($O$3=1,M47,COMPLEX(J47,$D47*BASE!L$15)),2),COMPLEX(BASE!F$36,$D47*BASE!L$14-BASE!L$10/$D47))</f>
        <v>0.81541390517988-3.13290124814477i</v>
      </c>
      <c r="Q47" s="2" t="str">
        <f>IMSUM(IMPRODUCT(IF($O$3=1,N47,COMPLEX(K47,$D47*BASE!M$15)),2),COMPLEX(BASE!G$36,$D47*BASE!M$14-BASE!M$10/$D47))</f>
        <v>0.81541390517988-8.0512574241535i</v>
      </c>
      <c r="R47" s="2" t="str">
        <f>COMPLEX(BASE!E$19,FRES!$D47*BASE!K$36)</f>
        <v>7.2+0.0832093764398362i</v>
      </c>
      <c r="S47" s="2" t="str">
        <f>COMPLEX(BASE!F$19,FRES!$D47*BASE!L$36)</f>
        <v>7.2+0.0832093764398362i</v>
      </c>
      <c r="T47" s="2" t="str">
        <f>COMPLEX(BASE!G$19,FRES!$D47*BASE!M$36)</f>
        <v>7.2+0.0832093764398362i</v>
      </c>
      <c r="U47" s="2" t="str">
        <f>IMDIV(BASE!K$21*BASE!E$38,IMPRODUCT(FRES!R47,IMSUM(FRES!O47,IMDIV(BASE!K$21^2,FRES!R47))))</f>
        <v>0.515866880009945+0.161156039733735i</v>
      </c>
      <c r="V47" s="2" t="str">
        <f>IMDIV(BASE!L$21*BASE!F$38,IMPRODUCT(FRES!S47,IMSUM(FRES!P47,IMDIV(BASE!L$21^2,FRES!S47))))</f>
        <v>0.180179433545994+0.261169603872805i</v>
      </c>
      <c r="W47" s="2" t="str">
        <f>IMDIV(BASE!M$21*BASE!G$38,IMPRODUCT(FRES!T47,IMSUM(FRES!Q47,IMDIV(BASE!M$21^2,FRES!T47))))</f>
        <v>0.0382811866528812+0.139191349072972i</v>
      </c>
      <c r="X47" s="2" t="str">
        <f t="shared" si="28"/>
        <v>0.00053919918593573-0.0017259979967995i</v>
      </c>
      <c r="Y47" s="2" t="str">
        <f t="shared" si="25"/>
        <v>0.000873826621900383-0.000602848047463057i</v>
      </c>
      <c r="Z47" s="2" t="str">
        <f t="shared" si="25"/>
        <v>0.00046570927303404-0.00012808198013547i</v>
      </c>
      <c r="AA47" s="44" t="str">
        <f>IMPRODUCT(COMPLEX(0,$D47),U47,E$2,BASE!E$15^2/10000,1/(2*BASE!$U$3))</f>
        <v>-0.114703400801694+0.367170138927866i</v>
      </c>
      <c r="AB47" s="44" t="str">
        <f>IMPRODUCT(COMPLEX(0,$D47),V47,F$2,BASE!F$15^2/10000,1/(2*BASE!$U$3))</f>
        <v>-0.185888420935+0.12824337093661i</v>
      </c>
      <c r="AC47" s="44" t="str">
        <f>IMPRODUCT(COMPLEX(0,$D47),W47,G$2,BASE!G$15^2/10000,1/(2*BASE!$U$3))</f>
        <v>-0.0990699518753657+0.0272467746357181i</v>
      </c>
      <c r="AD47" s="44">
        <f t="shared" si="6"/>
        <v>1.8735887231337742</v>
      </c>
      <c r="AE47" s="44">
        <f t="shared" si="7"/>
        <v>2.5376812540597049</v>
      </c>
      <c r="AF47" s="44">
        <f t="shared" si="8"/>
        <v>2.8732026269654818</v>
      </c>
      <c r="AG47" s="31">
        <f t="shared" si="9"/>
        <v>85.681159749430435</v>
      </c>
      <c r="AH47" s="31">
        <f t="shared" si="10"/>
        <v>81.055175696455009</v>
      </c>
      <c r="AI47" s="31">
        <f t="shared" si="11"/>
        <v>74.21490489333722</v>
      </c>
      <c r="AJ47" s="2" t="str">
        <f>IMSUM(R47,IMDIV(BASE!K$21^2,FRES!O47))</f>
        <v>14.038873090752+5.73372276753075i</v>
      </c>
      <c r="AK47" s="2" t="str">
        <f>IMSUM(S47,IMDIV(BASE!L$21^2,FRES!P47))</f>
        <v>7.93009272519125+2.88829817304127i</v>
      </c>
      <c r="AL47" s="2" t="str">
        <f>IMSUM(T47,IMDIV(BASE!M$21^2,FRES!Q47))</f>
        <v>7.31683653910302+1.23683337879001i</v>
      </c>
      <c r="AM47" s="31">
        <f t="shared" si="24"/>
        <v>0.54045342725701739</v>
      </c>
      <c r="AN47" s="31">
        <f t="shared" si="24"/>
        <v>0.31729196374953011</v>
      </c>
      <c r="AO47" s="31">
        <f t="shared" si="24"/>
        <v>0.14435955426748406</v>
      </c>
      <c r="AP47" s="31">
        <f t="shared" si="12"/>
        <v>2.5572660585358116</v>
      </c>
      <c r="AQ47" s="31">
        <f t="shared" si="13"/>
        <v>1.5013318976641079</v>
      </c>
      <c r="AR47" s="31">
        <f t="shared" si="14"/>
        <v>0.6830667912075904</v>
      </c>
      <c r="AS47" s="2">
        <f t="shared" si="15"/>
        <v>115.96381813215946</v>
      </c>
      <c r="AT47" s="2">
        <f t="shared" si="16"/>
        <v>118.07769031150484</v>
      </c>
      <c r="AU47" s="2">
        <f t="shared" si="17"/>
        <v>119.14568801172351</v>
      </c>
      <c r="AV47" s="2">
        <f t="shared" si="18"/>
        <v>115.96381813215946</v>
      </c>
      <c r="AW47" s="2">
        <f t="shared" si="19"/>
        <v>118.07769031150484</v>
      </c>
      <c r="AX47" s="2">
        <f t="shared" si="20"/>
        <v>119.14568801172351</v>
      </c>
      <c r="AY47">
        <f t="shared" si="21"/>
        <v>15.164614549441772</v>
      </c>
      <c r="AZ47">
        <f t="shared" si="22"/>
        <v>8.4397059763077493</v>
      </c>
      <c r="BA47">
        <f t="shared" si="23"/>
        <v>7.4206370175910221</v>
      </c>
    </row>
    <row r="48" spans="1:53" x14ac:dyDescent="0.2">
      <c r="A48" s="2">
        <v>44</v>
      </c>
      <c r="B48" s="42">
        <f t="shared" si="27"/>
        <v>1625498.6772154355</v>
      </c>
      <c r="C48" s="43">
        <v>48.962141732186211</v>
      </c>
      <c r="D48" s="2">
        <f t="shared" si="30"/>
        <v>307.63820953971685</v>
      </c>
      <c r="E48" s="2"/>
      <c r="F48" s="2">
        <f>$D48*BASE!E$15/100/E$3</f>
        <v>5.6340718607564427E-2</v>
      </c>
      <c r="G48" s="2">
        <f>$D48*BASE!F$15/100/F$3</f>
        <v>5.6340718607564427E-2</v>
      </c>
      <c r="H48" s="2">
        <f>$D48*BASE!G$15/100/G$3</f>
        <v>5.6340718607564427E-2</v>
      </c>
      <c r="I48" s="2">
        <f>(1-BESSELJ(2*F48,1)/F48)*BASE!K$13*E$2*E$3</f>
        <v>8.1649894382531847E-3</v>
      </c>
      <c r="J48" s="2">
        <f>(1-BESSELJ(2*G48,1)/G48)*BASE!L$13*F$2*F$3</f>
        <v>8.1649894382531847E-3</v>
      </c>
      <c r="K48" s="2">
        <f>(1-BESSELJ(2*H48,1)/H48)*BASE!M$13*G$2*G$3</f>
        <v>8.1649894382531847E-3</v>
      </c>
      <c r="L48" s="2" t="str">
        <f>IMPRODUCT(COMPLEX(1-BESSELJ(2*F48,1)/F48,(STRUVE(2*F48)/(2*F48^2))),PI()*(BASE!E$15/100)^2*E$2*E$3)</f>
        <v>0.00816498943825317+0.245948546691752i</v>
      </c>
      <c r="M48" s="2" t="str">
        <f>IMPRODUCT(COMPLEX(1-BESSELJ(2*G48,1)/G48,(STRUVE(2*G48)/(2*G48^2))),PI()*(BASE!F$15/100)^2*F$2*F$3)</f>
        <v>0.00816498943825317+0.245948546691752i</v>
      </c>
      <c r="N48" s="2" t="str">
        <f>IMPRODUCT(COMPLEX(1-BESSELJ(2*H48,1)/H48,(STRUVE(2*H48)/(2*H48^2))),PI()*(BASE!G$15/100)^2*G$2*G$3)</f>
        <v>0.00816498943825317+0.245948546691752i</v>
      </c>
      <c r="O48" s="2" t="str">
        <f>IMSUM(IMPRODUCT(IF($O$3=1,L48,COMPLEX(I48,$D48*BASE!K$15)),2),COMPLEX(BASE!E$36,$D48*BASE!K$14-BASE!K$10/$D48))</f>
        <v>0.816329978876506-0.551493030634964i</v>
      </c>
      <c r="P48" s="2" t="str">
        <f>IMSUM(IMPRODUCT(IF($O$3=1,M48,COMPLEX(J48,$D48*BASE!L$15)),2),COMPLEX(BASE!F$36,$D48*BASE!L$14-BASE!L$10/$D48))</f>
        <v>0.816329978876506-2.94066309211626i</v>
      </c>
      <c r="Q48" s="2" t="str">
        <f>IMSUM(IMPRODUCT(IF($O$3=1,N48,COMPLEX(K48,$D48*BASE!M$15)),2),COMPLEX(BASE!G$36,$D48*BASE!M$14-BASE!M$10/$D48))</f>
        <v>0.816329978876506-7.71900321507884i</v>
      </c>
      <c r="R48" s="2" t="str">
        <f>COMPLEX(BASE!E$19,FRES!$D48*BASE!K$36)</f>
        <v>7.2+0.0856475972792337i</v>
      </c>
      <c r="S48" s="2" t="str">
        <f>COMPLEX(BASE!F$19,FRES!$D48*BASE!L$36)</f>
        <v>7.2+0.0856475972792337i</v>
      </c>
      <c r="T48" s="2" t="str">
        <f>COMPLEX(BASE!G$19,FRES!$D48*BASE!M$36)</f>
        <v>7.2+0.0856475972792337i</v>
      </c>
      <c r="U48" s="2" t="str">
        <f>IMDIV(BASE!K$21*BASE!E$38,IMPRODUCT(FRES!R48,IMSUM(FRES!O48,IMDIV(BASE!K$21^2,FRES!R48))))</f>
        <v>0.531765110769818+0.135504267886585i</v>
      </c>
      <c r="V48" s="2" t="str">
        <f>IMDIV(BASE!L$21*BASE!F$38,IMPRODUCT(FRES!S48,IMSUM(FRES!P48,IMDIV(BASE!L$21^2,FRES!S48))))</f>
        <v>0.196041018040621+0.266684127854318i</v>
      </c>
      <c r="W48" s="2" t="str">
        <f>IMDIV(BASE!M$21*BASE!G$38,IMPRODUCT(FRES!T48,IMSUM(FRES!Q48,IMDIV(BASE!M$21^2,FRES!T48))))</f>
        <v>0.0413934633398379+0.144304169894455i</v>
      </c>
      <c r="X48" s="2" t="str">
        <f t="shared" si="28"/>
        <v>0.000440466312976285-0.00172854052026059i</v>
      </c>
      <c r="Y48" s="2" t="str">
        <f t="shared" si="25"/>
        <v>0.000866875828764334-0.000637245348469341i</v>
      </c>
      <c r="Z48" s="2" t="str">
        <f t="shared" si="25"/>
        <v>0.00046907102375339-0.000134552412724577i</v>
      </c>
      <c r="AA48" s="44" t="str">
        <f>IMPRODUCT(COMPLEX(0,$D48),U48,E$2,BASE!E$15^2/10000,1/(2*BASE!$U$3))</f>
        <v>-0.0992717318576343+0.389576242216742i</v>
      </c>
      <c r="AB48" s="44" t="str">
        <f>IMPRODUCT(COMPLEX(0,$D48),V48,F$2,BASE!F$15^2/10000,1/(2*BASE!$U$3))</f>
        <v>-0.195375360820365+0.143621538122438i</v>
      </c>
      <c r="AC48" s="44" t="str">
        <f>IMPRODUCT(COMPLEX(0,$D48),W48,G$2,BASE!G$15^2/10000,1/(2*BASE!$U$3))</f>
        <v>-0.105718624830997+0.0303252499527952i</v>
      </c>
      <c r="AD48" s="44">
        <f t="shared" si="6"/>
        <v>1.8203060826973239</v>
      </c>
      <c r="AE48" s="44">
        <f t="shared" si="7"/>
        <v>2.5076922526555987</v>
      </c>
      <c r="AF48" s="44">
        <f t="shared" si="8"/>
        <v>2.8622445123147804</v>
      </c>
      <c r="AG48" s="31">
        <f t="shared" si="9"/>
        <v>86.064472708700833</v>
      </c>
      <c r="AH48" s="31">
        <f t="shared" si="10"/>
        <v>81.673075691306451</v>
      </c>
      <c r="AI48" s="31">
        <f t="shared" si="11"/>
        <v>74.805835253269152</v>
      </c>
      <c r="AJ48" s="2" t="str">
        <f>IMSUM(R48,IMDIV(BASE!K$21^2,FRES!O48))</f>
        <v>15.0924641153077+5.41760779322739i</v>
      </c>
      <c r="AK48" s="2" t="str">
        <f>IMSUM(S48,IMDIV(BASE!L$21^2,FRES!P48))</f>
        <v>8.0224213997882+3.04825379710568i</v>
      </c>
      <c r="AL48" s="2" t="str">
        <f>IMSUM(T48,IMDIV(BASE!M$21^2,FRES!Q48))</f>
        <v>7.32713728463594+1.28782457748989i</v>
      </c>
      <c r="AM48" s="31">
        <f t="shared" si="24"/>
        <v>0.54875817957231043</v>
      </c>
      <c r="AN48" s="31">
        <f t="shared" si="24"/>
        <v>0.33098716712860832</v>
      </c>
      <c r="AO48" s="31">
        <f t="shared" si="24"/>
        <v>0.1501236565508389</v>
      </c>
      <c r="AP48" s="31">
        <f t="shared" si="12"/>
        <v>2.5226426235397175</v>
      </c>
      <c r="AQ48" s="31">
        <f t="shared" si="13"/>
        <v>1.5215487745331482</v>
      </c>
      <c r="AR48" s="31">
        <f t="shared" si="14"/>
        <v>0.69011879715750135</v>
      </c>
      <c r="AS48" s="2">
        <f t="shared" si="15"/>
        <v>115.79421422003047</v>
      </c>
      <c r="AT48" s="2">
        <f t="shared" si="16"/>
        <v>117.98223235526777</v>
      </c>
      <c r="AU48" s="2">
        <f t="shared" si="17"/>
        <v>119.11080724945097</v>
      </c>
      <c r="AV48" s="2">
        <f t="shared" si="18"/>
        <v>115.79421422003047</v>
      </c>
      <c r="AW48" s="2">
        <f t="shared" si="19"/>
        <v>117.98223235526777</v>
      </c>
      <c r="AX48" s="2">
        <f t="shared" si="20"/>
        <v>119.11080724945097</v>
      </c>
      <c r="AY48">
        <f t="shared" si="21"/>
        <v>16.035365517289861</v>
      </c>
      <c r="AZ48">
        <f t="shared" si="22"/>
        <v>8.5820216923140471</v>
      </c>
      <c r="BA48">
        <f t="shared" si="23"/>
        <v>7.4394511175414779</v>
      </c>
    </row>
    <row r="49" spans="1:53" x14ac:dyDescent="0.2">
      <c r="A49" s="2">
        <v>45</v>
      </c>
      <c r="B49" s="42">
        <f t="shared" si="27"/>
        <v>2580318.3101846999</v>
      </c>
      <c r="C49" s="43">
        <v>50.396841995794915</v>
      </c>
      <c r="D49" s="2">
        <f t="shared" si="30"/>
        <v>316.65269715622975</v>
      </c>
      <c r="E49" s="2"/>
      <c r="F49" s="2">
        <f>$D49*BASE!E$15/100/E$3</f>
        <v>5.7991627676867656E-2</v>
      </c>
      <c r="G49" s="2">
        <f>$D49*BASE!F$15/100/F$3</f>
        <v>5.7991627676867656E-2</v>
      </c>
      <c r="H49" s="2">
        <f>$D49*BASE!G$15/100/G$3</f>
        <v>5.7991627676867656E-2</v>
      </c>
      <c r="I49" s="2">
        <f>(1-BESSELJ(2*F49,1)/F49)*BASE!K$13*E$2*E$3</f>
        <v>8.6502328926294312E-3</v>
      </c>
      <c r="J49" s="2">
        <f>(1-BESSELJ(2*G49,1)/G49)*BASE!L$13*F$2*F$3</f>
        <v>8.6502328926294312E-3</v>
      </c>
      <c r="K49" s="2">
        <f>(1-BESSELJ(2*H49,1)/H49)*BASE!M$13*G$2*G$3</f>
        <v>8.6502328926294312E-3</v>
      </c>
      <c r="L49" s="2" t="str">
        <f>IMPRODUCT(COMPLEX(1-BESSELJ(2*F49,1)/F49,(STRUVE(2*F49)/(2*F49^2))),PI()*(BASE!E$15/100)^2*E$2*E$3)</f>
        <v>0.00865023289262943+0.253142645632567i</v>
      </c>
      <c r="M49" s="2" t="str">
        <f>IMPRODUCT(COMPLEX(1-BESSELJ(2*G49,1)/G49,(STRUVE(2*G49)/(2*G49^2))),PI()*(BASE!F$15/100)^2*F$2*F$3)</f>
        <v>0.00865023289262943+0.253142645632567i</v>
      </c>
      <c r="N49" s="2" t="str">
        <f>IMPRODUCT(COMPLEX(1-BESSELJ(2*H49,1)/H49,(STRUVE(2*H49)/(2*H49^2))),PI()*(BASE!G$15/100)^2*G$2*G$3)</f>
        <v>0.00865023289262943+0.253142645632567i</v>
      </c>
      <c r="O49" s="2" t="str">
        <f>IMSUM(IMPRODUCT(IF($O$3=1,L49,COMPLEX(I49,$D49*BASE!K$15)),2),COMPLEX(BASE!E$36,$D49*BASE!K$14-BASE!K$10/$D49))</f>
        <v>0.817300465785259-0.429722944370937i</v>
      </c>
      <c r="P49" s="2" t="str">
        <f>IMSUM(IMPRODUCT(IF($O$3=1,M49,COMPLEX(J49,$D49*BASE!L$15)),2),COMPLEX(BASE!F$36,$D49*BASE!L$14-BASE!L$10/$D49))</f>
        <v>0.817300465785259-2.75087797194794i</v>
      </c>
      <c r="Q49" s="2" t="str">
        <f>IMSUM(IMPRODUCT(IF($O$3=1,N49,COMPLEX(K49,$D49*BASE!M$15)),2),COMPLEX(BASE!G$36,$D49*BASE!M$14-BASE!M$10/$D49))</f>
        <v>0.817300465785259-7.39318802710194i</v>
      </c>
      <c r="R49" s="2" t="str">
        <f>COMPLEX(BASE!E$19,FRES!$D49*BASE!K$36)</f>
        <v>7.2+0.0881572634426563i</v>
      </c>
      <c r="S49" s="2" t="str">
        <f>COMPLEX(BASE!F$19,FRES!$D49*BASE!L$36)</f>
        <v>7.2+0.0881572634426563i</v>
      </c>
      <c r="T49" s="2" t="str">
        <f>COMPLEX(BASE!G$19,FRES!$D49*BASE!M$36)</f>
        <v>7.2+0.0881572634426563i</v>
      </c>
      <c r="U49" s="2" t="str">
        <f>IMDIV(BASE!K$21*BASE!E$38,IMPRODUCT(FRES!R49,IMSUM(FRES!O49,IMDIV(BASE!K$21^2,FRES!R49))))</f>
        <v>0.545131534485087+0.107629668844498i</v>
      </c>
      <c r="V49" s="2" t="str">
        <f>IMDIV(BASE!L$21*BASE!F$38,IMPRODUCT(FRES!S49,IMSUM(FRES!P49,IMDIV(BASE!L$21^2,FRES!S49))))</f>
        <v>0.213422250882223+0.271541299489994i</v>
      </c>
      <c r="W49" s="2" t="str">
        <f>IMDIV(BASE!M$21*BASE!G$38,IMPRODUCT(FRES!T49,IMSUM(FRES!Q49,IMDIV(BASE!M$21^2,FRES!T49))))</f>
        <v>0.0448176352965439+0.149654405987324i</v>
      </c>
      <c r="X49" s="2" t="str">
        <f t="shared" si="28"/>
        <v>0.00033989815912225-0.00172154394824602i</v>
      </c>
      <c r="Y49" s="2" t="str">
        <f t="shared" si="25"/>
        <v>0.000857536670076178-0.000673994735553839i</v>
      </c>
      <c r="Z49" s="2" t="str">
        <f t="shared" si="25"/>
        <v>0.000472613710008879-0.000141535618357395i</v>
      </c>
      <c r="AA49" s="44" t="str">
        <f>IMPRODUCT(COMPLEX(0,$D49),U49,E$2,BASE!E$15^2/10000,1/(2*BASE!$U$3))</f>
        <v>-0.0811610290569754+0.411071006584068i</v>
      </c>
      <c r="AB49" s="44" t="str">
        <f>IMPRODUCT(COMPLEX(0,$D49),V49,F$2,BASE!F$15^2/10000,1/(2*BASE!$U$3))</f>
        <v>-0.20476297599612+0.160936753696448i</v>
      </c>
      <c r="AC49" s="44" t="str">
        <f>IMPRODUCT(COMPLEX(0,$D49),W49,G$2,BASE!G$15^2/10000,1/(2*BASE!$U$3))</f>
        <v>-0.112850905547151+0.0337959360055549i</v>
      </c>
      <c r="AD49" s="44">
        <f t="shared" si="6"/>
        <v>1.7657271962405905</v>
      </c>
      <c r="AE49" s="44">
        <f t="shared" si="7"/>
        <v>2.4754677513468715</v>
      </c>
      <c r="AF49" s="44">
        <f t="shared" si="8"/>
        <v>2.8506183032562147</v>
      </c>
      <c r="AG49" s="31">
        <f t="shared" si="9"/>
        <v>86.423816231523901</v>
      </c>
      <c r="AH49" s="31">
        <f t="shared" si="10"/>
        <v>82.293523178244797</v>
      </c>
      <c r="AI49" s="31">
        <f t="shared" si="11"/>
        <v>75.402509997404621</v>
      </c>
      <c r="AJ49" s="2" t="str">
        <f>IMSUM(R49,IMDIV(BASE!K$21^2,FRES!O49))</f>
        <v>16.1944589926348+4.81729368651455i</v>
      </c>
      <c r="AK49" s="2" t="str">
        <f>IMSUM(S49,IMDIV(BASE!L$21^2,FRES!P49))</f>
        <v>8.13124030024882+3.22253505445903i</v>
      </c>
      <c r="AL49" s="2" t="str">
        <f>IMSUM(T49,IMDIV(BASE!M$21^2,FRES!Q49))</f>
        <v>7.33861267089015+1.34202849162684i</v>
      </c>
      <c r="AM49" s="31">
        <f t="shared" si="24"/>
        <v>0.55565505082347799</v>
      </c>
      <c r="AN49" s="31">
        <f t="shared" si="24"/>
        <v>0.34537477397799216</v>
      </c>
      <c r="AO49" s="31">
        <f t="shared" si="24"/>
        <v>0.156221194672787</v>
      </c>
      <c r="AP49" s="31">
        <f t="shared" si="12"/>
        <v>2.4816302401112016</v>
      </c>
      <c r="AQ49" s="31">
        <f t="shared" si="13"/>
        <v>1.5424902230352251</v>
      </c>
      <c r="AR49" s="31">
        <f t="shared" si="14"/>
        <v>0.6977048805220829</v>
      </c>
      <c r="AS49" s="2">
        <f t="shared" si="15"/>
        <v>115.62048422866967</v>
      </c>
      <c r="AT49" s="2">
        <f t="shared" si="16"/>
        <v>117.87965858182866</v>
      </c>
      <c r="AU49" s="2">
        <f t="shared" si="17"/>
        <v>119.07379987662917</v>
      </c>
      <c r="AV49" s="2">
        <f t="shared" si="18"/>
        <v>115.62048422866967</v>
      </c>
      <c r="AW49" s="2">
        <f t="shared" si="19"/>
        <v>117.87965858182866</v>
      </c>
      <c r="AX49" s="2">
        <f t="shared" si="20"/>
        <v>119.07379987662917</v>
      </c>
      <c r="AY49">
        <f t="shared" si="21"/>
        <v>16.895763389863834</v>
      </c>
      <c r="AZ49">
        <f t="shared" si="22"/>
        <v>8.7465307978425226</v>
      </c>
      <c r="BA49">
        <f t="shared" si="23"/>
        <v>7.4603134254324512</v>
      </c>
    </row>
    <row r="50" spans="1:53" x14ac:dyDescent="0.2">
      <c r="A50" s="2">
        <v>46</v>
      </c>
      <c r="B50" s="42">
        <f t="shared" si="27"/>
        <v>4096000</v>
      </c>
      <c r="C50" s="43">
        <v>51.873582186040387</v>
      </c>
      <c r="D50" s="2">
        <f t="shared" si="30"/>
        <v>325.93132942210167</v>
      </c>
      <c r="E50" s="2"/>
      <c r="F50" s="2">
        <f>$D50*BASE!E$15/100/E$3</f>
        <v>5.9690912074396529E-2</v>
      </c>
      <c r="G50" s="2">
        <f>$D50*BASE!F$15/100/F$3</f>
        <v>5.9690912074396529E-2</v>
      </c>
      <c r="H50" s="2">
        <f>$D50*BASE!G$15/100/G$3</f>
        <v>5.9690912074396529E-2</v>
      </c>
      <c r="I50" s="2">
        <f>(1-BESSELJ(2*F50,1)/F50)*BASE!K$13*E$2*E$3</f>
        <v>9.164297108670753E-3</v>
      </c>
      <c r="J50" s="2">
        <f>(1-BESSELJ(2*G50,1)/G50)*BASE!L$13*F$2*F$3</f>
        <v>9.164297108670753E-3</v>
      </c>
      <c r="K50" s="2">
        <f>(1-BESSELJ(2*H50,1)/H50)*BASE!M$13*G$2*G$3</f>
        <v>9.164297108670753E-3</v>
      </c>
      <c r="L50" s="2" t="str">
        <f>IMPRODUCT(COMPLEX(1-BESSELJ(2*F50,1)/F50,(STRUVE(2*F50)/(2*F50^2))),PI()*(BASE!E$15/100)^2*E$2*E$3)</f>
        <v>0.00916429710867078+0.260546394988224i</v>
      </c>
      <c r="M50" s="2" t="str">
        <f>IMPRODUCT(COMPLEX(1-BESSELJ(2*G50,1)/G50,(STRUVE(2*G50)/(2*G50^2))),PI()*(BASE!F$15/100)^2*F$2*F$3)</f>
        <v>0.00916429710867078+0.260546394988224i</v>
      </c>
      <c r="N50" s="2" t="str">
        <f>IMPRODUCT(COMPLEX(1-BESSELJ(2*H50,1)/H50,(STRUVE(2*H50)/(2*H50^2))),PI()*(BASE!G$15/100)^2*G$2*G$3)</f>
        <v>0.00916429710867078+0.260546394988224i</v>
      </c>
      <c r="O50" s="2" t="str">
        <f>IMSUM(IMPRODUCT(IF($O$3=1,L50,COMPLEX(I50,$D50*BASE!K$15)),2),COMPLEX(BASE!E$36,$D50*BASE!K$14-BASE!K$10/$D50))</f>
        <v>0.818328594217341-0.308311323446003i</v>
      </c>
      <c r="P50" s="2" t="str">
        <f>IMSUM(IMPRODUCT(IF($O$3=1,M50,COMPLEX(J50,$D50*BASE!L$15)),2),COMPLEX(BASE!F$36,$D50*BASE!L$14-BASE!L$10/$D50))</f>
        <v>0.818328594217341-2.56338757310634i</v>
      </c>
      <c r="Q50" s="2" t="str">
        <f>IMSUM(IMPRODUCT(IF($O$3=1,N50,COMPLEX(K50,$D50*BASE!M$15)),2),COMPLEX(BASE!G$36,$D50*BASE!M$14-BASE!M$10/$D50))</f>
        <v>0.818328594217341-7.07354007242701i</v>
      </c>
      <c r="R50" s="2" t="str">
        <f>COMPLEX(BASE!E$19,FRES!$D50*BASE!K$36)</f>
        <v>7.2+0.0907404684378957i</v>
      </c>
      <c r="S50" s="2" t="str">
        <f>COMPLEX(BASE!F$19,FRES!$D50*BASE!L$36)</f>
        <v>7.2+0.0907404684378957i</v>
      </c>
      <c r="T50" s="2" t="str">
        <f>COMPLEX(BASE!G$19,FRES!$D50*BASE!M$36)</f>
        <v>7.2+0.0907404684378957i</v>
      </c>
      <c r="U50" s="2" t="str">
        <f>IMDIV(BASE!K$21*BASE!E$38,IMPRODUCT(FRES!R50,IMSUM(FRES!O50,IMDIV(BASE!K$21^2,FRES!R50))))</f>
        <v>0.555553824617289+0.0778907619880298i</v>
      </c>
      <c r="V50" s="2" t="str">
        <f>IMDIV(BASE!L$21*BASE!F$38,IMPRODUCT(FRES!S50,IMSUM(FRES!P50,IMDIV(BASE!L$21^2,FRES!S50))))</f>
        <v>0.23243045315558+0.275508009605167i</v>
      </c>
      <c r="W50" s="2" t="str">
        <f>IMDIV(BASE!M$21*BASE!G$38,IMPRODUCT(FRES!T50,IMSUM(FRES!Q50,IMDIV(BASE!M$21^2,FRES!T50))))</f>
        <v>0.0485930821903646+0.155254065196862i</v>
      </c>
      <c r="X50" s="2" t="str">
        <f t="shared" si="28"/>
        <v>0.000238979057724016-0.00170451188476518i</v>
      </c>
      <c r="Y50" s="2" t="str">
        <f t="shared" si="25"/>
        <v>0.00084529465177116-0.000713127067495152i</v>
      </c>
      <c r="Z50" s="2" t="str">
        <f t="shared" si="25"/>
        <v>0.000476339802841715-0.000149089939517393i</v>
      </c>
      <c r="AA50" s="44" t="str">
        <f>IMPRODUCT(COMPLEX(0,$D50),U50,E$2,BASE!E$15^2/10000,1/(2*BASE!$U$3))</f>
        <v>-0.0604566961140588+0.431205805318122i</v>
      </c>
      <c r="AB50" s="44" t="str">
        <f>IMPRODUCT(COMPLEX(0,$D50),V50,F$2,BASE!F$15^2/10000,1/(2*BASE!$U$3))</f>
        <v>-0.213841841940749+0.180406211409761i</v>
      </c>
      <c r="AC50" s="44" t="str">
        <f>IMPRODUCT(COMPLEX(0,$D50),W50,G$2,BASE!G$15^2/10000,1/(2*BASE!$U$3))</f>
        <v>-0.120503993034776+0.0377166319631054i</v>
      </c>
      <c r="AD50" s="44">
        <f t="shared" si="6"/>
        <v>1.7100921532356115</v>
      </c>
      <c r="AE50" s="44">
        <f t="shared" si="7"/>
        <v>2.4408006473710513</v>
      </c>
      <c r="AF50" s="44">
        <f t="shared" si="8"/>
        <v>2.8382607828799178</v>
      </c>
      <c r="AG50" s="31">
        <f t="shared" si="9"/>
        <v>86.757633579011198</v>
      </c>
      <c r="AH50" s="31">
        <f t="shared" si="10"/>
        <v>82.915616117685559</v>
      </c>
      <c r="AI50" s="31">
        <f t="shared" si="11"/>
        <v>76.005306661467444</v>
      </c>
      <c r="AJ50" s="2" t="str">
        <f>IMSUM(R50,IMDIV(BASE!K$21^2,FRES!O50))</f>
        <v>17.241223035482+3.87384518329493i</v>
      </c>
      <c r="AK50" s="2" t="str">
        <f>IMSUM(S50,IMDIV(BASE!L$21^2,FRES!P50))</f>
        <v>8.26050340893377+3.41273273280175i</v>
      </c>
      <c r="AL50" s="2" t="str">
        <f>IMSUM(T50,IMDIV(BASE!M$21^2,FRES!Q50))</f>
        <v>7.35143980843645+1.39976909227629i</v>
      </c>
      <c r="AM50" s="31">
        <f t="shared" si="24"/>
        <v>0.56098754250872029</v>
      </c>
      <c r="AN50" s="31">
        <f t="shared" si="24"/>
        <v>0.36045607070863578</v>
      </c>
      <c r="AO50" s="31">
        <f t="shared" si="24"/>
        <v>0.16268101424847034</v>
      </c>
      <c r="AP50" s="31">
        <f t="shared" si="12"/>
        <v>2.4341206853138591</v>
      </c>
      <c r="AQ50" s="31">
        <f t="shared" si="13"/>
        <v>1.564016152542653</v>
      </c>
      <c r="AR50" s="31">
        <f t="shared" si="14"/>
        <v>0.70587168499180331</v>
      </c>
      <c r="AS50" s="2">
        <f t="shared" si="15"/>
        <v>115.44339238660221</v>
      </c>
      <c r="AT50" s="2">
        <f t="shared" si="16"/>
        <v>117.76930976262003</v>
      </c>
      <c r="AU50" s="2">
        <f t="shared" si="17"/>
        <v>119.03446466758423</v>
      </c>
      <c r="AV50" s="2">
        <f t="shared" si="18"/>
        <v>115.44339238660221</v>
      </c>
      <c r="AW50" s="2">
        <f t="shared" si="19"/>
        <v>117.76930976262003</v>
      </c>
      <c r="AX50" s="2">
        <f t="shared" si="20"/>
        <v>119.03446466758423</v>
      </c>
      <c r="AY50">
        <f t="shared" si="21"/>
        <v>17.67106245428872</v>
      </c>
      <c r="AZ50">
        <f t="shared" si="22"/>
        <v>8.9377100688343507</v>
      </c>
      <c r="BA50">
        <f t="shared" si="23"/>
        <v>7.4835166044284378</v>
      </c>
    </row>
    <row r="51" spans="1:53" x14ac:dyDescent="0.2">
      <c r="A51" s="2">
        <v>47</v>
      </c>
      <c r="B51" s="42">
        <f t="shared" si="27"/>
        <v>6501994.7088617375</v>
      </c>
      <c r="C51" s="43">
        <v>53.393594166801378</v>
      </c>
      <c r="D51" s="2">
        <f t="shared" si="30"/>
        <v>335.48184636635608</v>
      </c>
      <c r="E51" s="2"/>
      <c r="F51" s="2">
        <f>$D51*BASE!E$15/100/E$3</f>
        <v>6.1439989305466368E-2</v>
      </c>
      <c r="G51" s="2">
        <f>$D51*BASE!F$15/100/F$3</f>
        <v>6.1439989305466368E-2</v>
      </c>
      <c r="H51" s="2">
        <f>$D51*BASE!G$15/100/G$3</f>
        <v>6.1439989305466368E-2</v>
      </c>
      <c r="I51" s="2">
        <f>(1-BESSELJ(2*F51,1)/F51)*BASE!K$13*E$2*E$3</f>
        <v>9.7088917800187084E-3</v>
      </c>
      <c r="J51" s="2">
        <f>(1-BESSELJ(2*G51,1)/G51)*BASE!L$13*F$2*F$3</f>
        <v>9.7088917800187084E-3</v>
      </c>
      <c r="K51" s="2">
        <f>(1-BESSELJ(2*H51,1)/H51)*BASE!M$13*G$2*G$3</f>
        <v>9.7088917800187084E-3</v>
      </c>
      <c r="L51" s="2" t="str">
        <f>IMPRODUCT(COMPLEX(1-BESSELJ(2*F51,1)/F51,(STRUVE(2*F51)/(2*F51^2))),PI()*(BASE!E$15/100)^2*E$2*E$3)</f>
        <v>0.0097088917800187+0.268165833745657i</v>
      </c>
      <c r="M51" s="2" t="str">
        <f>IMPRODUCT(COMPLEX(1-BESSELJ(2*G51,1)/G51,(STRUVE(2*G51)/(2*G51^2))),PI()*(BASE!F$15/100)^2*F$2*F$3)</f>
        <v>0.0097088917800187+0.268165833745657i</v>
      </c>
      <c r="N51" s="2" t="str">
        <f>IMPRODUCT(COMPLEX(1-BESSELJ(2*H51,1)/H51,(STRUVE(2*H51)/(2*H51^2))),PI()*(BASE!G$15/100)^2*G$2*G$3)</f>
        <v>0.0097088917800187+0.268165833745657i</v>
      </c>
      <c r="O51" s="2" t="str">
        <f>IMSUM(IMPRODUCT(IF($O$3=1,L51,COMPLEX(I51,$D51*BASE!K$15)),2),COMPLEX(BASE!E$36,$D51*BASE!K$14-BASE!K$10/$D51))</f>
        <v>0.819417783560037-0.18715688898168i</v>
      </c>
      <c r="P51" s="2" t="str">
        <f>IMSUM(IMPRODUCT(IF($O$3=1,M51,COMPLEX(J51,$D51*BASE!L$15)),2),COMPLEX(BASE!F$36,$D51*BASE!L$14-BASE!L$10/$D51))</f>
        <v>0.819417783560037-2.37803549526357i</v>
      </c>
      <c r="Q51" s="2" t="str">
        <f>IMSUM(IMPRODUCT(IF($O$3=1,N51,COMPLEX(K51,$D51*BASE!M$15)),2),COMPLEX(BASE!G$36,$D51*BASE!M$14-BASE!M$10/$D51))</f>
        <v>0.819417783560037-6.75979270782737i</v>
      </c>
      <c r="R51" s="2" t="str">
        <f>COMPLEX(BASE!E$19,FRES!$D51*BASE!K$36)</f>
        <v>7.2+0.0933993671172043i</v>
      </c>
      <c r="S51" s="2" t="str">
        <f>COMPLEX(BASE!F$19,FRES!$D51*BASE!L$36)</f>
        <v>7.2+0.0933993671172043i</v>
      </c>
      <c r="T51" s="2" t="str">
        <f>COMPLEX(BASE!G$19,FRES!$D51*BASE!M$36)</f>
        <v>7.2+0.0933993671172043i</v>
      </c>
      <c r="U51" s="2" t="str">
        <f>IMDIV(BASE!K$21*BASE!E$38,IMPRODUCT(FRES!R51,IMSUM(FRES!O51,IMDIV(BASE!K$21^2,FRES!R51))))</f>
        <v>0.562689936163489+0.0467415062354962i</v>
      </c>
      <c r="V51" s="2" t="str">
        <f>IMDIV(BASE!L$21*BASE!F$38,IMPRODUCT(FRES!S51,IMSUM(FRES!P51,IMDIV(BASE!L$21^2,FRES!S51))))</f>
        <v>0.253155270842755+0.278299079606375i</v>
      </c>
      <c r="W51" s="2" t="str">
        <f>IMDIV(BASE!M$21*BASE!G$38,IMPRODUCT(FRES!T51,IMSUM(FRES!Q51,IMDIV(BASE!M$21^2,FRES!T51))))</f>
        <v>0.0527652427413203+0.161114883182497i</v>
      </c>
      <c r="X51" s="2" t="str">
        <f t="shared" si="28"/>
        <v>0.000139326484403729-0.00167725897021866i</v>
      </c>
      <c r="Y51" s="2" t="str">
        <f t="shared" si="25"/>
        <v>0.000829550339670136-0.000754601995859716i</v>
      </c>
      <c r="Z51" s="2" t="str">
        <f t="shared" si="25"/>
        <v>0.00048024918465053-0.00015728196119351i</v>
      </c>
      <c r="AA51" s="44" t="str">
        <f>IMPRODUCT(COMPLEX(0,$D51),U51,E$2,BASE!E$15^2/10000,1/(2*BASE!$U$3))</f>
        <v>-0.0373425591144519+0.449542256906031i</v>
      </c>
      <c r="AB51" s="44" t="str">
        <f>IMPRODUCT(COMPLEX(0,$D51),V51,F$2,BASE!F$15^2/10000,1/(2*BASE!$U$3))</f>
        <v>-0.222337717987498+0.202249915074443i</v>
      </c>
      <c r="AC51" s="44" t="str">
        <f>IMPRODUCT(COMPLEX(0,$D51),W51,G$2,BASE!G$15^2/10000,1/(2*BASE!$U$3))</f>
        <v>-0.128717333565332+0.0421550214134908i</v>
      </c>
      <c r="AD51" s="44">
        <f t="shared" si="6"/>
        <v>1.6536740117161317</v>
      </c>
      <c r="AE51" s="44">
        <f t="shared" si="7"/>
        <v>2.4034705611996428</v>
      </c>
      <c r="AF51" s="44">
        <f t="shared" si="8"/>
        <v>2.8251005900626609</v>
      </c>
      <c r="AG51" s="31">
        <f t="shared" si="9"/>
        <v>87.064675162309882</v>
      </c>
      <c r="AH51" s="31">
        <f t="shared" si="10"/>
        <v>83.538157153347242</v>
      </c>
      <c r="AI51" s="31">
        <f t="shared" si="11"/>
        <v>76.614624071775978</v>
      </c>
      <c r="AJ51" s="2" t="str">
        <f>IMSUM(R51,IMDIV(BASE!K$21^2,FRES!O51))</f>
        <v>18.0835265357687+2.57922162830174i</v>
      </c>
      <c r="AK51" s="2" t="str">
        <f>IMSUM(S51,IMDIV(BASE!L$21^2,FRES!P51))</f>
        <v>8.41535160285805+3.62047591928256i</v>
      </c>
      <c r="AL51" s="2" t="str">
        <f>IMSUM(T51,IMDIV(BASE!M$21^2,FRES!Q51))</f>
        <v>7.36583012520039+1.46141613897383i</v>
      </c>
      <c r="AM51" s="31">
        <f t="shared" si="24"/>
        <v>0.56462795951390343</v>
      </c>
      <c r="AN51" s="31">
        <f t="shared" si="24"/>
        <v>0.37621532247534006</v>
      </c>
      <c r="AO51" s="31">
        <f t="shared" si="24"/>
        <v>0.16953517754277461</v>
      </c>
      <c r="AP51" s="31">
        <f t="shared" si="12"/>
        <v>2.3801720620305002</v>
      </c>
      <c r="AQ51" s="31">
        <f t="shared" si="13"/>
        <v>1.585924297185906</v>
      </c>
      <c r="AR51" s="31">
        <f t="shared" si="14"/>
        <v>0.71467040609553101</v>
      </c>
      <c r="AS51" s="2">
        <f t="shared" si="15"/>
        <v>115.26380786454455</v>
      </c>
      <c r="AT51" s="2">
        <f t="shared" si="16"/>
        <v>117.6504844078155</v>
      </c>
      <c r="AU51" s="2">
        <f t="shared" si="17"/>
        <v>118.99257447280606</v>
      </c>
      <c r="AV51" s="2">
        <f t="shared" si="18"/>
        <v>115.26380786454455</v>
      </c>
      <c r="AW51" s="2">
        <f t="shared" si="19"/>
        <v>117.6504844078155</v>
      </c>
      <c r="AX51" s="2">
        <f t="shared" si="20"/>
        <v>118.99257447280606</v>
      </c>
      <c r="AY51">
        <f t="shared" si="21"/>
        <v>18.26653541801921</v>
      </c>
      <c r="AZ51">
        <f t="shared" si="22"/>
        <v>9.1611128407978075</v>
      </c>
      <c r="BA51">
        <f t="shared" si="23"/>
        <v>7.5094068051053666</v>
      </c>
    </row>
    <row r="52" spans="1:53" x14ac:dyDescent="0.2">
      <c r="A52" s="2">
        <v>48</v>
      </c>
      <c r="B52" s="42">
        <f t="shared" si="27"/>
        <v>10321273.240738802</v>
      </c>
      <c r="C52" s="43">
        <v>54.958145898323558</v>
      </c>
      <c r="D52" s="2">
        <f t="shared" si="30"/>
        <v>345.31221481817863</v>
      </c>
      <c r="E52" s="2"/>
      <c r="F52" s="2">
        <f>$D52*BASE!E$15/100/E$3</f>
        <v>6.3240318411468766E-2</v>
      </c>
      <c r="G52" s="2">
        <f>$D52*BASE!F$15/100/F$3</f>
        <v>6.3240318411468766E-2</v>
      </c>
      <c r="H52" s="2">
        <f>$D52*BASE!G$15/100/G$3</f>
        <v>6.3240318411468766E-2</v>
      </c>
      <c r="I52" s="2">
        <f>(1-BESSELJ(2*F52,1)/F52)*BASE!K$13*E$2*E$3</f>
        <v>1.0285827764938919E-2</v>
      </c>
      <c r="J52" s="2">
        <f>(1-BESSELJ(2*G52,1)/G52)*BASE!L$13*F$2*F$3</f>
        <v>1.0285827764938919E-2</v>
      </c>
      <c r="K52" s="2">
        <f>(1-BESSELJ(2*H52,1)/H52)*BASE!M$13*G$2*G$3</f>
        <v>1.0285827764938919E-2</v>
      </c>
      <c r="L52" s="2" t="str">
        <f>IMPRODUCT(COMPLEX(1-BESSELJ(2*F52,1)/F52,(STRUVE(2*F52)/(2*F52^2))),PI()*(BASE!E$15/100)^2*E$2*E$3)</f>
        <v>0.0102858277649389+0.276007168428067i</v>
      </c>
      <c r="M52" s="2" t="str">
        <f>IMPRODUCT(COMPLEX(1-BESSELJ(2*G52,1)/G52,(STRUVE(2*G52)/(2*G52^2))),PI()*(BASE!F$15/100)^2*F$2*F$3)</f>
        <v>0.0102858277649389+0.276007168428067i</v>
      </c>
      <c r="N52" s="2" t="str">
        <f>IMPRODUCT(COMPLEX(1-BESSELJ(2*H52,1)/H52,(STRUVE(2*H52)/(2*H52^2))),PI()*(BASE!G$15/100)^2*G$2*G$3)</f>
        <v>0.0102858277649389+0.276007168428067i</v>
      </c>
      <c r="O52" s="2" t="str">
        <f>IMSUM(IMPRODUCT(IF($O$3=1,L52,COMPLEX(I52,$D52*BASE!K$15)),2),COMPLEX(BASE!E$36,$D52*BASE!K$14-BASE!K$10/$D52))</f>
        <v>0.820571655529878-0.066158576638719i</v>
      </c>
      <c r="P52" s="2" t="str">
        <f>IMSUM(IMPRODUCT(IF($O$3=1,M52,COMPLEX(J52,$D52*BASE!L$15)),2),COMPLEX(BASE!F$36,$D52*BASE!L$14-BASE!L$10/$D52))</f>
        <v>0.820571655529878-2.19466712183168i</v>
      </c>
      <c r="Q52" s="2" t="str">
        <f>IMSUM(IMPRODUCT(IF($O$3=1,N52,COMPLEX(K52,$D52*BASE!M$15)),2),COMPLEX(BASE!G$36,$D52*BASE!M$14-BASE!M$10/$D52))</f>
        <v>0.820571655529878-6.4516842122176i</v>
      </c>
      <c r="R52" s="2" t="str">
        <f>COMPLEX(BASE!E$19,FRES!$D52*BASE!K$36)</f>
        <v>7.2+0.096136177474825i</v>
      </c>
      <c r="S52" s="2" t="str">
        <f>COMPLEX(BASE!F$19,FRES!$D52*BASE!L$36)</f>
        <v>7.2+0.096136177474825i</v>
      </c>
      <c r="T52" s="2" t="str">
        <f>COMPLEX(BASE!G$19,FRES!$D52*BASE!M$36)</f>
        <v>7.2+0.096136177474825i</v>
      </c>
      <c r="U52" s="2" t="str">
        <f>IMDIV(BASE!K$21*BASE!E$38,IMPRODUCT(FRES!R52,IMSUM(FRES!O52,IMDIV(BASE!K$21^2,FRES!R52))))</f>
        <v>0.566294553429576+0.0147129419666573i</v>
      </c>
      <c r="V52" s="2" t="str">
        <f>IMDIV(BASE!L$21*BASE!F$38,IMPRODUCT(FRES!S52,IMSUM(FRES!P52,IMDIV(BASE!L$21^2,FRES!S52))))</f>
        <v>0.275654840920115+0.279570640771637i</v>
      </c>
      <c r="W52" s="2" t="str">
        <f>IMDIV(BASE!M$21*BASE!G$38,IMPRODUCT(FRES!T52,IMSUM(FRES!Q52,IMDIV(BASE!M$21^2,FRES!T52))))</f>
        <v>0.0573866821172735+0.167247873044474i</v>
      </c>
      <c r="X52" s="2" t="str">
        <f t="shared" si="28"/>
        <v>0.0000426076499332764-0.00163994938240964i</v>
      </c>
      <c r="Y52" s="2" t="str">
        <f t="shared" si="25"/>
        <v>0.00080961700390136-0.000798277121662952i</v>
      </c>
      <c r="Z52" s="2" t="str">
        <f t="shared" si="25"/>
        <v>0.00048433813189185-0.000166187813968556i</v>
      </c>
      <c r="AA52" s="44" t="str">
        <f>IMPRODUCT(COMPLEX(0,$D52),U52,E$2,BASE!E$15^2/10000,1/(2*BASE!$U$3))</f>
        <v>-0.0120988421952625+0.465679022829565i</v>
      </c>
      <c r="AB52" s="44" t="str">
        <f>IMPRODUCT(COMPLEX(0,$D52),V52,F$2,BASE!F$15^2/10000,1/(2*BASE!$U$3))</f>
        <v>-0.229898348867948+0.226678282848578i</v>
      </c>
      <c r="AC52" s="44" t="str">
        <f>IMPRODUCT(COMPLEX(0,$D52),W52,G$2,BASE!G$15^2/10000,1/(2*BASE!$U$3))</f>
        <v>-0.137532359472639+0.0471905899323225i</v>
      </c>
      <c r="AD52" s="44">
        <f t="shared" si="6"/>
        <v>1.5967715595173646</v>
      </c>
      <c r="AE52" s="44">
        <f t="shared" si="7"/>
        <v>2.3632470031967969</v>
      </c>
      <c r="AF52" s="44">
        <f t="shared" si="8"/>
        <v>2.8110569431685972</v>
      </c>
      <c r="AG52" s="31">
        <f t="shared" si="9"/>
        <v>87.344064155660533</v>
      </c>
      <c r="AH52" s="31">
        <f t="shared" si="10"/>
        <v>84.159589738473116</v>
      </c>
      <c r="AI52" s="31">
        <f t="shared" si="11"/>
        <v>77.230881658523543</v>
      </c>
      <c r="AJ52" s="2" t="str">
        <f>IMSUM(R52,IMDIV(BASE!K$21^2,FRES!O52))</f>
        <v>18.5613383090342+1.01214389742377i</v>
      </c>
      <c r="AK52" s="2" t="str">
        <f>IMSUM(S52,IMDIV(BASE!L$21^2,FRES!P52))</f>
        <v>8.6025291610523+3.84728285239136i</v>
      </c>
      <c r="AL52" s="2" t="str">
        <f>IMSUM(T52,IMDIV(BASE!M$21^2,FRES!Q52))</f>
        <v>7.38203758875644+1.52739331327203i</v>
      </c>
      <c r="AM52" s="31">
        <f t="shared" si="24"/>
        <v>0.56648565022012443</v>
      </c>
      <c r="AN52" s="31">
        <f t="shared" si="24"/>
        <v>0.39261346704380584</v>
      </c>
      <c r="AO52" s="31">
        <f t="shared" si="24"/>
        <v>0.17681934940025509</v>
      </c>
      <c r="AP52" s="31">
        <f t="shared" si="12"/>
        <v>2.3200212881344844</v>
      </c>
      <c r="AQ52" s="31">
        <f t="shared" si="13"/>
        <v>1.6079341130635314</v>
      </c>
      <c r="AR52" s="31">
        <f t="shared" si="14"/>
        <v>0.72415718668826934</v>
      </c>
      <c r="AS52" s="2">
        <f t="shared" si="15"/>
        <v>115.08268173371486</v>
      </c>
      <c r="AT52" s="2">
        <f t="shared" si="16"/>
        <v>117.52244884611757</v>
      </c>
      <c r="AU52" s="2">
        <f t="shared" si="17"/>
        <v>118.94787215636151</v>
      </c>
      <c r="AV52" s="2">
        <f t="shared" si="18"/>
        <v>115.08268173371486</v>
      </c>
      <c r="AW52" s="2">
        <f t="shared" si="19"/>
        <v>117.52244884611757</v>
      </c>
      <c r="AX52" s="2">
        <f t="shared" si="20"/>
        <v>118.94787215636151</v>
      </c>
      <c r="AY52">
        <f t="shared" si="21"/>
        <v>18.588913768467286</v>
      </c>
      <c r="AZ52">
        <f t="shared" si="22"/>
        <v>9.4236454365102134</v>
      </c>
      <c r="BA52">
        <f t="shared" si="23"/>
        <v>7.5383956711783906</v>
      </c>
    </row>
    <row r="53" spans="1:53" x14ac:dyDescent="0.2">
      <c r="A53" s="2">
        <v>49</v>
      </c>
      <c r="B53" s="42">
        <f t="shared" si="27"/>
        <v>16384000</v>
      </c>
      <c r="C53" s="43">
        <v>56.568542494923797</v>
      </c>
      <c r="D53" s="2">
        <f t="shared" si="30"/>
        <v>355.43063505266923</v>
      </c>
      <c r="E53" s="2"/>
      <c r="F53" s="2">
        <f>$D53*BASE!E$15/100/E$3</f>
        <v>6.5093401186971406E-2</v>
      </c>
      <c r="G53" s="2">
        <f>$D53*BASE!F$15/100/F$3</f>
        <v>6.5093401186971406E-2</v>
      </c>
      <c r="H53" s="2">
        <f>$D53*BASE!G$15/100/G$3</f>
        <v>6.5093401186971406E-2</v>
      </c>
      <c r="I53" s="2">
        <f>(1-BESSELJ(2*F53,1)/F53)*BASE!K$13*E$2*E$3</f>
        <v>1.0897023040831016E-2</v>
      </c>
      <c r="J53" s="2">
        <f>(1-BESSELJ(2*G53,1)/G53)*BASE!L$13*F$2*F$3</f>
        <v>1.0897023040831016E-2</v>
      </c>
      <c r="K53" s="2">
        <f>(1-BESSELJ(2*H53,1)/H53)*BASE!M$13*G$2*G$3</f>
        <v>1.0897023040831016E-2</v>
      </c>
      <c r="L53" s="2" t="str">
        <f>IMPRODUCT(COMPLEX(1-BESSELJ(2*F53,1)/F53,(STRUVE(2*F53)/(2*F53^2))),PI()*(BASE!E$15/100)^2*E$2*E$3)</f>
        <v>0.010897023040831+0.284076777153884i</v>
      </c>
      <c r="M53" s="2" t="str">
        <f>IMPRODUCT(COMPLEX(1-BESSELJ(2*G53,1)/G53,(STRUVE(2*G53)/(2*G53^2))),PI()*(BASE!F$15/100)^2*F$2*F$3)</f>
        <v>0.010897023040831+0.284076777153884i</v>
      </c>
      <c r="N53" s="2" t="str">
        <f>IMPRODUCT(COMPLEX(1-BESSELJ(2*H53,1)/H53,(STRUVE(2*H53)/(2*H53^2))),PI()*(BASE!G$15/100)^2*G$2*G$3)</f>
        <v>0.010897023040831+0.284076777153884i</v>
      </c>
      <c r="O53" s="2" t="str">
        <f>IMSUM(IMPRODUCT(IF($O$3=1,L53,COMPLEX(I53,$D53*BASE!K$15)),2),COMPLEX(BASE!E$36,$D53*BASE!K$14-BASE!K$10/$D53))</f>
        <v>0.821794046081662+0.054784547688519i</v>
      </c>
      <c r="P53" s="2" t="str">
        <f>IMSUM(IMPRODUCT(IF($O$3=1,M53,COMPLEX(J53,$D53*BASE!L$15)),2),COMPLEX(BASE!F$36,$D53*BASE!L$14-BASE!L$10/$D53))</f>
        <v>0.821794046081662-2.01312949098484i</v>
      </c>
      <c r="Q53" s="2" t="str">
        <f>IMSUM(IMPRODUCT(IF($O$3=1,N53,COMPLEX(K53,$D53*BASE!M$15)),2),COMPLEX(BASE!G$36,$D53*BASE!M$14-BASE!M$10/$D53))</f>
        <v>0.821794046081662-6.14895756833155i</v>
      </c>
      <c r="R53" s="2" t="str">
        <f>COMPLEX(BASE!E$19,FRES!$D53*BASE!K$36)</f>
        <v>7.2+0.098953182497193i</v>
      </c>
      <c r="S53" s="2" t="str">
        <f>COMPLEX(BASE!F$19,FRES!$D53*BASE!L$36)</f>
        <v>7.2+0.098953182497193i</v>
      </c>
      <c r="T53" s="2" t="str">
        <f>COMPLEX(BASE!G$19,FRES!$D53*BASE!M$36)</f>
        <v>7.2+0.098953182497193i</v>
      </c>
      <c r="U53" s="2" t="str">
        <f>IMDIV(BASE!K$21*BASE!E$38,IMPRODUCT(FRES!R53,IMSUM(FRES!O53,IMDIV(BASE!K$21^2,FRES!R53))))</f>
        <v>0.566239330115104-0.0176136268908297i</v>
      </c>
      <c r="V53" s="2" t="str">
        <f>IMDIV(BASE!L$21*BASE!F$38,IMPRODUCT(FRES!S53,IMSUM(FRES!P53,IMDIV(BASE!L$21^2,FRES!S53))))</f>
        <v>0.299937024406728+0.278915554306423i</v>
      </c>
      <c r="W53" s="2" t="str">
        <f>IMDIV(BASE!M$21*BASE!G$38,IMPRODUCT(FRES!T53,IMSUM(FRES!Q53,IMDIV(BASE!M$21^2,FRES!T53))))</f>
        <v>0.062518357201187+0.17366268324088i</v>
      </c>
      <c r="X53" s="2" t="str">
        <f t="shared" si="28"/>
        <v>-0.0000495557364891173-0.00159310783672656i</v>
      </c>
      <c r="Y53" s="2" t="str">
        <f t="shared" si="25"/>
        <v>0.000784725701162738-0.000843869365290592i</v>
      </c>
      <c r="Z53" s="2" t="str">
        <f t="shared" si="25"/>
        <v>0.000488597960091836-0.000175894678273646i</v>
      </c>
      <c r="AA53" s="44" t="str">
        <f>IMPRODUCT(COMPLEX(0,$D53),U53,E$2,BASE!E$15^2/10000,1/(2*BASE!$U$3))</f>
        <v>0.0149085703591323+0.479277717499742i</v>
      </c>
      <c r="AB53" s="44" t="str">
        <f>IMPRODUCT(COMPLEX(0,$D53),V53,F$2,BASE!F$15^2/10000,1/(2*BASE!$U$3))</f>
        <v>-0.236080404757444+0.25387345033433i</v>
      </c>
      <c r="AC53" s="44" t="str">
        <f>IMPRODUCT(COMPLEX(0,$D53),W53,G$2,BASE!G$15^2/10000,1/(2*BASE!$U$3))</f>
        <v>-0.146992004991335+0.0529169450930361i</v>
      </c>
      <c r="AD53" s="44">
        <f t="shared" si="6"/>
        <v>1.5397000248484878</v>
      </c>
      <c r="AE53" s="44">
        <f t="shared" si="7"/>
        <v>2.3198946845071604</v>
      </c>
      <c r="AF53" s="44">
        <f t="shared" si="8"/>
        <v>2.796038137219139</v>
      </c>
      <c r="AG53" s="31">
        <f t="shared" si="9"/>
        <v>87.595345070745509</v>
      </c>
      <c r="AH53" s="31">
        <f t="shared" si="10"/>
        <v>84.77792756428488</v>
      </c>
      <c r="AI53" s="31">
        <f t="shared" si="11"/>
        <v>77.85451787166609</v>
      </c>
      <c r="AJ53" s="2" t="str">
        <f>IMSUM(R53,IMDIV(BASE!K$21^2,FRES!O53))</f>
        <v>18.5676621934638-0.658867143062709i</v>
      </c>
      <c r="AK53" s="2" t="str">
        <f>IMSUM(S53,IMDIV(BASE!L$21^2,FRES!P53))</f>
        <v>8.83095577222278+4.09426706826775i</v>
      </c>
      <c r="AL53" s="2" t="str">
        <f>IMSUM(T53,IMDIV(BASE!M$21^2,FRES!Q53))</f>
        <v>7.40036929574157+1.59818806182724i</v>
      </c>
      <c r="AM53" s="31">
        <f t="shared" si="24"/>
        <v>0.56651321151536349</v>
      </c>
      <c r="AN53" s="31">
        <f t="shared" si="24"/>
        <v>0.40958040119617706</v>
      </c>
      <c r="AO53" s="31">
        <f t="shared" si="24"/>
        <v>0.18457321728126602</v>
      </c>
      <c r="AP53" s="31">
        <f t="shared" si="12"/>
        <v>2.2540844484883693</v>
      </c>
      <c r="AQ53" s="31">
        <f t="shared" si="13"/>
        <v>1.6296686360983312</v>
      </c>
      <c r="AR53" s="31">
        <f t="shared" si="14"/>
        <v>0.73439349731719827</v>
      </c>
      <c r="AS53" s="2">
        <f t="shared" si="15"/>
        <v>114.90101739666702</v>
      </c>
      <c r="AT53" s="2">
        <f t="shared" si="16"/>
        <v>117.38445412983856</v>
      </c>
      <c r="AU53" s="2">
        <f t="shared" si="17"/>
        <v>118.90006581223763</v>
      </c>
      <c r="AV53" s="2">
        <f t="shared" si="18"/>
        <v>114.90101739666702</v>
      </c>
      <c r="AW53" s="2">
        <f t="shared" si="19"/>
        <v>117.38445412983856</v>
      </c>
      <c r="AX53" s="2">
        <f t="shared" si="20"/>
        <v>118.90006581223763</v>
      </c>
      <c r="AY53">
        <f t="shared" si="21"/>
        <v>18.579348353556231</v>
      </c>
      <c r="AZ53">
        <f t="shared" si="22"/>
        <v>9.7338996644333982</v>
      </c>
      <c r="BA53">
        <f t="shared" si="23"/>
        <v>7.570975551031828</v>
      </c>
    </row>
    <row r="54" spans="1:53" x14ac:dyDescent="0.2">
      <c r="A54" s="2">
        <v>50</v>
      </c>
      <c r="B54" s="42">
        <f t="shared" si="27"/>
        <v>26007978.835446954</v>
      </c>
      <c r="C54" s="43">
        <v>58.226127313687492</v>
      </c>
      <c r="D54" s="2">
        <f t="shared" si="30"/>
        <v>365.84554763132923</v>
      </c>
      <c r="E54" s="2"/>
      <c r="F54" s="2">
        <f>$D54*BASE!E$15/100/E$3</f>
        <v>6.7000783432481809E-2</v>
      </c>
      <c r="G54" s="2">
        <f>$D54*BASE!F$15/100/F$3</f>
        <v>6.7000783432481809E-2</v>
      </c>
      <c r="H54" s="2">
        <f>$D54*BASE!G$15/100/G$3</f>
        <v>6.7000783432481809E-2</v>
      </c>
      <c r="I54" s="2">
        <f>(1-BESSELJ(2*F54,1)/F54)*BASE!K$13*E$2*E$3</f>
        <v>1.1544509005361121E-2</v>
      </c>
      <c r="J54" s="2">
        <f>(1-BESSELJ(2*G54,1)/G54)*BASE!L$13*F$2*F$3</f>
        <v>1.1544509005361121E-2</v>
      </c>
      <c r="K54" s="2">
        <f>(1-BESSELJ(2*H54,1)/H54)*BASE!M$13*G$2*G$3</f>
        <v>1.1544509005361121E-2</v>
      </c>
      <c r="L54" s="2" t="str">
        <f>IMPRODUCT(COMPLEX(1-BESSELJ(2*F54,1)/F54,(STRUVE(2*F54)/(2*F54^2))),PI()*(BASE!E$15/100)^2*E$2*E$3)</f>
        <v>0.0115445090053611+0.292381213738059i</v>
      </c>
      <c r="M54" s="2" t="str">
        <f>IMPRODUCT(COMPLEX(1-BESSELJ(2*G54,1)/G54,(STRUVE(2*G54)/(2*G54^2))),PI()*(BASE!F$15/100)^2*F$2*F$3)</f>
        <v>0.0115445090053611+0.292381213738059i</v>
      </c>
      <c r="N54" s="2" t="str">
        <f>IMPRODUCT(COMPLEX(1-BESSELJ(2*H54,1)/H54,(STRUVE(2*H54)/(2*H54^2))),PI()*(BASE!G$15/100)^2*G$2*G$3)</f>
        <v>0.0115445090053611+0.292381213738059i</v>
      </c>
      <c r="O54" s="2" t="str">
        <f>IMSUM(IMPRODUCT(IF($O$3=1,L54,COMPLEX(I54,$D54*BASE!K$15)),2),COMPLEX(BASE!E$36,$D54*BASE!K$14-BASE!K$10/$D54))</f>
        <v>0.823089018010722+0.175773372069065i</v>
      </c>
      <c r="P54" s="2" t="str">
        <f>IMSUM(IMPRODUCT(IF($O$3=1,M54,COMPLEX(J54,$D54*BASE!L$15)),2),COMPLEX(BASE!F$36,$D54*BASE!L$14-BASE!L$10/$D54))</f>
        <v>0.823089018010722-1.83327116806205i</v>
      </c>
      <c r="Q54" s="2" t="str">
        <f>IMSUM(IMPRODUCT(IF($O$3=1,N54,COMPLEX(K54,$D54*BASE!M$15)),2),COMPLEX(BASE!G$36,$D54*BASE!M$14-BASE!M$10/$D54))</f>
        <v>0.823089018010722-5.85136024832428i</v>
      </c>
      <c r="R54" s="2" t="str">
        <f>COMPLEX(BASE!E$19,FRES!$D54*BASE!K$36)</f>
        <v>7.2+0.101852732067352i</v>
      </c>
      <c r="S54" s="2" t="str">
        <f>COMPLEX(BASE!F$19,FRES!$D54*BASE!L$36)</f>
        <v>7.2+0.101852732067352i</v>
      </c>
      <c r="T54" s="2" t="str">
        <f>COMPLEX(BASE!G$19,FRES!$D54*BASE!M$36)</f>
        <v>7.2+0.101852732067352i</v>
      </c>
      <c r="U54" s="2" t="str">
        <f>IMDIV(BASE!K$21*BASE!E$38,IMPRODUCT(FRES!R54,IMSUM(FRES!O54,IMDIV(BASE!K$21^2,FRES!R54))))</f>
        <v>0.562523913679474-0.0496393071110199i</v>
      </c>
      <c r="V54" s="2" t="str">
        <f>IMDIV(BASE!L$21*BASE!F$38,IMPRODUCT(FRES!S54,IMSUM(FRES!P54,IMDIV(BASE!L$21^2,FRES!S54))))</f>
        <v>0.325935051229777+0.275863028049574i</v>
      </c>
      <c r="W54" s="2" t="str">
        <f>IMDIV(BASE!M$21*BASE!G$38,IMPRODUCT(FRES!T54,IMSUM(FRES!Q54,IMDIV(BASE!M$21^2,FRES!T54))))</f>
        <v>0.0682311117843279+0.180366691196119i</v>
      </c>
      <c r="X54" s="2" t="str">
        <f t="shared" si="28"/>
        <v>-0.000135683780853451-0.00153759945234141i</v>
      </c>
      <c r="Y54" s="2" t="str">
        <f t="shared" si="25"/>
        <v>0.000754042326975556-0.000890908891306856i</v>
      </c>
      <c r="Z54" s="2" t="str">
        <f t="shared" si="25"/>
        <v>0.000493013219277657-0.000186502506935211i</v>
      </c>
      <c r="AA54" s="44" t="str">
        <f>IMPRODUCT(COMPLEX(0,$D54),U54,E$2,BASE!E$15^2/10000,1/(2*BASE!$U$3))</f>
        <v>0.0432469848431802+0.490084664445728i</v>
      </c>
      <c r="AB54" s="44" t="str">
        <f>IMPRODUCT(COMPLEX(0,$D54),V54,F$2,BASE!F$15^2/10000,1/(2*BASE!$U$3))</f>
        <v>-0.240338652716714+0.283962630438612i</v>
      </c>
      <c r="AC54" s="44" t="str">
        <f>IMPRODUCT(COMPLEX(0,$D54),W54,G$2,BASE!G$15^2/10000,1/(2*BASE!$U$3))</f>
        <v>-0.157139896069207+0.0594446221936706i</v>
      </c>
      <c r="AD54" s="44">
        <f t="shared" si="6"/>
        <v>1.482780408362619</v>
      </c>
      <c r="AE54" s="44">
        <f t="shared" si="7"/>
        <v>2.2731816749966041</v>
      </c>
      <c r="AF54" s="44">
        <f t="shared" si="8"/>
        <v>2.7799397727667836</v>
      </c>
      <c r="AG54" s="31">
        <f t="shared" si="9"/>
        <v>87.818509807396211</v>
      </c>
      <c r="AH54" s="31">
        <f t="shared" si="10"/>
        <v>85.390680764313288</v>
      </c>
      <c r="AI54" s="31">
        <f t="shared" si="11"/>
        <v>78.485987321105469</v>
      </c>
      <c r="AJ54" s="2" t="str">
        <f>IMSUM(R54,IMDIV(BASE!K$21^2,FRES!O54))</f>
        <v>18.1029868295428-2.22651603330035i</v>
      </c>
      <c r="AK54" s="2" t="str">
        <f>IMSUM(S54,IMDIV(BASE!L$21^2,FRES!P54))</f>
        <v>9.11250185376997+4.36157972472664i</v>
      </c>
      <c r="AL54" s="2" t="str">
        <f>IMSUM(T54,IMDIV(BASE!M$21^2,FRES!Q54))</f>
        <v>7.42119923071719+1.67436355077151i</v>
      </c>
      <c r="AM54" s="31">
        <f t="shared" si="24"/>
        <v>0.56470984963229953</v>
      </c>
      <c r="AN54" s="31">
        <f t="shared" si="24"/>
        <v>0.42700593422672406</v>
      </c>
      <c r="AO54" s="31">
        <f t="shared" si="24"/>
        <v>0.19284093939918881</v>
      </c>
      <c r="AP54" s="31">
        <f t="shared" si="12"/>
        <v>2.1829439590732931</v>
      </c>
      <c r="AQ54" s="31">
        <f t="shared" si="13"/>
        <v>1.6506353222200976</v>
      </c>
      <c r="AR54" s="31">
        <f t="shared" si="14"/>
        <v>0.74544646954109006</v>
      </c>
      <c r="AS54" s="2">
        <f t="shared" si="15"/>
        <v>114.7198366302146</v>
      </c>
      <c r="AT54" s="2">
        <f t="shared" si="16"/>
        <v>117.23576200243248</v>
      </c>
      <c r="AU54" s="2">
        <f t="shared" si="17"/>
        <v>118.84882312667187</v>
      </c>
      <c r="AV54" s="2">
        <f t="shared" si="18"/>
        <v>114.7198366302146</v>
      </c>
      <c r="AW54" s="2">
        <f t="shared" si="19"/>
        <v>117.23576200243248</v>
      </c>
      <c r="AX54" s="2">
        <f t="shared" si="20"/>
        <v>118.84882312667187</v>
      </c>
      <c r="AY54">
        <f t="shared" si="21"/>
        <v>18.239394337453852</v>
      </c>
      <c r="AZ54">
        <f t="shared" si="22"/>
        <v>10.102527789128208</v>
      </c>
      <c r="BA54">
        <f t="shared" si="23"/>
        <v>7.6077389099619861</v>
      </c>
    </row>
    <row r="55" spans="1:53" x14ac:dyDescent="0.2">
      <c r="A55" s="2">
        <v>51</v>
      </c>
      <c r="B55" s="42">
        <f t="shared" si="27"/>
        <v>41285092.962955214</v>
      </c>
      <c r="C55" s="43">
        <v>59.932283075067254</v>
      </c>
      <c r="D55" s="2">
        <f t="shared" si="30"/>
        <v>376.56564044299034</v>
      </c>
      <c r="E55" s="2"/>
      <c r="F55" s="2">
        <f>$D55*BASE!E$15/100/E$3</f>
        <v>6.8964056243919727E-2</v>
      </c>
      <c r="G55" s="2">
        <f>$D55*BASE!F$15/100/F$3</f>
        <v>6.8964056243919727E-2</v>
      </c>
      <c r="H55" s="2">
        <f>$D55*BASE!G$15/100/G$3</f>
        <v>6.8964056243919727E-2</v>
      </c>
      <c r="I55" s="2">
        <f>(1-BESSELJ(2*F55,1)/F55)*BASE!K$13*E$2*E$3</f>
        <v>1.2230437143892032E-2</v>
      </c>
      <c r="J55" s="2">
        <f>(1-BESSELJ(2*G55,1)/G55)*BASE!L$13*F$2*F$3</f>
        <v>1.2230437143892032E-2</v>
      </c>
      <c r="K55" s="2">
        <f>(1-BESSELJ(2*H55,1)/H55)*BASE!M$13*G$2*G$3</f>
        <v>1.2230437143892032E-2</v>
      </c>
      <c r="L55" s="2" t="str">
        <f>IMPRODUCT(COMPLEX(1-BESSELJ(2*F55,1)/F55,(STRUVE(2*F55)/(2*F55^2))),PI()*(BASE!E$15/100)^2*E$2*E$3)</f>
        <v>0.012230437143892+0.300927211830075i</v>
      </c>
      <c r="M55" s="2" t="str">
        <f>IMPRODUCT(COMPLEX(1-BESSELJ(2*G55,1)/G55,(STRUVE(2*G55)/(2*G55^2))),PI()*(BASE!F$15/100)^2*F$2*F$3)</f>
        <v>0.012230437143892+0.300927211830075i</v>
      </c>
      <c r="N55" s="2" t="str">
        <f>IMPRODUCT(COMPLEX(1-BESSELJ(2*H55,1)/H55,(STRUVE(2*H55)/(2*H55^2))),PI()*(BASE!G$15/100)^2*G$2*G$3)</f>
        <v>0.012230437143892+0.300927211830075i</v>
      </c>
      <c r="O55" s="2" t="str">
        <f>IMSUM(IMPRODUCT(IF($O$3=1,L55,COMPLEX(I55,$D55*BASE!K$15)),2),COMPLEX(BASE!E$36,$D55*BASE!K$14-BASE!K$10/$D55))</f>
        <v>0.824460874287784+0.296908822693912i</v>
      </c>
      <c r="P55" s="2" t="str">
        <f>IMSUM(IMPRODUCT(IF($O$3=1,M55,COMPLEX(J55,$D55*BASE!L$15)),2),COMPLEX(BASE!F$36,$D55*BASE!L$14-BASE!L$10/$D55))</f>
        <v>0.824460874287784-1.65494211924372i</v>
      </c>
      <c r="Q55" s="2" t="str">
        <f>IMSUM(IMPRODUCT(IF($O$3=1,N55,COMPLEX(K55,$D55*BASE!M$15)),2),COMPLEX(BASE!G$36,$D55*BASE!M$14-BASE!M$10/$D55))</f>
        <v>0.824460874287784-5.558644003119i</v>
      </c>
      <c r="R55" s="2" t="str">
        <f>COMPLEX(BASE!E$19,FRES!$D55*BASE!K$36)</f>
        <v>7.2+0.104837244925176i</v>
      </c>
      <c r="S55" s="2" t="str">
        <f>COMPLEX(BASE!F$19,FRES!$D55*BASE!L$36)</f>
        <v>7.2+0.104837244925176i</v>
      </c>
      <c r="T55" s="2" t="str">
        <f>COMPLEX(BASE!G$19,FRES!$D55*BASE!M$36)</f>
        <v>7.2+0.104837244925176i</v>
      </c>
      <c r="U55" s="2" t="str">
        <f>IMDIV(BASE!K$21*BASE!E$38,IMPRODUCT(FRES!R55,IMSUM(FRES!O55,IMDIV(BASE!K$21^2,FRES!R55))))</f>
        <v>0.55527603069534-0.0807824089879472i</v>
      </c>
      <c r="V55" s="2" t="str">
        <f>IMDIV(BASE!L$21*BASE!F$38,IMPRODUCT(FRES!S55,IMSUM(FRES!P55,IMDIV(BASE!L$21^2,FRES!S55))))</f>
        <v>0.353477593114964+0.269885493164614i</v>
      </c>
      <c r="W55" s="2" t="str">
        <f>IMDIV(BASE!M$21*BASE!G$38,IMPRODUCT(FRES!T55,IMSUM(FRES!Q55,IMDIV(BASE!M$21^2,FRES!T55))))</f>
        <v>0.0746074341278753+0.18736373285017i</v>
      </c>
      <c r="X55" s="2" t="str">
        <f t="shared" si="28"/>
        <v>-0.000214524110306281-0.00147457965108584i</v>
      </c>
      <c r="Y55" s="2" t="str">
        <f t="shared" si="25"/>
        <v>0.000716702386460756-0.000938687854524206i</v>
      </c>
      <c r="Z55" s="2" t="str">
        <f t="shared" si="25"/>
        <v>0.000497559290406199-0.00019812597357557i</v>
      </c>
      <c r="AA55" s="44" t="str">
        <f>IMPRODUCT(COMPLEX(0,$D55),U55,E$2,BASE!E$15^2/10000,1/(2*BASE!$U$3))</f>
        <v>0.0724419012248438+0.497945677432778i</v>
      </c>
      <c r="AB55" s="44" t="str">
        <f>IMPRODUCT(COMPLEX(0,$D55),V55,F$2,BASE!F$15^2/10000,1/(2*BASE!$U$3))</f>
        <v>-0.242020737964948+0.316982239158655i</v>
      </c>
      <c r="AC55" s="44" t="str">
        <f>IMPRODUCT(COMPLEX(0,$D55),W55,G$2,BASE!G$15^2/10000,1/(2*BASE!$U$3))</f>
        <v>-0.168019067496181+0.0669044714244281i</v>
      </c>
      <c r="AD55" s="44">
        <f t="shared" si="6"/>
        <v>1.4263283187043629</v>
      </c>
      <c r="AE55" s="44">
        <f t="shared" si="7"/>
        <v>2.2228911609696951</v>
      </c>
      <c r="AF55" s="44">
        <f t="shared" si="8"/>
        <v>2.7626426682881209</v>
      </c>
      <c r="AG55" s="31">
        <f t="shared" si="9"/>
        <v>88.013998108296519</v>
      </c>
      <c r="AH55" s="31">
        <f t="shared" si="10"/>
        <v>85.99478535775259</v>
      </c>
      <c r="AI55" s="31">
        <f t="shared" si="11"/>
        <v>79.125756119315739</v>
      </c>
      <c r="AJ55" s="2" t="str">
        <f>IMSUM(R55,IMDIV(BASE!K$21^2,FRES!O55))</f>
        <v>17.2746660536195-3.52330003884649i</v>
      </c>
      <c r="AK55" s="2" t="str">
        <f>IMSUM(S55,IMDIV(BASE!L$21^2,FRES!P55))</f>
        <v>9.46300561413017+4.64737337211774i</v>
      </c>
      <c r="AL55" s="2" t="str">
        <f>IMSUM(T55,IMDIV(BASE!M$21^2,FRES!Q55))</f>
        <v>7.44498631192448+1.75657322912413i</v>
      </c>
      <c r="AM55" s="31">
        <f t="shared" si="24"/>
        <v>0.56112143771795797</v>
      </c>
      <c r="AN55" s="31">
        <f t="shared" si="24"/>
        <v>0.44472979240776639</v>
      </c>
      <c r="AO55" s="31">
        <f t="shared" si="24"/>
        <v>0.20167160835054379</v>
      </c>
      <c r="AP55" s="31">
        <f t="shared" si="12"/>
        <v>2.1073232980722914</v>
      </c>
      <c r="AQ55" s="31">
        <f t="shared" si="13"/>
        <v>1.6702078906470299</v>
      </c>
      <c r="AR55" s="31">
        <f t="shared" si="14"/>
        <v>0.75738913231546678</v>
      </c>
      <c r="AS55" s="2">
        <f t="shared" si="15"/>
        <v>114.54014404787503</v>
      </c>
      <c r="AT55" s="2">
        <f t="shared" si="16"/>
        <v>117.07568232447218</v>
      </c>
      <c r="AU55" s="2">
        <f t="shared" si="17"/>
        <v>118.79376473309276</v>
      </c>
      <c r="AV55" s="2">
        <f t="shared" si="18"/>
        <v>114.54014404787503</v>
      </c>
      <c r="AW55" s="2">
        <f t="shared" si="19"/>
        <v>117.07568232447218</v>
      </c>
      <c r="AX55" s="2">
        <f t="shared" si="20"/>
        <v>118.79376473309276</v>
      </c>
      <c r="AY55">
        <f t="shared" si="21"/>
        <v>17.630307156365983</v>
      </c>
      <c r="AZ55">
        <f t="shared" si="22"/>
        <v>10.542606628008471</v>
      </c>
      <c r="BA55">
        <f t="shared" si="23"/>
        <v>7.6494032900624633</v>
      </c>
    </row>
    <row r="56" spans="1:53" x14ac:dyDescent="0.2">
      <c r="A56" s="2">
        <v>52</v>
      </c>
      <c r="B56" s="42">
        <f t="shared" si="27"/>
        <v>65536000</v>
      </c>
      <c r="C56" s="43">
        <v>61.688433016317632</v>
      </c>
      <c r="D56" s="2">
        <f t="shared" si="30"/>
        <v>387.59985595105906</v>
      </c>
      <c r="E56" s="2"/>
      <c r="F56" s="2">
        <f>$D56*BASE!E$15/100/E$3</f>
        <v>7.0984857339874183E-2</v>
      </c>
      <c r="G56" s="2">
        <f>$D56*BASE!F$15/100/F$3</f>
        <v>7.0984857339874183E-2</v>
      </c>
      <c r="H56" s="2">
        <f>$D56*BASE!G$15/100/G$3</f>
        <v>7.0984857339874183E-2</v>
      </c>
      <c r="I56" s="2">
        <f>(1-BESSELJ(2*F56,1)/F56)*BASE!K$13*E$2*E$3</f>
        <v>1.2957086083983979E-2</v>
      </c>
      <c r="J56" s="2">
        <f>(1-BESSELJ(2*G56,1)/G56)*BASE!L$13*F$2*F$3</f>
        <v>1.2957086083983979E-2</v>
      </c>
      <c r="K56" s="2">
        <f>(1-BESSELJ(2*H56,1)/H56)*BASE!M$13*G$2*G$3</f>
        <v>1.2957086083983979E-2</v>
      </c>
      <c r="L56" s="2" t="str">
        <f>IMPRODUCT(COMPLEX(1-BESSELJ(2*F56,1)/F56,(STRUVE(2*F56)/(2*F56^2))),PI()*(BASE!E$15/100)^2*E$2*E$3)</f>
        <v>0.012957086083984+0.309721689082247i</v>
      </c>
      <c r="M56" s="2" t="str">
        <f>IMPRODUCT(COMPLEX(1-BESSELJ(2*G56,1)/G56,(STRUVE(2*G56)/(2*G56^2))),PI()*(BASE!F$15/100)^2*F$2*F$3)</f>
        <v>0.012957086083984+0.309721689082247i</v>
      </c>
      <c r="N56" s="2" t="str">
        <f>IMPRODUCT(COMPLEX(1-BESSELJ(2*H56,1)/H56,(STRUVE(2*H56)/(2*H56^2))),PI()*(BASE!G$15/100)^2*G$2*G$3)</f>
        <v>0.012957086083984+0.309721689082247i</v>
      </c>
      <c r="O56" s="2" t="str">
        <f>IMSUM(IMPRODUCT(IF($O$3=1,L56,COMPLEX(I56,$D56*BASE!K$15)),2),COMPLEX(BASE!E$36,$D56*BASE!K$14-BASE!K$10/$D56))</f>
        <v>0.825914172167968+0.418291948066413i</v>
      </c>
      <c r="P56" s="2" t="str">
        <f>IMSUM(IMPRODUCT(IF($O$3=1,M56,COMPLEX(J56,$D56*BASE!L$15)),2),COMPLEX(BASE!F$36,$D56*BASE!L$14-BASE!L$10/$D56))</f>
        <v>0.825914172167968-1.47799358639676i</v>
      </c>
      <c r="Q56" s="2" t="str">
        <f>IMSUM(IMPRODUCT(IF($O$3=1,N56,COMPLEX(K56,$D56*BASE!M$15)),2),COMPLEX(BASE!G$36,$D56*BASE!M$14-BASE!M$10/$D56))</f>
        <v>0.825914172167968-5.27056465532309i</v>
      </c>
      <c r="R56" s="2" t="str">
        <f>COMPLEX(BASE!E$19,FRES!$D56*BASE!K$36)</f>
        <v>7.2+0.107909210685025i</v>
      </c>
      <c r="S56" s="2" t="str">
        <f>COMPLEX(BASE!F$19,FRES!$D56*BASE!L$36)</f>
        <v>7.2+0.107909210685025i</v>
      </c>
      <c r="T56" s="2" t="str">
        <f>COMPLEX(BASE!G$19,FRES!$D56*BASE!M$36)</f>
        <v>7.2+0.107909210685025i</v>
      </c>
      <c r="U56" s="2" t="str">
        <f>IMDIV(BASE!K$21*BASE!E$38,IMPRODUCT(FRES!R56,IMSUM(FRES!O56,IMDIV(BASE!K$21^2,FRES!R56))))</f>
        <v>0.544740615365892-0.110511193580091i</v>
      </c>
      <c r="V56" s="2" t="str">
        <f>IMDIV(BASE!L$21*BASE!F$38,IMPRODUCT(FRES!S56,IMSUM(FRES!P56,IMDIV(BASE!L$21^2,FRES!S56))))</f>
        <v>0.3822546111644+0.260416678429015i</v>
      </c>
      <c r="W56" s="2" t="str">
        <f>IMDIV(BASE!M$21*BASE!G$38,IMPRODUCT(FRES!T56,IMSUM(FRES!Q56,IMDIV(BASE!M$21^2,FRES!T56))))</f>
        <v>0.0817435054418714+0.194652331244899i</v>
      </c>
      <c r="X56" s="2" t="str">
        <f t="shared" si="28"/>
        <v>-0.000285116704465558-0.00140542006660259i</v>
      </c>
      <c r="Y56" s="2" t="str">
        <f t="shared" si="25"/>
        <v>0.000671869905085561-0.000986209373650196i</v>
      </c>
      <c r="Z56" s="2" t="str">
        <f t="shared" si="25"/>
        <v>0.000502199183658822-0.000210896635245894i</v>
      </c>
      <c r="AA56" s="44" t="str">
        <f>IMPRODUCT(COMPLEX(0,$D56),U56,E$2,BASE!E$15^2/10000,1/(2*BASE!$U$3))</f>
        <v>0.10200517982784+0.502812091968361i</v>
      </c>
      <c r="AB56" s="44" t="str">
        <f>IMPRODUCT(COMPLEX(0,$D56),V56,F$2,BASE!F$15^2/10000,1/(2*BASE!$U$3))</f>
        <v>-0.240372484024153+0.352832587258113i</v>
      </c>
      <c r="AC56" s="44" t="str">
        <f>IMPRODUCT(COMPLEX(0,$D56),W56,G$2,BASE!G$15^2/10000,1/(2*BASE!$U$3))</f>
        <v>-0.179669999113296+0.0754517321027133i</v>
      </c>
      <c r="AD56" s="44">
        <f t="shared" si="6"/>
        <v>1.3706432715758738</v>
      </c>
      <c r="AE56" s="44">
        <f t="shared" si="7"/>
        <v>2.168837476050042</v>
      </c>
      <c r="AF56" s="44">
        <f t="shared" si="8"/>
        <v>2.7440104017410629</v>
      </c>
      <c r="AG56" s="31">
        <f t="shared" si="9"/>
        <v>88.182672363179151</v>
      </c>
      <c r="AH56" s="31">
        <f t="shared" si="10"/>
        <v>86.58654644000093</v>
      </c>
      <c r="AI56" s="31">
        <f t="shared" si="11"/>
        <v>79.774294707273057</v>
      </c>
      <c r="AJ56" s="2" t="str">
        <f>IMSUM(R56,IMDIV(BASE!K$21^2,FRES!O56))</f>
        <v>16.2419514480838-4.47147156881285i</v>
      </c>
      <c r="AK56" s="2" t="str">
        <f>IMSUM(S56,IMDIV(BASE!L$21^2,FRES!P56))</f>
        <v>9.90350939980434+4.94590532253954i</v>
      </c>
      <c r="AL56" s="2" t="str">
        <f>IMSUM(T56,IMDIV(BASE!M$21^2,FRES!Q56))</f>
        <v>7.47229829797937+1.84557861193467i</v>
      </c>
      <c r="AM56" s="31">
        <f t="shared" si="24"/>
        <v>0.55583726209719619</v>
      </c>
      <c r="AN56" s="31">
        <f t="shared" si="24"/>
        <v>0.46253154936765956</v>
      </c>
      <c r="AO56" s="31">
        <f t="shared" si="24"/>
        <v>0.21111970713554704</v>
      </c>
      <c r="AP56" s="31">
        <f t="shared" si="12"/>
        <v>2.0280518231911775</v>
      </c>
      <c r="AQ56" s="31">
        <f t="shared" si="13"/>
        <v>1.6876125728585887</v>
      </c>
      <c r="AR56" s="31">
        <f t="shared" si="14"/>
        <v>0.77030047491303932</v>
      </c>
      <c r="AS56" s="2">
        <f t="shared" si="15"/>
        <v>114.36289303773896</v>
      </c>
      <c r="AT56" s="2">
        <f t="shared" si="16"/>
        <v>116.90362410152629</v>
      </c>
      <c r="AU56" s="2">
        <f t="shared" si="17"/>
        <v>118.73445638665336</v>
      </c>
      <c r="AV56" s="2">
        <f t="shared" si="18"/>
        <v>114.36289303773896</v>
      </c>
      <c r="AW56" s="2">
        <f t="shared" si="19"/>
        <v>116.90362410152629</v>
      </c>
      <c r="AX56" s="2">
        <f t="shared" si="20"/>
        <v>118.73445638665336</v>
      </c>
      <c r="AY56">
        <f t="shared" si="21"/>
        <v>16.846217523011301</v>
      </c>
      <c r="AZ56">
        <f t="shared" si="22"/>
        <v>11.069845432143028</v>
      </c>
      <c r="BA56">
        <f t="shared" si="23"/>
        <v>7.6968436561239892</v>
      </c>
    </row>
    <row r="57" spans="1:53" x14ac:dyDescent="0.2">
      <c r="A57" s="2">
        <v>53</v>
      </c>
      <c r="B57" s="42">
        <f t="shared" si="27"/>
        <v>104031915.34178801</v>
      </c>
      <c r="C57" s="43">
        <v>63.496042078727974</v>
      </c>
      <c r="D57" s="2">
        <f t="shared" si="30"/>
        <v>398.95739865312038</v>
      </c>
      <c r="E57" s="2"/>
      <c r="F57" s="2">
        <f>$D57*BASE!E$15/100/E$3</f>
        <v>7.3064872427751698E-2</v>
      </c>
      <c r="G57" s="2">
        <f>$D57*BASE!F$15/100/F$3</f>
        <v>7.3064872427751698E-2</v>
      </c>
      <c r="H57" s="2">
        <f>$D57*BASE!G$15/100/G$3</f>
        <v>7.3064872427751698E-2</v>
      </c>
      <c r="I57" s="2">
        <f>(1-BESSELJ(2*F57,1)/F57)*BASE!K$13*E$2*E$3</f>
        <v>1.3726869058832671E-2</v>
      </c>
      <c r="J57" s="2">
        <f>(1-BESSELJ(2*G57,1)/G57)*BASE!L$13*F$2*F$3</f>
        <v>1.3726869058832671E-2</v>
      </c>
      <c r="K57" s="2">
        <f>(1-BESSELJ(2*H57,1)/H57)*BASE!M$13*G$2*G$3</f>
        <v>1.3726869058832671E-2</v>
      </c>
      <c r="L57" s="2" t="str">
        <f>IMPRODUCT(COMPLEX(1-BESSELJ(2*F57,1)/F57,(STRUVE(2*F57)/(2*F57^2))),PI()*(BASE!E$15/100)^2*E$2*E$3)</f>
        <v>0.0137268690588327+0.318771751341041i</v>
      </c>
      <c r="M57" s="2" t="str">
        <f>IMPRODUCT(COMPLEX(1-BESSELJ(2*G57,1)/G57,(STRUVE(2*G57)/(2*G57^2))),PI()*(BASE!F$15/100)^2*F$2*F$3)</f>
        <v>0.0137268690588327+0.318771751341041i</v>
      </c>
      <c r="N57" s="2" t="str">
        <f>IMPRODUCT(COMPLEX(1-BESSELJ(2*H57,1)/H57,(STRUVE(2*H57)/(2*H57^2))),PI()*(BASE!G$15/100)^2*G$2*G$3)</f>
        <v>0.0137268690588327+0.318771751341041i</v>
      </c>
      <c r="O57" s="2" t="str">
        <f>IMSUM(IMPRODUCT(IF($O$3=1,L57,COMPLEX(I57,$D57*BASE!K$15)),2),COMPLEX(BASE!E$36,$D57*BASE!K$14-BASE!K$10/$D57))</f>
        <v>0.827453738117665+0.540024003294696i</v>
      </c>
      <c r="P57" s="2" t="str">
        <f>IMSUM(IMPRODUCT(IF($O$3=1,M57,COMPLEX(J57,$D57*BASE!L$15)),2),COMPLEX(BASE!F$36,$D57*BASE!L$14-BASE!L$10/$D57))</f>
        <v>0.827453738117665-1.3022779629838i</v>
      </c>
      <c r="Q57" s="2" t="str">
        <f>IMSUM(IMPRODUCT(IF($O$3=1,N57,COMPLEX(K57,$D57*BASE!M$15)),2),COMPLEX(BASE!G$36,$D57*BASE!M$14-BASE!M$10/$D57))</f>
        <v>0.827453738117665-4.98688189554081i</v>
      </c>
      <c r="R57" s="2" t="str">
        <f>COMPLEX(BASE!E$19,FRES!$D57*BASE!K$36)</f>
        <v>7.2+0.11107119191253i</v>
      </c>
      <c r="S57" s="2" t="str">
        <f>COMPLEX(BASE!F$19,FRES!$D57*BASE!L$36)</f>
        <v>7.2+0.11107119191253i</v>
      </c>
      <c r="T57" s="2" t="str">
        <f>COMPLEX(BASE!G$19,FRES!$D57*BASE!M$36)</f>
        <v>7.2+0.11107119191253i</v>
      </c>
      <c r="U57" s="2" t="str">
        <f>IMDIV(BASE!K$21*BASE!E$38,IMPRODUCT(FRES!R57,IMSUM(FRES!O57,IMDIV(BASE!K$21^2,FRES!R57))))</f>
        <v>0.531259673920434-0.138370819124196i</v>
      </c>
      <c r="V57" s="2" t="str">
        <f>IMDIV(BASE!L$21*BASE!F$38,IMPRODUCT(FRES!S57,IMSUM(FRES!P57,IMDIV(BASE!L$21^2,FRES!S57))))</f>
        <v>0.411782519503619+0.246885267073969i</v>
      </c>
      <c r="W57" s="2" t="str">
        <f>IMDIV(BASE!M$21*BASE!G$38,IMPRODUCT(FRES!T57,IMSUM(FRES!Q57,IMDIV(BASE!M$21^2,FRES!T57))))</f>
        <v>0.0897515558885376+0.20222323672883i</v>
      </c>
      <c r="X57" s="2" t="str">
        <f t="shared" si="28"/>
        <v>-0.000346831064147039-0.00133162005696339i</v>
      </c>
      <c r="Y57" s="2" t="str">
        <f t="shared" si="25"/>
        <v>0.000618826140102812-0.00103214659232739i</v>
      </c>
      <c r="Z57" s="2" t="str">
        <f t="shared" si="25"/>
        <v>0.000506879274357452-0.000224965262435385i</v>
      </c>
      <c r="AA57" s="44" t="str">
        <f>IMPRODUCT(COMPLEX(0,$D57),U57,E$2,BASE!E$15^2/10000,1/(2*BASE!$U$3))</f>
        <v>0.131462953359418+0.504737676458034i</v>
      </c>
      <c r="AB57" s="44" t="str">
        <f>IMPRODUCT(COMPLEX(0,$D57),V57,F$2,BASE!F$15^2/10000,1/(2*BASE!$U$3))</f>
        <v>-0.2345600507094+0.391225162200848i</v>
      </c>
      <c r="AC57" s="44" t="str">
        <f>IMPRODUCT(COMPLEX(0,$D57),W57,G$2,BASE!G$15^2/10000,1/(2*BASE!$U$3))</f>
        <v>-0.192127676243726+0.0852709023505867i</v>
      </c>
      <c r="AD57" s="44">
        <f t="shared" si="6"/>
        <v>1.3159993394488683</v>
      </c>
      <c r="AE57" s="44">
        <f t="shared" si="7"/>
        <v>2.1108867680904706</v>
      </c>
      <c r="AF57" s="44">
        <f t="shared" si="8"/>
        <v>2.7238864221576642</v>
      </c>
      <c r="AG57" s="31">
        <f t="shared" si="9"/>
        <v>88.325769736799472</v>
      </c>
      <c r="AH57" s="31">
        <f t="shared" si="10"/>
        <v>87.161610493498927</v>
      </c>
      <c r="AI57" s="31">
        <f t="shared" si="11"/>
        <v>80.432067173867551</v>
      </c>
      <c r="AJ57" s="2" t="str">
        <f>IMSUM(R57,IMDIV(BASE!K$21^2,FRES!O57))</f>
        <v>15.152760180551-5.07916627044223i</v>
      </c>
      <c r="AK57" s="2" t="str">
        <f>IMSUM(S57,IMDIV(BASE!L$21^2,FRES!P57))</f>
        <v>10.4614885636816+5.2441251468906i</v>
      </c>
      <c r="AL57" s="2" t="str">
        <f>IMSUM(T57,IMDIV(BASE!M$21^2,FRES!Q57))</f>
        <v>7.50384379936641+1.94227101896222i</v>
      </c>
      <c r="AM57" s="31">
        <f t="shared" si="24"/>
        <v>0.54898390205829062</v>
      </c>
      <c r="AN57" s="31">
        <f t="shared" si="24"/>
        <v>0.48012204538735082</v>
      </c>
      <c r="AO57" s="31">
        <f t="shared" si="24"/>
        <v>0.22124551805064371</v>
      </c>
      <c r="AP57" s="31">
        <f t="shared" si="12"/>
        <v>1.9460235163864543</v>
      </c>
      <c r="AQ57" s="31">
        <f t="shared" si="13"/>
        <v>1.7019238406741874</v>
      </c>
      <c r="AR57" s="31">
        <f t="shared" si="14"/>
        <v>0.78426522054182513</v>
      </c>
      <c r="AS57" s="2">
        <f t="shared" si="15"/>
        <v>114.18895599957914</v>
      </c>
      <c r="AT57" s="2">
        <f t="shared" si="16"/>
        <v>116.71916126897747</v>
      </c>
      <c r="AU57" s="2">
        <f t="shared" si="17"/>
        <v>118.67039977014579</v>
      </c>
      <c r="AV57" s="2">
        <f t="shared" si="18"/>
        <v>114.18895599957914</v>
      </c>
      <c r="AW57" s="2">
        <f t="shared" si="19"/>
        <v>116.71916126897747</v>
      </c>
      <c r="AX57" s="2">
        <f t="shared" si="20"/>
        <v>118.67039977014579</v>
      </c>
      <c r="AY57">
        <f t="shared" si="21"/>
        <v>15.981366371249049</v>
      </c>
      <c r="AZ57">
        <f t="shared" si="22"/>
        <v>11.702290011971643</v>
      </c>
      <c r="BA57">
        <f t="shared" si="23"/>
        <v>7.7511346573511579</v>
      </c>
    </row>
    <row r="58" spans="1:53" x14ac:dyDescent="0.2">
      <c r="A58" s="2">
        <v>54</v>
      </c>
      <c r="B58" s="42">
        <f t="shared" si="27"/>
        <v>165140371.85182059</v>
      </c>
      <c r="C58" s="43">
        <v>65.356618129643977</v>
      </c>
      <c r="D58" s="2">
        <f t="shared" si="30"/>
        <v>410.647742759126</v>
      </c>
      <c r="E58" s="2"/>
      <c r="F58" s="2">
        <f>$D58*BASE!E$15/100/E$3</f>
        <v>7.5205836609956209E-2</v>
      </c>
      <c r="G58" s="2">
        <f>$D58*BASE!F$15/100/F$3</f>
        <v>7.5205836609956209E-2</v>
      </c>
      <c r="H58" s="2">
        <f>$D58*BASE!G$15/100/G$3</f>
        <v>7.5205836609956209E-2</v>
      </c>
      <c r="I58" s="2">
        <f>(1-BESSELJ(2*F58,1)/F58)*BASE!K$13*E$2*E$3</f>
        <v>1.4542341802684433E-2</v>
      </c>
      <c r="J58" s="2">
        <f>(1-BESSELJ(2*G58,1)/G58)*BASE!L$13*F$2*F$3</f>
        <v>1.4542341802684433E-2</v>
      </c>
      <c r="K58" s="2">
        <f>(1-BESSELJ(2*H58,1)/H58)*BASE!M$13*G$2*G$3</f>
        <v>1.4542341802684433E-2</v>
      </c>
      <c r="L58" s="2" t="str">
        <f>IMPRODUCT(COMPLEX(1-BESSELJ(2*F58,1)/F58,(STRUVE(2*F58)/(2*F58^2))),PI()*(BASE!E$15/100)^2*E$2*E$3)</f>
        <v>0.0145423418026844+0.328084696853204i</v>
      </c>
      <c r="M58" s="2" t="str">
        <f>IMPRODUCT(COMPLEX(1-BESSELJ(2*G58,1)/G58,(STRUVE(2*G58)/(2*G58^2))),PI()*(BASE!F$15/100)^2*F$2*F$3)</f>
        <v>0.0145423418026844+0.328084696853204i</v>
      </c>
      <c r="N58" s="2" t="str">
        <f>IMPRODUCT(COMPLEX(1-BESSELJ(2*H58,1)/H58,(STRUVE(2*H58)/(2*H58^2))),PI()*(BASE!G$15/100)^2*G$2*G$3)</f>
        <v>0.0145423418026844+0.328084696853204i</v>
      </c>
      <c r="O58" s="2" t="str">
        <f>IMSUM(IMPRODUCT(IF($O$3=1,L58,COMPLEX(I58,$D58*BASE!K$15)),2),COMPLEX(BASE!E$36,$D58*BASE!K$14-BASE!K$10/$D58))</f>
        <v>0.829084683605369+0.662206534556426i</v>
      </c>
      <c r="P58" s="2" t="str">
        <f>IMSUM(IMPRODUCT(IF($O$3=1,M58,COMPLEX(J58,$D58*BASE!L$15)),2),COMPLEX(BASE!F$36,$D58*BASE!L$14-BASE!L$10/$D58))</f>
        <v>0.829084683605369-1.12764867093324i</v>
      </c>
      <c r="Q58" s="2" t="str">
        <f>IMSUM(IMPRODUCT(IF($O$3=1,N58,COMPLEX(K58,$D58*BASE!M$15)),2),COMPLEX(BASE!G$36,$D58*BASE!M$14-BASE!M$10/$D58))</f>
        <v>0.829084683605369-4.70735908191255i</v>
      </c>
      <c r="R58" s="2" t="str">
        <f>COMPLEX(BASE!E$19,FRES!$D58*BASE!K$36)</f>
        <v>7.2+0.114325826262226i</v>
      </c>
      <c r="S58" s="2" t="str">
        <f>COMPLEX(BASE!F$19,FRES!$D58*BASE!L$36)</f>
        <v>7.2+0.114325826262226i</v>
      </c>
      <c r="T58" s="2" t="str">
        <f>COMPLEX(BASE!G$19,FRES!$D58*BASE!M$36)</f>
        <v>7.2+0.114325826262226i</v>
      </c>
      <c r="U58" s="2" t="str">
        <f>IMDIV(BASE!K$21*BASE!E$38,IMPRODUCT(FRES!R58,IMSUM(FRES!O58,IMDIV(BASE!K$21^2,FRES!R58))))</f>
        <v>0.515245875596229-0.164001853852631i</v>
      </c>
      <c r="V58" s="2" t="str">
        <f>IMDIV(BASE!L$21*BASE!F$38,IMPRODUCT(FRES!S58,IMSUM(FRES!P58,IMDIV(BASE!L$21^2,FRES!S58))))</f>
        <v>0.441375273253315+0.22876787138613i</v>
      </c>
      <c r="W58" s="2" t="str">
        <f>IMDIV(BASE!M$21*BASE!G$38,IMPRODUCT(FRES!T58,IMSUM(FRES!Q58,IMDIV(BASE!M$21^2,FRES!T58))))</f>
        <v>0.0987625183696682+0.210056023406663i</v>
      </c>
      <c r="X58" s="2" t="str">
        <f t="shared" si="28"/>
        <v>-0.000399373567113042-0.00125471498305168i</v>
      </c>
      <c r="Y58" s="2" t="str">
        <f t="shared" si="25"/>
        <v>0.000557090293128236-0.0010748269801454i</v>
      </c>
      <c r="Z58" s="2" t="str">
        <f t="shared" si="25"/>
        <v>0.000511523628488263-0.000240504228042474i</v>
      </c>
      <c r="AA58" s="44" t="str">
        <f>IMPRODUCT(COMPLEX(0,$D58),U58,E$2,BASE!E$15^2/10000,1/(2*BASE!$U$3))</f>
        <v>0.16038012458862+0.503867461133399i</v>
      </c>
      <c r="AB58" s="44" t="str">
        <f>IMPRODUCT(COMPLEX(0,$D58),V58,F$2,BASE!F$15^2/10000,1/(2*BASE!$U$3))</f>
        <v>-0.223715884015249+0.431628177680915i</v>
      </c>
      <c r="AC58" s="44" t="str">
        <f>IMPRODUCT(COMPLEX(0,$D58),W58,G$2,BASE!G$15^2/10000,1/(2*BASE!$U$3))</f>
        <v>-0.205417258483083+0.0965814997130849i</v>
      </c>
      <c r="AD58" s="44">
        <f t="shared" si="6"/>
        <v>1.262637833126464</v>
      </c>
      <c r="AE58" s="44">
        <f t="shared" si="7"/>
        <v>2.0489820043588578</v>
      </c>
      <c r="AF58" s="44">
        <f t="shared" si="8"/>
        <v>2.7020906708691537</v>
      </c>
      <c r="AG58" s="31">
        <f t="shared" si="9"/>
        <v>88.444837037081953</v>
      </c>
      <c r="AH58" s="31">
        <f t="shared" si="10"/>
        <v>87.714987032814406</v>
      </c>
      <c r="AI58" s="31">
        <f t="shared" si="11"/>
        <v>81.099515708930085</v>
      </c>
      <c r="AJ58" s="2" t="str">
        <f>IMSUM(R58,IMDIV(BASE!K$21^2,FRES!O58))</f>
        <v>14.1097040219739-5.40459310407454i</v>
      </c>
      <c r="AK58" s="2" t="str">
        <f>IMSUM(S58,IMDIV(BASE!L$21^2,FRES!P58))</f>
        <v>11.171279059816+5.5157132143786i</v>
      </c>
      <c r="AL58" s="2" t="str">
        <f>IMSUM(T58,IMDIV(BASE!M$21^2,FRES!Q58))</f>
        <v>7.54051563389035+2.04769812637085i</v>
      </c>
      <c r="AM58" s="31">
        <f t="shared" si="24"/>
        <v>0.54071704281077038</v>
      </c>
      <c r="AN58" s="31">
        <f t="shared" si="24"/>
        <v>0.49713868368693598</v>
      </c>
      <c r="AO58" s="31">
        <f t="shared" si="24"/>
        <v>0.23211541957427045</v>
      </c>
      <c r="AP58" s="31">
        <f t="shared" si="12"/>
        <v>1.8621540939476373</v>
      </c>
      <c r="AQ58" s="31">
        <f t="shared" si="13"/>
        <v>1.7120763020065337</v>
      </c>
      <c r="AR58" s="31">
        <f t="shared" si="14"/>
        <v>0.7993731371619951</v>
      </c>
      <c r="AS58" s="2">
        <f t="shared" si="15"/>
        <v>114.01910104953834</v>
      </c>
      <c r="AT58" s="2">
        <f t="shared" si="16"/>
        <v>116.52211228600103</v>
      </c>
      <c r="AU58" s="2">
        <f t="shared" si="17"/>
        <v>118.60102173902644</v>
      </c>
      <c r="AV58" s="2">
        <f t="shared" si="18"/>
        <v>114.01910104953834</v>
      </c>
      <c r="AW58" s="2">
        <f t="shared" si="19"/>
        <v>116.52211228600103</v>
      </c>
      <c r="AX58" s="2">
        <f t="shared" si="20"/>
        <v>118.60102173902644</v>
      </c>
      <c r="AY58">
        <f t="shared" si="21"/>
        <v>15.109380338330112</v>
      </c>
      <c r="AZ58">
        <f t="shared" si="22"/>
        <v>12.458754676754582</v>
      </c>
      <c r="BA58">
        <f t="shared" si="23"/>
        <v>7.8136063147363322</v>
      </c>
    </row>
    <row r="59" spans="1:53" x14ac:dyDescent="0.2">
      <c r="A59" s="2">
        <v>55</v>
      </c>
      <c r="B59" s="42">
        <f t="shared" si="27"/>
        <v>262144000</v>
      </c>
      <c r="C59" s="43">
        <v>67.271713220297158</v>
      </c>
      <c r="D59" s="2">
        <f t="shared" si="30"/>
        <v>422.68064009456981</v>
      </c>
      <c r="E59" s="2"/>
      <c r="F59" s="2">
        <f>$D59*BASE!E$15/100/E$3</f>
        <v>7.7409535831272955E-2</v>
      </c>
      <c r="G59" s="2">
        <f>$D59*BASE!F$15/100/F$3</f>
        <v>7.7409535831272955E-2</v>
      </c>
      <c r="H59" s="2">
        <f>$D59*BASE!G$15/100/G$3</f>
        <v>7.7409535831272955E-2</v>
      </c>
      <c r="I59" s="2">
        <f>(1-BESSELJ(2*F59,1)/F59)*BASE!K$13*E$2*E$3</f>
        <v>1.5406210902439257E-2</v>
      </c>
      <c r="J59" s="2">
        <f>(1-BESSELJ(2*G59,1)/G59)*BASE!L$13*F$2*F$3</f>
        <v>1.5406210902439257E-2</v>
      </c>
      <c r="K59" s="2">
        <f>(1-BESSELJ(2*H59,1)/H59)*BASE!M$13*G$2*G$3</f>
        <v>1.5406210902439257E-2</v>
      </c>
      <c r="L59" s="2" t="str">
        <f>IMPRODUCT(COMPLEX(1-BESSELJ(2*F59,1)/F59,(STRUVE(2*F59)/(2*F59^2))),PI()*(BASE!E$15/100)^2*E$2*E$3)</f>
        <v>0.0154062109024392+0.33766802047747i</v>
      </c>
      <c r="M59" s="2" t="str">
        <f>IMPRODUCT(COMPLEX(1-BESSELJ(2*G59,1)/G59,(STRUVE(2*G59)/(2*G59^2))),PI()*(BASE!F$15/100)^2*F$2*F$3)</f>
        <v>0.0154062109024392+0.33766802047747i</v>
      </c>
      <c r="N59" s="2" t="str">
        <f>IMPRODUCT(COMPLEX(1-BESSELJ(2*H59,1)/H59,(STRUVE(2*H59)/(2*H59^2))),PI()*(BASE!G$15/100)^2*G$2*G$3)</f>
        <v>0.0154062109024392+0.33766802047747i</v>
      </c>
      <c r="O59" s="2" t="str">
        <f>IMSUM(IMPRODUCT(IF($O$3=1,L59,COMPLEX(I59,$D59*BASE!K$15)),2),COMPLEX(BASE!E$36,$D59*BASE!K$14-BASE!K$10/$D59))</f>
        <v>0.830812421804879+0.784941463806377i</v>
      </c>
      <c r="P59" s="2" t="str">
        <f>IMSUM(IMPRODUCT(IF($O$3=1,M59,COMPLEX(J59,$D59*BASE!L$15)),2),COMPLEX(BASE!F$36,$D59*BASE!L$14-BASE!L$10/$D59))</f>
        <v>0.830812421804879-0.953960038366878i</v>
      </c>
      <c r="Q59" s="2" t="str">
        <f>IMSUM(IMPRODUCT(IF($O$3=1,N59,COMPLEX(K59,$D59*BASE!M$15)),2),COMPLEX(BASE!G$36,$D59*BASE!M$14-BASE!M$10/$D59))</f>
        <v>0.830812421804879-4.43176304271339i</v>
      </c>
      <c r="R59" s="2" t="str">
        <f>COMPLEX(BASE!E$19,FRES!$D59*BASE!K$36)</f>
        <v>7.2+0.117675828677825i</v>
      </c>
      <c r="S59" s="2" t="str">
        <f>COMPLEX(BASE!F$19,FRES!$D59*BASE!L$36)</f>
        <v>7.2+0.117675828677825i</v>
      </c>
      <c r="T59" s="2" t="str">
        <f>COMPLEX(BASE!G$19,FRES!$D59*BASE!M$36)</f>
        <v>7.2+0.117675828677825i</v>
      </c>
      <c r="U59" s="2" t="str">
        <f>IMDIV(BASE!K$21*BASE!E$38,IMPRODUCT(FRES!R59,IMSUM(FRES!O59,IMDIV(BASE!K$21^2,FRES!R59))))</f>
        <v>0.497153471658296-0.187149237619413i</v>
      </c>
      <c r="V59" s="2" t="str">
        <f>IMDIV(BASE!L$21*BASE!F$38,IMPRODUCT(FRES!S59,IMSUM(FRES!P59,IMDIV(BASE!L$21^2,FRES!S59))))</f>
        <v>0.470131453430002+0.205662428696598i</v>
      </c>
      <c r="W59" s="2" t="str">
        <f>IMDIV(BASE!M$21*BASE!G$38,IMPRODUCT(FRES!T59,IMSUM(FRES!Q59,IMDIV(BASE!M$21^2,FRES!T59))))</f>
        <v>0.108928919060368+0.218114396609114i</v>
      </c>
      <c r="X59" s="2" t="str">
        <f t="shared" si="28"/>
        <v>-0.000442767469968675-0.00117619172609151i</v>
      </c>
      <c r="Y59" s="2" t="str">
        <f t="shared" si="25"/>
        <v>0.0004865669472124-0.00111226161984806i</v>
      </c>
      <c r="Z59" s="2" t="str">
        <f t="shared" si="25"/>
        <v>0.000516026465182587-0.000257709742835623i</v>
      </c>
      <c r="AA59" s="44" t="str">
        <f>IMPRODUCT(COMPLEX(0,$D59),U59,E$2,BASE!E$15^2/10000,1/(2*BASE!$U$3))</f>
        <v>0.188379121832809+0.500420603356i</v>
      </c>
      <c r="AB59" s="44" t="str">
        <f>IMPRODUCT(COMPLEX(0,$D59),V59,F$2,BASE!F$15^2/10000,1/(2*BASE!$U$3))</f>
        <v>-0.207013975609426+0.473221005170363i</v>
      </c>
      <c r="AC59" s="44" t="str">
        <f>IMPRODUCT(COMPLEX(0,$D59),W59,G$2,BASE!G$15^2/10000,1/(2*BASE!$U$3))</f>
        <v>-0.219547773824625+0.109644764658452i</v>
      </c>
      <c r="AD59" s="44">
        <f t="shared" si="6"/>
        <v>1.210762406276954</v>
      </c>
      <c r="AE59" s="44">
        <f t="shared" si="7"/>
        <v>1.9831709143220775</v>
      </c>
      <c r="AF59" s="44">
        <f t="shared" si="8"/>
        <v>2.6784156578879625</v>
      </c>
      <c r="AG59" s="31">
        <f t="shared" si="9"/>
        <v>88.541655169161487</v>
      </c>
      <c r="AH59" s="31">
        <f t="shared" si="10"/>
        <v>88.241142859444807</v>
      </c>
      <c r="AI59" s="31">
        <f t="shared" si="11"/>
        <v>81.777038327229889</v>
      </c>
      <c r="AJ59" s="2" t="str">
        <f>IMSUM(R59,IMDIV(BASE!K$21^2,FRES!O59))</f>
        <v>13.1675025954398-5.52034798945057i</v>
      </c>
      <c r="AK59" s="2" t="str">
        <f>IMSUM(S59,IMDIV(BASE!L$21^2,FRES!P59))</f>
        <v>12.0715201339028+5.71127964570687i</v>
      </c>
      <c r="AL59" s="2" t="str">
        <f>IMSUM(T59,IMDIV(BASE!M$21^2,FRES!Q59))</f>
        <v>7.58345026401714+2.16309626798482i</v>
      </c>
      <c r="AM59" s="31">
        <f t="shared" si="24"/>
        <v>0.53121220950146053</v>
      </c>
      <c r="AN59" s="31">
        <f t="shared" si="24"/>
        <v>0.51314775462978446</v>
      </c>
      <c r="AO59" s="31">
        <f t="shared" si="24"/>
        <v>0.24380196762089121</v>
      </c>
      <c r="AP59" s="31">
        <f t="shared" si="12"/>
        <v>1.7773407152195595</v>
      </c>
      <c r="AQ59" s="31">
        <f t="shared" si="13"/>
        <v>1.716900291284631</v>
      </c>
      <c r="AR59" s="31">
        <f t="shared" si="14"/>
        <v>0.81571762800768111</v>
      </c>
      <c r="AS59" s="2">
        <f t="shared" si="15"/>
        <v>113.8539764373763</v>
      </c>
      <c r="AT59" s="2">
        <f t="shared" si="16"/>
        <v>116.31262908020865</v>
      </c>
      <c r="AU59" s="2">
        <f t="shared" si="17"/>
        <v>118.525661832152</v>
      </c>
      <c r="AV59" s="2">
        <f t="shared" si="18"/>
        <v>113.8539764373763</v>
      </c>
      <c r="AW59" s="2">
        <f t="shared" si="19"/>
        <v>116.31262908020865</v>
      </c>
      <c r="AX59" s="2">
        <f t="shared" si="20"/>
        <v>118.525661832152</v>
      </c>
      <c r="AY59">
        <f t="shared" si="21"/>
        <v>14.277862813654739</v>
      </c>
      <c r="AZ59">
        <f t="shared" si="22"/>
        <v>13.354411762960069</v>
      </c>
      <c r="BA59">
        <f t="shared" si="23"/>
        <v>7.8859180423963</v>
      </c>
    </row>
    <row r="60" spans="1:53" x14ac:dyDescent="0.2">
      <c r="A60" s="2">
        <v>56</v>
      </c>
      <c r="B60" s="42">
        <f t="shared" si="27"/>
        <v>416127661.36715209</v>
      </c>
      <c r="C60" s="43">
        <v>69.242924880491444</v>
      </c>
      <c r="D60" s="2">
        <f t="shared" si="30"/>
        <v>435.06612823524364</v>
      </c>
      <c r="E60" s="2"/>
      <c r="F60" s="2">
        <f>$D60*BASE!E$15/100/E$3</f>
        <v>7.9677808368663797E-2</v>
      </c>
      <c r="G60" s="2">
        <f>$D60*BASE!F$15/100/F$3</f>
        <v>7.9677808368663797E-2</v>
      </c>
      <c r="H60" s="2">
        <f>$D60*BASE!G$15/100/G$3</f>
        <v>7.9677808368663797E-2</v>
      </c>
      <c r="I60" s="2">
        <f>(1-BESSELJ(2*F60,1)/F60)*BASE!K$13*E$2*E$3</f>
        <v>1.6321342630992577E-2</v>
      </c>
      <c r="J60" s="2">
        <f>(1-BESSELJ(2*G60,1)/G60)*BASE!L$13*F$2*F$3</f>
        <v>1.6321342630992577E-2</v>
      </c>
      <c r="K60" s="2">
        <f>(1-BESSELJ(2*H60,1)/H60)*BASE!M$13*G$2*G$3</f>
        <v>1.6321342630992577E-2</v>
      </c>
      <c r="L60" s="2" t="str">
        <f>IMPRODUCT(COMPLEX(1-BESSELJ(2*F60,1)/F60,(STRUVE(2*F60)/(2*F60^2))),PI()*(BASE!E$15/100)^2*E$2*E$3)</f>
        <v>0.0163213426309926+0.34752941789145i</v>
      </c>
      <c r="M60" s="2" t="str">
        <f>IMPRODUCT(COMPLEX(1-BESSELJ(2*G60,1)/G60,(STRUVE(2*G60)/(2*G60^2))),PI()*(BASE!F$15/100)^2*F$2*F$3)</f>
        <v>0.0163213426309926+0.34752941789145i</v>
      </c>
      <c r="N60" s="2" t="str">
        <f>IMPRODUCT(COMPLEX(1-BESSELJ(2*H60,1)/H60,(STRUVE(2*H60)/(2*H60^2))),PI()*(BASE!G$15/100)^2*G$2*G$3)</f>
        <v>0.0163213426309926+0.34752941789145i</v>
      </c>
      <c r="O60" s="2" t="str">
        <f>IMSUM(IMPRODUCT(IF($O$3=1,L60,COMPLEX(I60,$D60*BASE!K$15)),2),COMPLEX(BASE!E$36,$D60*BASE!K$14-BASE!K$10/$D60))</f>
        <v>0.832642685261985+0.908331173797458i</v>
      </c>
      <c r="P60" s="2" t="str">
        <f>IMSUM(IMPRODUCT(IF($O$3=1,M60,COMPLEX(J60,$D60*BASE!L$15)),2),COMPLEX(BASE!F$36,$D60*BASE!L$14-BASE!L$10/$D60))</f>
        <v>0.832642685261985-0.781067178083846i</v>
      </c>
      <c r="Q60" s="2" t="str">
        <f>IMSUM(IMPRODUCT(IF($O$3=1,N60,COMPLEX(K60,$D60*BASE!M$15)),2),COMPLEX(BASE!G$36,$D60*BASE!M$14-BASE!M$10/$D60))</f>
        <v>0.832642685261985-4.15986388184645i</v>
      </c>
      <c r="R60" s="2" t="str">
        <f>COMPLEX(BASE!E$19,FRES!$D60*BASE!K$36)</f>
        <v>7.2+0.121123993656961i</v>
      </c>
      <c r="S60" s="2" t="str">
        <f>COMPLEX(BASE!F$19,FRES!$D60*BASE!L$36)</f>
        <v>7.2+0.121123993656961i</v>
      </c>
      <c r="T60" s="2" t="str">
        <f>COMPLEX(BASE!G$19,FRES!$D60*BASE!M$36)</f>
        <v>7.2+0.121123993656961i</v>
      </c>
      <c r="U60" s="2" t="str">
        <f>IMDIV(BASE!K$21*BASE!E$38,IMPRODUCT(FRES!R60,IMSUM(FRES!O60,IMDIV(BASE!K$21^2,FRES!R60))))</f>
        <v>0.477450014591308-0.207662087690245i</v>
      </c>
      <c r="V60" s="2" t="str">
        <f>IMDIV(BASE!L$21*BASE!F$38,IMPRODUCT(FRES!S60,IMSUM(FRES!P60,IMDIV(BASE!L$21^2,FRES!S60))))</f>
        <v>0.496950005592324+0.177377748276812i</v>
      </c>
      <c r="W60" s="2" t="str">
        <f>IMDIV(BASE!M$21*BASE!G$38,IMPRODUCT(FRES!T60,IMSUM(FRES!Q60,IMDIV(BASE!M$21^2,FRES!T60))))</f>
        <v>0.120427850226704+0.226339750658324i</v>
      </c>
      <c r="X60" s="2" t="str">
        <f t="shared" si="28"/>
        <v>-0.000477311549240993-0.00109741941191328i</v>
      </c>
      <c r="Y60" s="2" t="str">
        <f t="shared" si="25"/>
        <v>0.000407702959998997-0.00114224016383003i</v>
      </c>
      <c r="Z60" s="2" t="str">
        <f t="shared" si="25"/>
        <v>0.000520242179220949-0.000276803553324628i</v>
      </c>
      <c r="AA60" s="44" t="str">
        <f>IMPRODUCT(COMPLEX(0,$D60),U60,E$2,BASE!E$15^2/10000,1/(2*BASE!$U$3))</f>
        <v>0.215151727761551+0.494669954933344i</v>
      </c>
      <c r="AB60" s="44" t="str">
        <f>IMPRODUCT(COMPLEX(0,$D60),V60,F$2,BASE!F$15^2/10000,1/(2*BASE!$U$3))</f>
        <v>-0.183775138893599+0.514873241926497i</v>
      </c>
      <c r="AC60" s="44" t="str">
        <f>IMPRODUCT(COMPLEX(0,$D60),W60,G$2,BASE!G$15^2/10000,1/(2*BASE!$U$3))</f>
        <v>-0.23450302824604+0.124771258610928i</v>
      </c>
      <c r="AD60" s="44">
        <f t="shared" si="6"/>
        <v>1.1605366631747012</v>
      </c>
      <c r="AE60" s="44">
        <f t="shared" si="7"/>
        <v>1.9136339443079109</v>
      </c>
      <c r="AF60" s="44">
        <f t="shared" si="8"/>
        <v>2.6526219584393864</v>
      </c>
      <c r="AG60" s="31">
        <f t="shared" si="9"/>
        <v>88.618160289075547</v>
      </c>
      <c r="AH60" s="31">
        <f t="shared" si="10"/>
        <v>88.734190727782561</v>
      </c>
      <c r="AI60" s="31">
        <f t="shared" si="11"/>
        <v>82.46495732464119</v>
      </c>
      <c r="AJ60" s="2" t="str">
        <f>IMSUM(R60,IMDIV(BASE!K$21^2,FRES!O60))</f>
        <v>12.3456951033022-5.4923226334706i</v>
      </c>
      <c r="AK60" s="2" t="str">
        <f>IMSUM(S60,IMDIV(BASE!L$21^2,FRES!P60))</f>
        <v>13.1945185275217+5.74433038595177i</v>
      </c>
      <c r="AL60" s="2" t="str">
        <f>IMSUM(T60,IMDIV(BASE!M$21^2,FRES!Q60))</f>
        <v>7.63411034196716+2.28992936989947i</v>
      </c>
      <c r="AM60" s="31">
        <f t="shared" si="24"/>
        <v>0.5206554130104778</v>
      </c>
      <c r="AN60" s="31">
        <f t="shared" si="24"/>
        <v>0.52765725015578335</v>
      </c>
      <c r="AO60" s="31">
        <f t="shared" si="24"/>
        <v>0.25638359900410507</v>
      </c>
      <c r="AP60" s="31">
        <f t="shared" si="12"/>
        <v>1.6924276532147109</v>
      </c>
      <c r="AQ60" s="31">
        <f t="shared" si="13"/>
        <v>1.7151876255724312</v>
      </c>
      <c r="AR60" s="31">
        <f t="shared" si="14"/>
        <v>0.83339322312303732</v>
      </c>
      <c r="AS60" s="2">
        <f t="shared" si="15"/>
        <v>113.69410293167256</v>
      </c>
      <c r="AT60" s="2">
        <f t="shared" si="16"/>
        <v>116.09128603010089</v>
      </c>
      <c r="AU60" s="2">
        <f t="shared" si="17"/>
        <v>118.44355793679465</v>
      </c>
      <c r="AV60" s="2">
        <f t="shared" si="18"/>
        <v>113.69410293167256</v>
      </c>
      <c r="AW60" s="2">
        <f t="shared" si="19"/>
        <v>116.09128603010089</v>
      </c>
      <c r="AX60" s="2">
        <f t="shared" si="20"/>
        <v>118.44355793679465</v>
      </c>
      <c r="AY60">
        <f t="shared" si="21"/>
        <v>13.512283134016743</v>
      </c>
      <c r="AZ60">
        <f t="shared" si="22"/>
        <v>14.390714046081321</v>
      </c>
      <c r="BA60">
        <f t="shared" si="23"/>
        <v>7.9701579176612398</v>
      </c>
    </row>
    <row r="61" spans="1:53" x14ac:dyDescent="0.2">
      <c r="A61" s="2">
        <v>57</v>
      </c>
      <c r="B61" s="42">
        <f t="shared" si="27"/>
        <v>660561487.40728247</v>
      </c>
      <c r="C61" s="43">
        <v>71.271897451227133</v>
      </c>
      <c r="D61" s="2">
        <f t="shared" si="30"/>
        <v>447.81453888036054</v>
      </c>
      <c r="E61" s="2"/>
      <c r="F61" s="2">
        <f>$D61*BASE!E$15/100/E$3</f>
        <v>8.2012546364717193E-2</v>
      </c>
      <c r="G61" s="2">
        <f>$D61*BASE!F$15/100/F$3</f>
        <v>8.2012546364717193E-2</v>
      </c>
      <c r="H61" s="2">
        <f>$D61*BASE!G$15/100/G$3</f>
        <v>8.2012546364717193E-2</v>
      </c>
      <c r="I61" s="2">
        <f>(1-BESSELJ(2*F61,1)/F61)*BASE!K$13*E$2*E$3</f>
        <v>1.729077228909863E-2</v>
      </c>
      <c r="J61" s="2">
        <f>(1-BESSELJ(2*G61,1)/G61)*BASE!L$13*F$2*F$3</f>
        <v>1.729077228909863E-2</v>
      </c>
      <c r="K61" s="2">
        <f>(1-BESSELJ(2*H61,1)/H61)*BASE!M$13*G$2*G$3</f>
        <v>1.729077228909863E-2</v>
      </c>
      <c r="L61" s="2" t="str">
        <f>IMPRODUCT(COMPLEX(1-BESSELJ(2*F61,1)/F61,(STRUVE(2*F61)/(2*F61^2))),PI()*(BASE!E$15/100)^2*E$2*E$3)</f>
        <v>0.0172907722890986+0.357676789782114i</v>
      </c>
      <c r="M61" s="2" t="str">
        <f>IMPRODUCT(COMPLEX(1-BESSELJ(2*G61,1)/G61,(STRUVE(2*G61)/(2*G61^2))),PI()*(BASE!F$15/100)^2*F$2*F$3)</f>
        <v>0.0172907722890986+0.357676789782114i</v>
      </c>
      <c r="N61" s="2" t="str">
        <f>IMPRODUCT(COMPLEX(1-BESSELJ(2*H61,1)/H61,(STRUVE(2*H61)/(2*H61^2))),PI()*(BASE!G$15/100)^2*G$2*G$3)</f>
        <v>0.0172907722890986+0.357676789782114i</v>
      </c>
      <c r="O61" s="2" t="str">
        <f>IMSUM(IMPRODUCT(IF($O$3=1,L61,COMPLEX(I61,$D61*BASE!K$15)),2),COMPLEX(BASE!E$36,$D61*BASE!K$14-BASE!K$10/$D61))</f>
        <v>0.834581544578197+1.03247859348613i</v>
      </c>
      <c r="P61" s="2" t="str">
        <f>IMSUM(IMPRODUCT(IF($O$3=1,M61,COMPLEX(J61,$D61*BASE!L$15)),2),COMPLEX(BASE!F$36,$D61*BASE!L$14-BASE!L$10/$D61))</f>
        <v>0.834581544578197-0.608825866698818i</v>
      </c>
      <c r="Q61" s="2" t="str">
        <f>IMSUM(IMPRODUCT(IF($O$3=1,N61,COMPLEX(K61,$D61*BASE!M$15)),2),COMPLEX(BASE!G$36,$D61*BASE!M$14-BASE!M$10/$D61))</f>
        <v>0.834581544578197-3.89143478706871i</v>
      </c>
      <c r="R61" s="2" t="str">
        <f>COMPLEX(BASE!E$19,FRES!$D61*BASE!K$36)</f>
        <v>7.2+0.124673197582302i</v>
      </c>
      <c r="S61" s="2" t="str">
        <f>COMPLEX(BASE!F$19,FRES!$D61*BASE!L$36)</f>
        <v>7.2+0.124673197582302i</v>
      </c>
      <c r="T61" s="2" t="str">
        <f>COMPLEX(BASE!G$19,FRES!$D61*BASE!M$36)</f>
        <v>7.2+0.124673197582302i</v>
      </c>
      <c r="U61" s="2" t="str">
        <f>IMDIV(BASE!K$21*BASE!E$38,IMPRODUCT(FRES!R61,IMSUM(FRES!O61,IMDIV(BASE!K$21^2,FRES!R61))))</f>
        <v>0.456591634083662-0.225485923575617i</v>
      </c>
      <c r="V61" s="2" t="str">
        <f>IMDIV(BASE!L$21*BASE!F$38,IMPRODUCT(FRES!S61,IMSUM(FRES!P61,IMDIV(BASE!L$21^2,FRES!S61))))</f>
        <v>0.520586828611692+0.144026913960413i</v>
      </c>
      <c r="W61" s="2" t="str">
        <f>IMDIV(BASE!M$21*BASE!G$38,IMPRODUCT(FRES!T61,IMSUM(FRES!Q61,IMDIV(BASE!M$21^2,FRES!T61))))</f>
        <v>0.133463707931469+0.234642374645765i</v>
      </c>
      <c r="X61" s="2" t="str">
        <f t="shared" si="28"/>
        <v>-0.000503525240916437-0.00101959984422401i</v>
      </c>
      <c r="Y61" s="2" t="str">
        <f t="shared" si="25"/>
        <v>0.0003216217908434-0.00116250542001892i</v>
      </c>
      <c r="Z61" s="2" t="str">
        <f t="shared" si="25"/>
        <v>0.000523972212319021-0.000298033440953389i</v>
      </c>
      <c r="AA61" s="44" t="str">
        <f>IMPRODUCT(COMPLEX(0,$D61),U61,E$2,BASE!E$15^2/10000,1/(2*BASE!$U$3))</f>
        <v>0.240463948463111+0.486920981256561i</v>
      </c>
      <c r="AB61" s="44" t="str">
        <f>IMPRODUCT(COMPLEX(0,$D61),V61,F$2,BASE!F$15^2/10000,1/(2*BASE!$U$3))</f>
        <v>-0.15359397991096+0.555167091323446i</v>
      </c>
      <c r="AC61" s="44" t="str">
        <f>IMPRODUCT(COMPLEX(0,$D61),W61,G$2,BASE!G$15^2/10000,1/(2*BASE!$U$3))</f>
        <v>-0.250228621766536+0.142329107186888i</v>
      </c>
      <c r="AD61" s="44">
        <f t="shared" si="6"/>
        <v>1.1120840768471103</v>
      </c>
      <c r="AE61" s="44">
        <f t="shared" si="7"/>
        <v>1.8407076007471181</v>
      </c>
      <c r="AF61" s="44">
        <f t="shared" si="8"/>
        <v>2.6244331382294979</v>
      </c>
      <c r="AG61" s="31">
        <f t="shared" si="9"/>
        <v>88.676368009691345</v>
      </c>
      <c r="AH61" s="31">
        <f t="shared" si="10"/>
        <v>89.188184976303972</v>
      </c>
      <c r="AI61" s="31">
        <f t="shared" si="11"/>
        <v>83.163475033150007</v>
      </c>
      <c r="AJ61" s="2" t="str">
        <f>IMSUM(R61,IMDIV(BASE!K$21^2,FRES!O61))</f>
        <v>11.6431414461965-5.37203166107522i</v>
      </c>
      <c r="AK61" s="2" t="str">
        <f>IMSUM(S61,IMDIV(BASE!L$21^2,FRES!P61))</f>
        <v>14.5381202931214+5.47781990496344i</v>
      </c>
      <c r="AL61" s="2" t="str">
        <f>IMSUM(T61,IMDIV(BASE!M$21^2,FRES!Q61))</f>
        <v>7.69440092928421+2.42993502307357i</v>
      </c>
      <c r="AM61" s="31">
        <f t="shared" si="24"/>
        <v>0.50923454522050815</v>
      </c>
      <c r="AN61" s="31">
        <f t="shared" si="24"/>
        <v>0.54014294225597304</v>
      </c>
      <c r="AO61" s="31">
        <f t="shared" si="24"/>
        <v>0.26994370767665621</v>
      </c>
      <c r="AP61" s="31">
        <f t="shared" si="12"/>
        <v>1.608180033815606</v>
      </c>
      <c r="AQ61" s="31">
        <f t="shared" si="13"/>
        <v>1.7057898041193007</v>
      </c>
      <c r="AR61" s="31">
        <f t="shared" si="14"/>
        <v>0.85249142072985873</v>
      </c>
      <c r="AS61" s="2">
        <f t="shared" si="15"/>
        <v>113.5398735592801</v>
      </c>
      <c r="AT61" s="2">
        <f t="shared" si="16"/>
        <v>115.85915426891454</v>
      </c>
      <c r="AU61" s="2">
        <f t="shared" si="17"/>
        <v>118.353830135268</v>
      </c>
      <c r="AV61" s="2">
        <f t="shared" si="18"/>
        <v>113.5398735592801</v>
      </c>
      <c r="AW61" s="2">
        <f t="shared" si="19"/>
        <v>115.85915426891454</v>
      </c>
      <c r="AX61" s="2">
        <f t="shared" si="20"/>
        <v>118.353830135268</v>
      </c>
      <c r="AY61">
        <f t="shared" si="21"/>
        <v>12.822693434054067</v>
      </c>
      <c r="AZ61">
        <f t="shared" si="22"/>
        <v>15.535876305135863</v>
      </c>
      <c r="BA61">
        <f t="shared" si="23"/>
        <v>8.0689770031230896</v>
      </c>
    </row>
    <row r="62" spans="1:53" x14ac:dyDescent="0.2">
      <c r="A62" s="2">
        <v>58</v>
      </c>
      <c r="B62" s="42">
        <f t="shared" si="27"/>
        <v>1048576000</v>
      </c>
      <c r="C62" s="43">
        <v>73.360323456373692</v>
      </c>
      <c r="D62" s="2">
        <f t="shared" si="30"/>
        <v>460.93650647102913</v>
      </c>
      <c r="E62" s="2"/>
      <c r="F62" s="2">
        <f>$D62*BASE!E$15/100/E$3</f>
        <v>8.4415697406031498E-2</v>
      </c>
      <c r="G62" s="2">
        <f>$D62*BASE!F$15/100/F$3</f>
        <v>8.4415697406031498E-2</v>
      </c>
      <c r="H62" s="2">
        <f>$D62*BASE!G$15/100/G$3</f>
        <v>8.4415697406031498E-2</v>
      </c>
      <c r="I62" s="2">
        <f>(1-BESSELJ(2*F62,1)/F62)*BASE!K$13*E$2*E$3</f>
        <v>1.8317714083995521E-2</v>
      </c>
      <c r="J62" s="2">
        <f>(1-BESSELJ(2*G62,1)/G62)*BASE!L$13*F$2*F$3</f>
        <v>1.8317714083995521E-2</v>
      </c>
      <c r="K62" s="2">
        <f>(1-BESSELJ(2*H62,1)/H62)*BASE!M$13*G$2*G$3</f>
        <v>1.8317714083995521E-2</v>
      </c>
      <c r="L62" s="2" t="str">
        <f>IMPRODUCT(COMPLEX(1-BESSELJ(2*F62,1)/F62,(STRUVE(2*F62)/(2*F62^2))),PI()*(BASE!E$15/100)^2*E$2*E$3)</f>
        <v>0.0183177140839955+0.368118246006878i</v>
      </c>
      <c r="M62" s="2" t="str">
        <f>IMPRODUCT(COMPLEX(1-BESSELJ(2*G62,1)/G62,(STRUVE(2*G62)/(2*G62^2))),PI()*(BASE!F$15/100)^2*F$2*F$3)</f>
        <v>0.0183177140839955+0.368118246006878i</v>
      </c>
      <c r="N62" s="2" t="str">
        <f>IMPRODUCT(COMPLEX(1-BESSELJ(2*H62,1)/H62,(STRUVE(2*H62)/(2*H62^2))),PI()*(BASE!G$15/100)^2*G$2*G$3)</f>
        <v>0.0183177140839955+0.368118246006878i</v>
      </c>
      <c r="O62" s="2" t="str">
        <f>IMSUM(IMPRODUCT(IF($O$3=1,L62,COMPLEX(I62,$D62*BASE!K$15)),2),COMPLEX(BASE!E$36,$D62*BASE!K$14-BASE!K$10/$D62))</f>
        <v>0.836635428167991+1.15748728389347i</v>
      </c>
      <c r="P62" s="2" t="str">
        <f>IMSUM(IMPRODUCT(IF($O$3=1,M62,COMPLEX(J62,$D62*BASE!L$15)),2),COMPLEX(BASE!F$36,$D62*BASE!L$14-BASE!L$10/$D62))</f>
        <v>0.836635428167991-0.437092424334086i</v>
      </c>
      <c r="Q62" s="2" t="str">
        <f>IMSUM(IMPRODUCT(IF($O$3=1,N62,COMPLEX(K62,$D62*BASE!M$15)),2),COMPLEX(BASE!G$36,$D62*BASE!M$14-BASE!M$10/$D62))</f>
        <v>0.836635428167991-3.62625184078919i</v>
      </c>
      <c r="R62" s="2" t="str">
        <f>COMPLEX(BASE!E$19,FRES!$D62*BASE!K$36)</f>
        <v>7.2+0.12832640112096i</v>
      </c>
      <c r="S62" s="2" t="str">
        <f>COMPLEX(BASE!F$19,FRES!$D62*BASE!L$36)</f>
        <v>7.2+0.12832640112096i</v>
      </c>
      <c r="T62" s="2" t="str">
        <f>COMPLEX(BASE!G$19,FRES!$D62*BASE!M$36)</f>
        <v>7.2+0.12832640112096i</v>
      </c>
      <c r="U62" s="2" t="str">
        <f>IMDIV(BASE!K$21*BASE!E$38,IMPRODUCT(FRES!R62,IMSUM(FRES!O62,IMDIV(BASE!K$21^2,FRES!R62))))</f>
        <v>0.435003597565478-0.240649553951104i</v>
      </c>
      <c r="V62" s="2" t="str">
        <f>IMDIV(BASE!L$21*BASE!F$38,IMPRODUCT(FRES!S62,IMSUM(FRES!P62,IMDIV(BASE!L$21^2,FRES!S62))))</f>
        <v>0.539758464556339+0.106103466930258i</v>
      </c>
      <c r="W62" s="2" t="str">
        <f>IMDIV(BASE!M$21*BASE!G$38,IMPRODUCT(FRES!T62,IMSUM(FRES!Q62,IMDIV(BASE!M$21^2,FRES!T62))))</f>
        <v>0.148270102410268+0.24288954504204i</v>
      </c>
      <c r="X62" s="2" t="str">
        <f t="shared" si="28"/>
        <v>-0.000522088293230533-0.000943738652631149i</v>
      </c>
      <c r="Y62" s="2" t="str">
        <f t="shared" si="25"/>
        <v>0.000230191068489228-0.00117100393867428i</v>
      </c>
      <c r="Z62" s="2" t="str">
        <f t="shared" si="25"/>
        <v>0.000526947945394093-0.000321671424000319i</v>
      </c>
      <c r="AA62" s="44" t="str">
        <f>IMPRODUCT(COMPLEX(0,$D62),U62,E$2,BASE!E$15^2/10000,1/(2*BASE!$U$3))</f>
        <v>0.264154805773794+0.477492224436693i</v>
      </c>
      <c r="AB62" s="44" t="str">
        <f>IMPRODUCT(COMPLEX(0,$D62),V62,F$2,BASE!F$15^2/10000,1/(2*BASE!$U$3))</f>
        <v>-0.116467037809608+0.592478938891409i</v>
      </c>
      <c r="AC62" s="44" t="str">
        <f>IMPRODUCT(COMPLEX(0,$D62),W62,G$2,BASE!G$15^2/10000,1/(2*BASE!$U$3))</f>
        <v>-0.266613586194727+0.162752265529662i</v>
      </c>
      <c r="AD62" s="44">
        <f t="shared" si="6"/>
        <v>1.065489829128361</v>
      </c>
      <c r="AE62" s="44">
        <f t="shared" si="7"/>
        <v>1.7648972556988847</v>
      </c>
      <c r="AF62" s="44">
        <f t="shared" si="8"/>
        <v>2.593530201023535</v>
      </c>
      <c r="AG62" s="31">
        <f t="shared" si="9"/>
        <v>88.71830554831989</v>
      </c>
      <c r="AH62" s="31">
        <f t="shared" si="10"/>
        <v>89.597517462650259</v>
      </c>
      <c r="AI62" s="31">
        <f t="shared" si="11"/>
        <v>83.872612288962898</v>
      </c>
      <c r="AJ62" s="2" t="str">
        <f>IMSUM(R62,IMDIV(BASE!K$21^2,FRES!O62))</f>
        <v>11.0487731530458-5.19646123427258i</v>
      </c>
      <c r="AK62" s="2" t="str">
        <f>IMSUM(S62,IMDIV(BASE!L$21^2,FRES!P62))</f>
        <v>16.0107786819612+4.73143605283919i</v>
      </c>
      <c r="AL62" s="2" t="str">
        <f>IMSUM(T62,IMDIV(BASE!M$21^2,FRES!Q62))</f>
        <v>7.76683551126368+2.58517707578765i</v>
      </c>
      <c r="AM62" s="31">
        <f t="shared" si="24"/>
        <v>0.49713211293555926</v>
      </c>
      <c r="AN62" s="31">
        <f t="shared" si="24"/>
        <v>0.55008830723333602</v>
      </c>
      <c r="AO62" s="31">
        <f t="shared" si="24"/>
        <v>0.28456871641043141</v>
      </c>
      <c r="AP62" s="31">
        <f t="shared" si="12"/>
        <v>1.5252664228903929</v>
      </c>
      <c r="AQ62" s="31">
        <f t="shared" si="13"/>
        <v>1.6877429617112256</v>
      </c>
      <c r="AR62" s="31">
        <f t="shared" si="14"/>
        <v>0.87309408676665445</v>
      </c>
      <c r="AS62" s="2">
        <f t="shared" si="15"/>
        <v>113.39155946239835</v>
      </c>
      <c r="AT62" s="2">
        <f t="shared" si="16"/>
        <v>115.61784244587597</v>
      </c>
      <c r="AU62" s="2">
        <f t="shared" si="17"/>
        <v>118.25546303102026</v>
      </c>
      <c r="AV62" s="2">
        <f t="shared" si="18"/>
        <v>113.39155946239835</v>
      </c>
      <c r="AW62" s="2">
        <f t="shared" si="19"/>
        <v>115.61784244587597</v>
      </c>
      <c r="AX62" s="2">
        <f t="shared" si="20"/>
        <v>118.25546303102026</v>
      </c>
      <c r="AY62">
        <f t="shared" si="21"/>
        <v>12.209774672235493</v>
      </c>
      <c r="AZ62">
        <f t="shared" si="22"/>
        <v>16.695254449239453</v>
      </c>
      <c r="BA62">
        <f t="shared" si="23"/>
        <v>8.1857726802180704</v>
      </c>
    </row>
    <row r="63" spans="1:53" x14ac:dyDescent="0.2">
      <c r="A63" s="2">
        <v>59</v>
      </c>
      <c r="B63" s="42">
        <f t="shared" si="27"/>
        <v>1664510645.4686086</v>
      </c>
      <c r="C63" s="43">
        <v>75.509945014535475</v>
      </c>
      <c r="D63" s="2">
        <f t="shared" si="30"/>
        <v>474.44297706126775</v>
      </c>
      <c r="E63" s="2"/>
      <c r="F63" s="2">
        <f>$D63*BASE!E$15/100/E$3</f>
        <v>8.6889266147848462E-2</v>
      </c>
      <c r="G63" s="2">
        <f>$D63*BASE!F$15/100/F$3</f>
        <v>8.6889266147848462E-2</v>
      </c>
      <c r="H63" s="2">
        <f>$D63*BASE!G$15/100/G$3</f>
        <v>8.6889266147848462E-2</v>
      </c>
      <c r="I63" s="2">
        <f>(1-BESSELJ(2*F63,1)/F63)*BASE!K$13*E$2*E$3</f>
        <v>1.9405571574388131E-2</v>
      </c>
      <c r="J63" s="2">
        <f>(1-BESSELJ(2*G63,1)/G63)*BASE!L$13*F$2*F$3</f>
        <v>1.9405571574388131E-2</v>
      </c>
      <c r="K63" s="2">
        <f>(1-BESSELJ(2*H63,1)/H63)*BASE!M$13*G$2*G$3</f>
        <v>1.9405571574388131E-2</v>
      </c>
      <c r="L63" s="2" t="str">
        <f>IMPRODUCT(COMPLEX(1-BESSELJ(2*F63,1)/F63,(STRUVE(2*F63)/(2*F63^2))),PI()*(BASE!E$15/100)^2*E$2*E$3)</f>
        <v>0.0194055715743881+0.378862109710852i</v>
      </c>
      <c r="M63" s="2" t="str">
        <f>IMPRODUCT(COMPLEX(1-BESSELJ(2*G63,1)/G63,(STRUVE(2*G63)/(2*G63^2))),PI()*(BASE!F$15/100)^2*F$2*F$3)</f>
        <v>0.0194055715743881+0.378862109710852i</v>
      </c>
      <c r="N63" s="2" t="str">
        <f>IMPRODUCT(COMPLEX(1-BESSELJ(2*H63,1)/H63,(STRUVE(2*H63)/(2*H63^2))),PI()*(BASE!G$15/100)^2*G$2*G$3)</f>
        <v>0.0194055715743881+0.378862109710852i</v>
      </c>
      <c r="O63" s="2" t="str">
        <f>IMSUM(IMPRODUCT(IF($O$3=1,L63,COMPLEX(I63,$D63*BASE!K$15)),2),COMPLEX(BASE!E$36,$D63*BASE!K$14-BASE!K$10/$D63))</f>
        <v>0.838811143148776+1.28346152449345i</v>
      </c>
      <c r="P63" s="2" t="str">
        <f>IMSUM(IMPRODUCT(IF($O$3=1,M63,COMPLEX(J63,$D63*BASE!L$15)),2),COMPLEX(BASE!F$36,$D63*BASE!L$14-BASE!L$10/$D63))</f>
        <v>0.838811143148776-0.265723594765012i</v>
      </c>
      <c r="Q63" s="2" t="str">
        <f>IMSUM(IMPRODUCT(IF($O$3=1,N63,COMPLEX(K63,$D63*BASE!M$15)),2),COMPLEX(BASE!G$36,$D63*BASE!M$14-BASE!M$10/$D63))</f>
        <v>0.838811143148776-3.36409383328193i</v>
      </c>
      <c r="R63" s="2" t="str">
        <f>COMPLEX(BASE!E$19,FRES!$D63*BASE!K$36)</f>
        <v>7.2+0.132086651694214i</v>
      </c>
      <c r="S63" s="2" t="str">
        <f>COMPLEX(BASE!F$19,FRES!$D63*BASE!L$36)</f>
        <v>7.2+0.132086651694214i</v>
      </c>
      <c r="T63" s="2" t="str">
        <f>COMPLEX(BASE!G$19,FRES!$D63*BASE!M$36)</f>
        <v>7.2+0.132086651694214i</v>
      </c>
      <c r="U63" s="2" t="str">
        <f>IMDIV(BASE!K$21*BASE!E$38,IMPRODUCT(FRES!R63,IMSUM(FRES!O63,IMDIV(BASE!K$21^2,FRES!R63))))</f>
        <v>0.41306682387473-0.253249016456775i</v>
      </c>
      <c r="V63" s="2" t="str">
        <f>IMDIV(BASE!L$21*BASE!F$38,IMPRODUCT(FRES!S63,IMSUM(FRES!P63,IMDIV(BASE!L$21^2,FRES!S63))))</f>
        <v>0.5532866282647+0.0645139070631808i</v>
      </c>
      <c r="W63" s="2" t="str">
        <f>IMDIV(BASE!M$21*BASE!G$38,IMPRODUCT(FRES!T63,IMSUM(FRES!Q63,IMDIV(BASE!M$21^2,FRES!T63))))</f>
        <v>0.165109899428909+0.250889597302598i</v>
      </c>
      <c r="X63" s="2" t="str">
        <f t="shared" si="28"/>
        <v>-0.000533781779267588-0.000870635342593316i</v>
      </c>
      <c r="Y63" s="2" t="str">
        <f t="shared" si="25"/>
        <v>0.000135978210622453-0.00116618151182634i</v>
      </c>
      <c r="Z63" s="2" t="str">
        <f t="shared" si="25"/>
        <v>0.000528808749276099-0.000348007890119084i</v>
      </c>
      <c r="AA63" s="44" t="str">
        <f>IMPRODUCT(COMPLEX(0,$D63),U63,E$2,BASE!E$15^2/10000,1/(2*BASE!$U$3))</f>
        <v>0.286130490291533+0.466698802988701i</v>
      </c>
      <c r="AB63" s="44" t="str">
        <f>IMPRODUCT(COMPLEX(0,$D63),V63,F$2,BASE!F$15^2/10000,1/(2*BASE!$U$3))</f>
        <v>-0.072890296344985+0.625124537232502i</v>
      </c>
      <c r="AC63" s="44" t="str">
        <f>IMPRODUCT(COMPLEX(0,$D63),W63,G$2,BASE!G$15^2/10000,1/(2*BASE!$U$3))</f>
        <v>-0.283464727680356+0.186547522026183i</v>
      </c>
      <c r="AD63" s="44">
        <f t="shared" si="6"/>
        <v>1.020804080489977</v>
      </c>
      <c r="AE63" s="44">
        <f t="shared" si="7"/>
        <v>1.6868734053290659</v>
      </c>
      <c r="AF63" s="44">
        <f t="shared" si="8"/>
        <v>2.5595458058942429</v>
      </c>
      <c r="AG63" s="31">
        <f t="shared" si="9"/>
        <v>88.745954937314465</v>
      </c>
      <c r="AH63" s="31">
        <f t="shared" si="10"/>
        <v>89.957379241846311</v>
      </c>
      <c r="AI63" s="31">
        <f t="shared" si="11"/>
        <v>84.592123607517806</v>
      </c>
      <c r="AJ63" s="2" t="str">
        <f>IMSUM(R63,IMDIV(BASE!K$21^2,FRES!O63))</f>
        <v>10.5480668432008-4.99077683167542i</v>
      </c>
      <c r="AK63" s="2" t="str">
        <f>IMSUM(S63,IMDIV(BASE!L$21^2,FRES!P63))</f>
        <v>17.3663156699343+3.35263273932728i</v>
      </c>
      <c r="AL63" s="2" t="str">
        <f>IMSUM(T63,IMDIV(BASE!M$21^2,FRES!Q63))</f>
        <v>7.85477674453131+2.75810137079472i</v>
      </c>
      <c r="AM63" s="31">
        <f t="shared" si="24"/>
        <v>0.48451962325821346</v>
      </c>
      <c r="AN63" s="31">
        <f t="shared" si="24"/>
        <v>0.55703513104747437</v>
      </c>
      <c r="AO63" s="31">
        <f t="shared" si="24"/>
        <v>0.30034458364366123</v>
      </c>
      <c r="AP63" s="31">
        <f t="shared" si="12"/>
        <v>1.4442499005716793</v>
      </c>
      <c r="AQ63" s="31">
        <f t="shared" si="13"/>
        <v>1.6604031994004662</v>
      </c>
      <c r="AR63" s="31">
        <f t="shared" si="14"/>
        <v>0.89526329635039636</v>
      </c>
      <c r="AS63" s="2">
        <f t="shared" si="15"/>
        <v>113.24932030676713</v>
      </c>
      <c r="AT63" s="2">
        <f t="shared" si="16"/>
        <v>115.36948481656758</v>
      </c>
      <c r="AU63" s="2">
        <f t="shared" si="17"/>
        <v>118.14728734156395</v>
      </c>
      <c r="AV63" s="2">
        <f t="shared" si="18"/>
        <v>113.24932030676713</v>
      </c>
      <c r="AW63" s="2">
        <f t="shared" si="19"/>
        <v>115.36948481656758</v>
      </c>
      <c r="AX63" s="2">
        <f t="shared" si="20"/>
        <v>118.14728734156395</v>
      </c>
      <c r="AY63">
        <f t="shared" si="21"/>
        <v>11.669171672069114</v>
      </c>
      <c r="AZ63">
        <f t="shared" si="22"/>
        <v>17.686974479334069</v>
      </c>
      <c r="BA63">
        <f t="shared" si="23"/>
        <v>8.3249408933643245</v>
      </c>
    </row>
    <row r="64" spans="1:53" x14ac:dyDescent="0.2">
      <c r="A64" s="2">
        <v>60</v>
      </c>
      <c r="B64" s="42">
        <f t="shared" si="27"/>
        <v>2642245949.6291304</v>
      </c>
      <c r="C64" s="43">
        <v>77.722555292288462</v>
      </c>
      <c r="D64" s="2">
        <f t="shared" si="30"/>
        <v>488.34521744895983</v>
      </c>
      <c r="E64" s="2"/>
      <c r="F64" s="2">
        <f>$D64*BASE!E$15/100/E$3</f>
        <v>8.9435315986292063E-2</v>
      </c>
      <c r="G64" s="2">
        <f>$D64*BASE!F$15/100/F$3</f>
        <v>8.9435315986292063E-2</v>
      </c>
      <c r="H64" s="2">
        <f>$D64*BASE!G$15/100/G$3</f>
        <v>8.9435315986292063E-2</v>
      </c>
      <c r="I64" s="2">
        <f>(1-BESSELJ(2*F64,1)/F64)*BASE!K$13*E$2*E$3</f>
        <v>2.055794871292279E-2</v>
      </c>
      <c r="J64" s="2">
        <f>(1-BESSELJ(2*G64,1)/G64)*BASE!L$13*F$2*F$3</f>
        <v>2.055794871292279E-2</v>
      </c>
      <c r="K64" s="2">
        <f>(1-BESSELJ(2*H64,1)/H64)*BASE!M$13*G$2*G$3</f>
        <v>2.055794871292279E-2</v>
      </c>
      <c r="L64" s="2" t="str">
        <f>IMPRODUCT(COMPLEX(1-BESSELJ(2*F64,1)/F64,(STRUVE(2*F64)/(2*F64^2))),PI()*(BASE!E$15/100)^2*E$2*E$3)</f>
        <v>0.0205579487129228+0.389916921384142i</v>
      </c>
      <c r="M64" s="2" t="str">
        <f>IMPRODUCT(COMPLEX(1-BESSELJ(2*G64,1)/G64,(STRUVE(2*G64)/(2*G64^2))),PI()*(BASE!F$15/100)^2*F$2*F$3)</f>
        <v>0.0205579487129228+0.389916921384142i</v>
      </c>
      <c r="N64" s="2" t="str">
        <f>IMPRODUCT(COMPLEX(1-BESSELJ(2*H64,1)/H64,(STRUVE(2*H64)/(2*H64^2))),PI()*(BASE!G$15/100)^2*G$2*G$3)</f>
        <v>0.0205579487129228+0.389916921384142i</v>
      </c>
      <c r="O64" s="2" t="str">
        <f>IMSUM(IMPRODUCT(IF($O$3=1,L64,COMPLEX(I64,$D64*BASE!K$15)),2),COMPLEX(BASE!E$36,$D64*BASE!K$14-BASE!K$10/$D64))</f>
        <v>0.841115897425846+1.4105064002006i</v>
      </c>
      <c r="P64" s="2" t="str">
        <f>IMSUM(IMPRODUCT(IF($O$3=1,M64,COMPLEX(J64,$D64*BASE!L$15)),2),COMPLEX(BASE!F$36,$D64*BASE!L$14-BASE!L$10/$D64))</f>
        <v>0.841115897425846-0.0945764259188541i</v>
      </c>
      <c r="Q64" s="2" t="str">
        <f>IMSUM(IMPRODUCT(IF($O$3=1,N64,COMPLEX(K64,$D64*BASE!M$15)),2),COMPLEX(BASE!G$36,$D64*BASE!M$14-BASE!M$10/$D64))</f>
        <v>0.841115897425846-3.10474207815777i</v>
      </c>
      <c r="R64" s="2" t="str">
        <f>COMPLEX(BASE!E$19,FRES!$D64*BASE!K$36)</f>
        <v>7.2+0.135957086019604i</v>
      </c>
      <c r="S64" s="2" t="str">
        <f>COMPLEX(BASE!F$19,FRES!$D64*BASE!L$36)</f>
        <v>7.2+0.135957086019604i</v>
      </c>
      <c r="T64" s="2" t="str">
        <f>COMPLEX(BASE!G$19,FRES!$D64*BASE!M$36)</f>
        <v>7.2+0.135957086019604i</v>
      </c>
      <c r="U64" s="2" t="str">
        <f>IMDIV(BASE!K$21*BASE!E$38,IMPRODUCT(FRES!R64,IMSUM(FRES!O64,IMDIV(BASE!K$21^2,FRES!R64))))</f>
        <v>0.391110140051913-0.263430703630868i</v>
      </c>
      <c r="V64" s="2" t="str">
        <f>IMDIV(BASE!L$21*BASE!F$38,IMPRODUCT(FRES!S64,IMSUM(FRES!P64,IMDIV(BASE!L$21^2,FRES!S64))))</f>
        <v>0.560260670935385+0.0205432811344934i</v>
      </c>
      <c r="W64" s="2" t="str">
        <f>IMDIV(BASE!M$21*BASE!G$38,IMPRODUCT(FRES!T64,IMSUM(FRES!Q64,IMDIV(BASE!M$21^2,FRES!T64))))</f>
        <v>0.184271640446171+0.258371007012217i</v>
      </c>
      <c r="X64" s="2" t="str">
        <f t="shared" si="28"/>
        <v>-0.000539435412118889-0.000800888646140556i</v>
      </c>
      <c r="Y64" s="2" t="str">
        <f t="shared" si="25"/>
        <v>0.000042067128745129-0.00114726355642859i</v>
      </c>
      <c r="Z64" s="2" t="str">
        <f t="shared" si="25"/>
        <v>0.000529074510777247-0.000377338886226382i</v>
      </c>
      <c r="AA64" s="44" t="str">
        <f>IMPRODUCT(COMPLEX(0,$D64),U64,E$2,BASE!E$15^2/10000,1/(2*BASE!$U$3))</f>
        <v>0.306355498882636+0.45483969948149i</v>
      </c>
      <c r="AB64" s="44" t="str">
        <f>IMPRODUCT(COMPLEX(0,$D64),V64,F$2,BASE!F$15^2/10000,1/(2*BASE!$U$3))</f>
        <v>-0.0238907122590494+0.651552514505824i</v>
      </c>
      <c r="AC64" s="44" t="str">
        <f>IMPRODUCT(COMPLEX(0,$D64),W64,G$2,BASE!G$15^2/10000,1/(2*BASE!$U$3))</f>
        <v>-0.300471348476336+0.214297838333654i</v>
      </c>
      <c r="AD64" s="44">
        <f t="shared" si="6"/>
        <v>0.97804615887614033</v>
      </c>
      <c r="AE64" s="44">
        <f t="shared" si="7"/>
        <v>1.6074472695379034</v>
      </c>
      <c r="AF64" s="44">
        <f t="shared" si="8"/>
        <v>2.5220587660049629</v>
      </c>
      <c r="AG64" s="31">
        <f t="shared" si="9"/>
        <v>88.761208699428451</v>
      </c>
      <c r="AH64" s="31">
        <f t="shared" si="10"/>
        <v>90.264223738126489</v>
      </c>
      <c r="AI64" s="31">
        <f t="shared" si="11"/>
        <v>85.321381441690548</v>
      </c>
      <c r="AJ64" s="2" t="str">
        <f>IMSUM(R64,IMDIV(BASE!K$21^2,FRES!O64))</f>
        <v>10.126403175626-4.77146461581756i</v>
      </c>
      <c r="AK64" s="2" t="str">
        <f>IMSUM(S64,IMDIV(BASE!L$21^2,FRES!P64))</f>
        <v>18.2166028705428+1.37468165233917i</v>
      </c>
      <c r="AL64" s="2" t="str">
        <f>IMSUM(T64,IMDIV(BASE!M$21^2,FRES!Q64))</f>
        <v>7.96279101374035+2.95158494949018i</v>
      </c>
      <c r="AM64" s="31">
        <f t="shared" si="24"/>
        <v>0.47155368439540496</v>
      </c>
      <c r="AN64" s="31">
        <f t="shared" si="24"/>
        <v>0.56063717839324445</v>
      </c>
      <c r="AO64" s="31">
        <f t="shared" si="24"/>
        <v>0.31735093309651696</v>
      </c>
      <c r="AP64" s="31">
        <f t="shared" si="12"/>
        <v>1.365586458167134</v>
      </c>
      <c r="AQ64" s="31">
        <f t="shared" si="13"/>
        <v>1.6235660203576792</v>
      </c>
      <c r="AR64" s="31">
        <f t="shared" si="14"/>
        <v>0.91902608560665988</v>
      </c>
      <c r="AS64" s="2">
        <f t="shared" si="15"/>
        <v>113.11321761514358</v>
      </c>
      <c r="AT64" s="2">
        <f t="shared" si="16"/>
        <v>115.11666357413056</v>
      </c>
      <c r="AU64" s="2">
        <f t="shared" si="17"/>
        <v>118.02796238755872</v>
      </c>
      <c r="AV64" s="2">
        <f t="shared" si="18"/>
        <v>113.11321761514358</v>
      </c>
      <c r="AW64" s="2">
        <f t="shared" si="19"/>
        <v>115.11666357413056</v>
      </c>
      <c r="AX64" s="2">
        <f t="shared" si="20"/>
        <v>118.02796238755872</v>
      </c>
      <c r="AY64">
        <f t="shared" si="21"/>
        <v>11.194235831682635</v>
      </c>
      <c r="AZ64">
        <f t="shared" si="22"/>
        <v>18.268398117742731</v>
      </c>
      <c r="BA64">
        <f t="shared" si="23"/>
        <v>8.4922255294216615</v>
      </c>
    </row>
    <row r="65" spans="1:53" x14ac:dyDescent="0.2">
      <c r="A65" s="2">
        <v>61</v>
      </c>
      <c r="B65" s="42">
        <f t="shared" si="27"/>
        <v>4194304000</v>
      </c>
      <c r="C65" s="43">
        <v>80</v>
      </c>
      <c r="D65" s="2">
        <f t="shared" si="30"/>
        <v>502.6548245743669</v>
      </c>
      <c r="E65" s="2"/>
      <c r="F65" s="2">
        <f>$D65*BASE!E$15/100/E$3</f>
        <v>9.2055970779607893E-2</v>
      </c>
      <c r="G65" s="2">
        <f>$D65*BASE!F$15/100/F$3</f>
        <v>9.2055970779607893E-2</v>
      </c>
      <c r="H65" s="2">
        <f>$D65*BASE!G$15/100/G$3</f>
        <v>9.2055970779607893E-2</v>
      </c>
      <c r="I65" s="2">
        <f>(1-BESSELJ(2*F65,1)/F65)*BASE!K$13*E$2*E$3</f>
        <v>2.1778661518809431E-2</v>
      </c>
      <c r="J65" s="2">
        <f>(1-BESSELJ(2*G65,1)/G65)*BASE!L$13*F$2*F$3</f>
        <v>2.1778661518809431E-2</v>
      </c>
      <c r="K65" s="2">
        <f>(1-BESSELJ(2*H65,1)/H65)*BASE!M$13*G$2*G$3</f>
        <v>2.1778661518809431E-2</v>
      </c>
      <c r="L65" s="2" t="str">
        <f>IMPRODUCT(COMPLEX(1-BESSELJ(2*F65,1)/F65,(STRUVE(2*F65)/(2*F65^2))),PI()*(BASE!E$15/100)^2*E$2*E$3)</f>
        <v>0.0217786615188094+0.401291442841369i</v>
      </c>
      <c r="M65" s="2" t="str">
        <f>IMPRODUCT(COMPLEX(1-BESSELJ(2*G65,1)/G65,(STRUVE(2*G65)/(2*G65^2))),PI()*(BASE!F$15/100)^2*F$2*F$3)</f>
        <v>0.0217786615188094+0.401291442841369i</v>
      </c>
      <c r="N65" s="2" t="str">
        <f>IMPRODUCT(COMPLEX(1-BESSELJ(2*H65,1)/H65,(STRUVE(2*H65)/(2*H65^2))),PI()*(BASE!G$15/100)^2*G$2*G$3)</f>
        <v>0.0217786615188094+0.401291442841369i</v>
      </c>
      <c r="O65" s="2" t="str">
        <f>IMSUM(IMPRODUCT(IF($O$3=1,L65,COMPLEX(I65,$D65*BASE!K$15)),2),COMPLEX(BASE!E$36,$D65*BASE!K$14-BASE!K$10/$D65))</f>
        <v>0.843557323037619+1.53872788902946i</v>
      </c>
      <c r="P65" s="2" t="str">
        <f>IMSUM(IMPRODUCT(IF($O$3=1,M65,COMPLEX(J65,$D65*BASE!L$15)),2),COMPLEX(BASE!F$36,$D65*BASE!L$14-BASE!L$10/$D65))</f>
        <v>0.843557323037619+0.0764918493726729i</v>
      </c>
      <c r="Q65" s="2" t="str">
        <f>IMSUM(IMPRODUCT(IF($O$3=1,N65,COMPLEX(K65,$D65*BASE!M$15)),2),COMPLEX(BASE!G$36,$D65*BASE!M$14-BASE!M$10/$D65))</f>
        <v>0.843557323037619-2.8479802299409i</v>
      </c>
      <c r="R65" s="2" t="str">
        <f>COMPLEX(BASE!E$19,FRES!$D65*BASE!K$36)</f>
        <v>7.2+0.13994093272751i</v>
      </c>
      <c r="S65" s="2" t="str">
        <f>COMPLEX(BASE!F$19,FRES!$D65*BASE!L$36)</f>
        <v>7.2+0.13994093272751i</v>
      </c>
      <c r="T65" s="2" t="str">
        <f>COMPLEX(BASE!G$19,FRES!$D65*BASE!M$36)</f>
        <v>7.2+0.13994093272751i</v>
      </c>
      <c r="U65" s="2" t="str">
        <f>IMDIV(BASE!K$21*BASE!E$38,IMPRODUCT(FRES!R65,IMSUM(FRES!O65,IMDIV(BASE!K$21^2,FRES!R65))))</f>
        <v>0.369407478543241-0.271375314930888i</v>
      </c>
      <c r="V65" s="2" t="str">
        <f>IMDIV(BASE!L$21*BASE!F$38,IMPRODUCT(FRES!S65,IMSUM(FRES!P65,IMDIV(BASE!L$21^2,FRES!S65))))</f>
        <v>0.560181127454996-0.0242545598191908i</v>
      </c>
      <c r="W65" s="2" t="str">
        <f>IMDIV(BASE!M$21*BASE!G$38,IMPRODUCT(FRES!T65,IMSUM(FRES!Q65,IMDIV(BASE!M$21^2,FRES!T65))))</f>
        <v>0.206059514745143+0.264955690126487i</v>
      </c>
      <c r="X65" s="2" t="str">
        <f t="shared" si="28"/>
        <v>-0.000539884035054633-0.000734912827815876i</v>
      </c>
      <c r="Y65" s="2" t="str">
        <f t="shared" si="25"/>
        <v>-0.0000482529135967785-0.00111444494326567i</v>
      </c>
      <c r="Z65" s="2" t="str">
        <f t="shared" si="25"/>
        <v>0.000527112597299436-0.000409942379285085i</v>
      </c>
      <c r="AA65" s="44" t="str">
        <f>IMPRODUCT(COMPLEX(0,$D65),U65,E$2,BASE!E$15^2/10000,1/(2*BASE!$U$3))</f>
        <v>0.324842276298398+0.44218895238205i</v>
      </c>
      <c r="AB65" s="44" t="str">
        <f>IMPRODUCT(COMPLEX(0,$D65),V65,F$2,BASE!F$15^2/10000,1/(2*BASE!$U$3))</f>
        <v>0.0290332465363998+0.670549245159705i</v>
      </c>
      <c r="AC65" s="44" t="str">
        <f>IMPRODUCT(COMPLEX(0,$D65),W65,G$2,BASE!G$15^2/10000,1/(2*BASE!$U$3))</f>
        <v>-0.31715784289673+0.246657813514846i</v>
      </c>
      <c r="AD65" s="44">
        <f t="shared" si="6"/>
        <v>0.93720920225653925</v>
      </c>
      <c r="AE65" s="44">
        <f t="shared" si="7"/>
        <v>1.527525643350288</v>
      </c>
      <c r="AF65" s="44">
        <f t="shared" si="8"/>
        <v>2.4805897767331659</v>
      </c>
      <c r="AG65" s="31">
        <f t="shared" si="9"/>
        <v>88.76583796148681</v>
      </c>
      <c r="AH65" s="31">
        <f t="shared" si="10"/>
        <v>90.516147706328155</v>
      </c>
      <c r="AI65" s="31">
        <f t="shared" si="11"/>
        <v>86.059220339981621</v>
      </c>
      <c r="AJ65" s="2" t="str">
        <f>IMSUM(R65,IMDIV(BASE!K$21^2,FRES!O65))</f>
        <v>9.77055221675835-4.54898805657862i</v>
      </c>
      <c r="AK65" s="2" t="str">
        <f>IMSUM(S65,IMDIV(BASE!L$21^2,FRES!P65))</f>
        <v>18.2328823618284-0.86049561464126i</v>
      </c>
      <c r="AL65" s="2" t="str">
        <f>IMSUM(T65,IMDIV(BASE!M$21^2,FRES!Q65))</f>
        <v>8.09717864521228+3.16895505483691i</v>
      </c>
      <c r="AM65" s="31">
        <f t="shared" si="24"/>
        <v>0.45837369771564523</v>
      </c>
      <c r="AN65" s="31">
        <f t="shared" si="24"/>
        <v>0.56070596503762393</v>
      </c>
      <c r="AO65" s="31">
        <f t="shared" si="24"/>
        <v>0.33565166668349322</v>
      </c>
      <c r="AP65" s="31">
        <f t="shared" si="12"/>
        <v>1.2896291217208145</v>
      </c>
      <c r="AQ65" s="31">
        <f t="shared" si="13"/>
        <v>1.5775397777812137</v>
      </c>
      <c r="AR65" s="31">
        <f t="shared" si="14"/>
        <v>0.94435210018898552</v>
      </c>
      <c r="AS65" s="2">
        <f t="shared" si="15"/>
        <v>112.98322954500681</v>
      </c>
      <c r="AT65" s="2">
        <f t="shared" si="16"/>
        <v>114.86226513677651</v>
      </c>
      <c r="AU65" s="2">
        <f t="shared" si="17"/>
        <v>117.89596249500609</v>
      </c>
      <c r="AV65" s="2">
        <f t="shared" si="18"/>
        <v>112.98322954500681</v>
      </c>
      <c r="AW65" s="2">
        <f t="shared" si="19"/>
        <v>114.86226513677651</v>
      </c>
      <c r="AX65" s="2">
        <f t="shared" si="20"/>
        <v>117.89596249500609</v>
      </c>
      <c r="AY65">
        <f t="shared" si="21"/>
        <v>10.777614901233781</v>
      </c>
      <c r="AZ65">
        <f t="shared" si="22"/>
        <v>18.253176488575622</v>
      </c>
      <c r="BA65">
        <f t="shared" si="23"/>
        <v>8.6952043191668693</v>
      </c>
    </row>
    <row r="66" spans="1:53" x14ac:dyDescent="0.2">
      <c r="A66" s="2">
        <v>62</v>
      </c>
      <c r="B66" s="42">
        <f t="shared" si="27"/>
        <v>6658042581.8744249</v>
      </c>
      <c r="C66" s="43">
        <v>82.344178931479348</v>
      </c>
      <c r="D66" s="2">
        <f t="shared" si="30"/>
        <v>517.38373519403785</v>
      </c>
      <c r="E66" s="2"/>
      <c r="F66" s="2">
        <f>$D66*BASE!E$15/100/E$3</f>
        <v>9.4753416619838313E-2</v>
      </c>
      <c r="G66" s="2">
        <f>$D66*BASE!F$15/100/F$3</f>
        <v>9.4753416619838313E-2</v>
      </c>
      <c r="H66" s="2">
        <f>$D66*BASE!G$15/100/G$3</f>
        <v>9.4753416619838313E-2</v>
      </c>
      <c r="I66" s="2">
        <f>(1-BESSELJ(2*F66,1)/F66)*BASE!K$13*E$2*E$3</f>
        <v>2.3071750414796685E-2</v>
      </c>
      <c r="J66" s="2">
        <f>(1-BESSELJ(2*G66,1)/G66)*BASE!L$13*F$2*F$3</f>
        <v>2.3071750414796685E-2</v>
      </c>
      <c r="K66" s="2">
        <f>(1-BESSELJ(2*H66,1)/H66)*BASE!M$13*G$2*G$3</f>
        <v>2.3071750414796685E-2</v>
      </c>
      <c r="L66" s="2" t="str">
        <f>IMPRODUCT(COMPLEX(1-BESSELJ(2*F66,1)/F66,(STRUVE(2*F66)/(2*F66^2))),PI()*(BASE!E$15/100)^2*E$2*E$3)</f>
        <v>0.0230717504147967+0.412994661103575i</v>
      </c>
      <c r="M66" s="2" t="str">
        <f>IMPRODUCT(COMPLEX(1-BESSELJ(2*G66,1)/G66,(STRUVE(2*G66)/(2*G66^2))),PI()*(BASE!F$15/100)^2*F$2*F$3)</f>
        <v>0.0230717504147967+0.412994661103575i</v>
      </c>
      <c r="N66" s="2" t="str">
        <f>IMPRODUCT(COMPLEX(1-BESSELJ(2*H66,1)/H66,(STRUVE(2*H66)/(2*H66^2))),PI()*(BASE!G$15/100)^2*G$2*G$3)</f>
        <v>0.0230717504147967+0.412994661103575i</v>
      </c>
      <c r="O66" s="2" t="str">
        <f>IMSUM(IMPRODUCT(IF($O$3=1,L66,COMPLEX(I66,$D66*BASE!K$15)),2),COMPLEX(BASE!E$36,$D66*BASE!K$14-BASE!K$10/$D66))</f>
        <v>0.846143500829593+1.66823295049912i</v>
      </c>
      <c r="P66" s="2" t="str">
        <f>IMSUM(IMPRODUCT(IF($O$3=1,M66,COMPLEX(J66,$D66*BASE!L$15)),2),COMPLEX(BASE!F$36,$D66*BASE!L$14-BASE!L$10/$D66))</f>
        <v>0.846143500829593+0.247623932466602i</v>
      </c>
      <c r="Q66" s="2" t="str">
        <f>IMSUM(IMPRODUCT(IF($O$3=1,N66,COMPLEX(K66,$D66*BASE!M$15)),2),COMPLEX(BASE!G$36,$D66*BASE!M$14-BASE!M$10/$D66))</f>
        <v>0.846143500829593-2.59359410359844i</v>
      </c>
      <c r="R66" s="2" t="str">
        <f>COMPLEX(BASE!E$19,FRES!$D66*BASE!K$36)</f>
        <v>7.2+0.144041515054403i</v>
      </c>
      <c r="S66" s="2" t="str">
        <f>COMPLEX(BASE!F$19,FRES!$D66*BASE!L$36)</f>
        <v>7.2+0.144041515054403i</v>
      </c>
      <c r="T66" s="2" t="str">
        <f>COMPLEX(BASE!G$19,FRES!$D66*BASE!M$36)</f>
        <v>7.2+0.144041515054403i</v>
      </c>
      <c r="U66" s="2" t="str">
        <f>IMDIV(BASE!K$21*BASE!E$38,IMPRODUCT(FRES!R66,IMSUM(FRES!O66,IMDIV(BASE!K$21^2,FRES!R66))))</f>
        <v>0.348178914542216-0.277283707876876i</v>
      </c>
      <c r="V66" s="2" t="str">
        <f>IMDIV(BASE!L$21*BASE!F$38,IMPRODUCT(FRES!S66,IMSUM(FRES!P66,IMDIV(BASE!L$21^2,FRES!S66))))</f>
        <v>0.553044930025516-0.0682271600378858i</v>
      </c>
      <c r="W66" s="2" t="str">
        <f>IMDIV(BASE!M$21*BASE!G$38,IMPRODUCT(FRES!T66,IMSUM(FRES!Q66,IMDIV(BASE!M$21^2,FRES!T66))))</f>
        <v>0.230772533749084+0.270126453261352i</v>
      </c>
      <c r="X66" s="2" t="str">
        <f t="shared" si="28"/>
        <v>-0.000535934334644061-0.00067296068828224i</v>
      </c>
      <c r="Y66" s="2" t="str">
        <f t="shared" si="25"/>
        <v>-0.000131869549421182-0.00106892600676383i</v>
      </c>
      <c r="Z66" s="2" t="str">
        <f t="shared" si="25"/>
        <v>0.000522100783009819-0.000446037472868249i</v>
      </c>
      <c r="AA66" s="44" t="str">
        <f>IMPRODUCT(COMPLEX(0,$D66),U66,E$2,BASE!E$15^2/10000,1/(2*BASE!$U$3))</f>
        <v>0.341640598478387+0.428990414375795i</v>
      </c>
      <c r="AB66" s="44" t="str">
        <f>IMPRODUCT(COMPLEX(0,$D66),V66,F$2,BASE!F$15^2/10000,1/(2*BASE!$U$3))</f>
        <v>0.0840625219790199+0.681405345903887i</v>
      </c>
      <c r="AC66" s="44" t="str">
        <f>IMPRODUCT(COMPLEX(0,$D66),W66,G$2,BASE!G$15^2/10000,1/(2*BASE!$U$3))</f>
        <v>-0.332822162050829+0.284334291206966i</v>
      </c>
      <c r="AD66" s="44">
        <f t="shared" si="6"/>
        <v>0.89826487354292506</v>
      </c>
      <c r="AE66" s="44">
        <f t="shared" si="7"/>
        <v>1.4480501256070579</v>
      </c>
      <c r="AF66" s="44">
        <f t="shared" si="8"/>
        <v>2.4346000084744013</v>
      </c>
      <c r="AG66" s="31">
        <f t="shared" si="9"/>
        <v>88.761471958019598</v>
      </c>
      <c r="AH66" s="31">
        <f t="shared" si="10"/>
        <v>90.713109331965455</v>
      </c>
      <c r="AI66" s="31">
        <f t="shared" si="11"/>
        <v>86.803730948268083</v>
      </c>
      <c r="AJ66" s="2" t="str">
        <f>IMSUM(R66,IMDIV(BASE!K$21^2,FRES!O66))</f>
        <v>9.46915935187539-4.32976983848116i</v>
      </c>
      <c r="AK66" s="2" t="str">
        <f>IMSUM(S66,IMDIV(BASE!L$21^2,FRES!P66))</f>
        <v>17.4147671554366-2.84531053903565i</v>
      </c>
      <c r="AL66" s="2" t="str">
        <f>IMSUM(T66,IMDIV(BASE!M$21^2,FRES!Q66))</f>
        <v>8.2667780955166+3.41392348621787i</v>
      </c>
      <c r="AM66" s="31">
        <f t="shared" si="24"/>
        <v>0.44510090000554309</v>
      </c>
      <c r="AN66" s="31">
        <f t="shared" si="24"/>
        <v>0.55723750770543368</v>
      </c>
      <c r="AO66" s="31">
        <f t="shared" si="24"/>
        <v>0.35528054138177828</v>
      </c>
      <c r="AP66" s="31">
        <f t="shared" si="12"/>
        <v>1.2166360992701792</v>
      </c>
      <c r="AQ66" s="31">
        <f t="shared" si="13"/>
        <v>1.5231496223290826</v>
      </c>
      <c r="AR66" s="31">
        <f t="shared" si="14"/>
        <v>0.97112167602433863</v>
      </c>
      <c r="AS66" s="2">
        <f t="shared" si="15"/>
        <v>112.85926589660346</v>
      </c>
      <c r="AT66" s="2">
        <f t="shared" si="16"/>
        <v>114.60928670670407</v>
      </c>
      <c r="AU66" s="2">
        <f t="shared" si="17"/>
        <v>117.74957251600543</v>
      </c>
      <c r="AV66" s="2">
        <f t="shared" si="18"/>
        <v>112.85926589660346</v>
      </c>
      <c r="AW66" s="2">
        <f t="shared" si="19"/>
        <v>114.60928670670407</v>
      </c>
      <c r="AX66" s="2">
        <f t="shared" si="20"/>
        <v>117.74957251600543</v>
      </c>
      <c r="AY66">
        <f t="shared" si="21"/>
        <v>10.412102846468159</v>
      </c>
      <c r="AZ66">
        <f t="shared" si="22"/>
        <v>17.645676726655193</v>
      </c>
      <c r="BA66">
        <f t="shared" si="23"/>
        <v>8.9439640903943172</v>
      </c>
    </row>
    <row r="67" spans="1:53" x14ac:dyDescent="0.2">
      <c r="A67" s="2">
        <v>63</v>
      </c>
      <c r="B67" s="42">
        <f t="shared" si="27"/>
        <v>10568983798.516504</v>
      </c>
      <c r="C67" s="43">
        <v>84.757047548743628</v>
      </c>
      <c r="D67" s="2">
        <f t="shared" si="30"/>
        <v>532.54423583818755</v>
      </c>
      <c r="E67" s="2"/>
      <c r="F67" s="2">
        <f>$D67*BASE!E$15/100/E$3</f>
        <v>9.7529903656412259E-2</v>
      </c>
      <c r="G67" s="2">
        <f>$D67*BASE!F$15/100/F$3</f>
        <v>9.7529903656412259E-2</v>
      </c>
      <c r="H67" s="2">
        <f>$D67*BASE!G$15/100/G$3</f>
        <v>9.7529903656412259E-2</v>
      </c>
      <c r="I67" s="2">
        <f>(1-BESSELJ(2*F67,1)/F67)*BASE!K$13*E$2*E$3</f>
        <v>2.4441493264443875E-2</v>
      </c>
      <c r="J67" s="2">
        <f>(1-BESSELJ(2*G67,1)/G67)*BASE!L$13*F$2*F$3</f>
        <v>2.4441493264443875E-2</v>
      </c>
      <c r="K67" s="2">
        <f>(1-BESSELJ(2*H67,1)/H67)*BASE!M$13*G$2*G$3</f>
        <v>2.4441493264443875E-2</v>
      </c>
      <c r="L67" s="2" t="str">
        <f>IMPRODUCT(COMPLEX(1-BESSELJ(2*F67,1)/F67,(STRUVE(2*F67)/(2*F67^2))),PI()*(BASE!E$15/100)^2*E$2*E$3)</f>
        <v>0.0244414932644439+0.42503579216059i</v>
      </c>
      <c r="M67" s="2" t="str">
        <f>IMPRODUCT(COMPLEX(1-BESSELJ(2*G67,1)/G67,(STRUVE(2*G67)/(2*G67^2))),PI()*(BASE!F$15/100)^2*F$2*F$3)</f>
        <v>0.0244414932644439+0.42503579216059i</v>
      </c>
      <c r="N67" s="2" t="str">
        <f>IMPRODUCT(COMPLEX(1-BESSELJ(2*H67,1)/H67,(STRUVE(2*H67)/(2*H67^2))),PI()*(BASE!G$15/100)^2*G$2*G$3)</f>
        <v>0.0244414932644439+0.42503579216059i</v>
      </c>
      <c r="O67" s="2" t="str">
        <f>IMSUM(IMPRODUCT(IF($O$3=1,L67,COMPLEX(I67,$D67*BASE!K$15)),2),COMPLEX(BASE!E$36,$D67*BASE!K$14-BASE!K$10/$D67))</f>
        <v>0.848882986528888+1.79912961485648i</v>
      </c>
      <c r="P67" s="2" t="str">
        <f>IMSUM(IMPRODUCT(IF($O$3=1,M67,COMPLEX(J67,$D67*BASE!L$15)),2),COMPLEX(BASE!F$36,$D67*BASE!L$14-BASE!L$10/$D67))</f>
        <v>0.848882986528888+0.418962577947028i</v>
      </c>
      <c r="Q67" s="2" t="str">
        <f>IMSUM(IMPRODUCT(IF($O$3=1,N67,COMPLEX(K67,$D67*BASE!M$15)),2),COMPLEX(BASE!G$36,$D67*BASE!M$14-BASE!M$10/$D67))</f>
        <v>0.848882986528888-2.34137149587188i</v>
      </c>
      <c r="R67" s="2" t="str">
        <f>COMPLEX(BASE!E$19,FRES!$D67*BASE!K$36)</f>
        <v>7.2+0.148262253615014i</v>
      </c>
      <c r="S67" s="2" t="str">
        <f>COMPLEX(BASE!F$19,FRES!$D67*BASE!L$36)</f>
        <v>7.2+0.148262253615014i</v>
      </c>
      <c r="T67" s="2" t="str">
        <f>COMPLEX(BASE!G$19,FRES!$D67*BASE!M$36)</f>
        <v>7.2+0.148262253615014i</v>
      </c>
      <c r="U67" s="2" t="str">
        <f>IMDIV(BASE!K$21*BASE!E$38,IMPRODUCT(FRES!R67,IMSUM(FRES!O67,IMDIV(BASE!K$21^2,FRES!R67))))</f>
        <v>0.327594387578053-0.281365199304551i</v>
      </c>
      <c r="V67" s="2" t="str">
        <f>IMDIV(BASE!L$21*BASE!F$38,IMPRODUCT(FRES!S67,IMSUM(FRES!P67,IMDIV(BASE!L$21^2,FRES!S67))))</f>
        <v>0.539346401781389-0.109817259657908i</v>
      </c>
      <c r="W67" s="2" t="str">
        <f>IMDIV(BASE!M$21*BASE!G$38,IMPRODUCT(FRES!T67,IMSUM(FRES!Q67,IMDIV(BASE!M$21^2,FRES!T67))))</f>
        <v>0.25866662594433+0.273190320532067i</v>
      </c>
      <c r="X67" s="2" t="str">
        <f t="shared" si="28"/>
        <v>-0.000528341460426666-0.00061514962613846i</v>
      </c>
      <c r="Y67" s="2" t="str">
        <f t="shared" si="25"/>
        <v>-0.000206212465120504-0.00101277295947537i</v>
      </c>
      <c r="Z67" s="2" t="str">
        <f t="shared" si="25"/>
        <v>0.000512990850613723-0.000485718572349594i</v>
      </c>
      <c r="AA67" s="44" t="str">
        <f>IMPRODUCT(COMPLEX(0,$D67),U67,E$2,BASE!E$15^2/10000,1/(2*BASE!$U$3))</f>
        <v>0.356827583012219+0.415455478562284i</v>
      </c>
      <c r="AB67" s="44" t="str">
        <f>IMPRODUCT(COMPLEX(0,$D67),V67,F$2,BASE!F$15^2/10000,1/(2*BASE!$U$3))</f>
        <v>0.139270341298824+0.68399956152956i</v>
      </c>
      <c r="AC67" s="44" t="str">
        <f>IMPRODUCT(COMPLEX(0,$D67),W67,G$2,BASE!G$15^2/10000,1/(2*BASE!$U$3))</f>
        <v>-0.346460194859692+0.328041233136781i</v>
      </c>
      <c r="AD67" s="44">
        <f t="shared" si="6"/>
        <v>0.86116786535590373</v>
      </c>
      <c r="AE67" s="44">
        <f t="shared" si="7"/>
        <v>1.3699303638005731</v>
      </c>
      <c r="AF67" s="44">
        <f t="shared" si="8"/>
        <v>2.3834952262053428</v>
      </c>
      <c r="AG67" s="31">
        <f t="shared" si="9"/>
        <v>88.749587269060655</v>
      </c>
      <c r="AH67" s="31">
        <f t="shared" si="10"/>
        <v>90.856933076473723</v>
      </c>
      <c r="AI67" s="31">
        <f t="shared" si="11"/>
        <v>87.551994929327833</v>
      </c>
      <c r="AJ67" s="2" t="str">
        <f>IMSUM(R67,IMDIV(BASE!K$21^2,FRES!O67))</f>
        <v>9.21275160495798-4.11758012666054i</v>
      </c>
      <c r="AK67" s="2" t="str">
        <f>IMSUM(S67,IMDIV(BASE!L$21^2,FRES!P67))</f>
        <v>16.0886500865594-4.23869309103337i</v>
      </c>
      <c r="AL67" s="2" t="str">
        <f>IMSUM(T67,IMDIV(BASE!M$21^2,FRES!Q67))</f>
        <v>8.48419923803716+3.69031403068672i</v>
      </c>
      <c r="AM67" s="31">
        <f t="shared" si="24"/>
        <v>0.43183846303025081</v>
      </c>
      <c r="AN67" s="31">
        <f t="shared" si="24"/>
        <v>0.55041291012593807</v>
      </c>
      <c r="AO67" s="31">
        <f t="shared" si="24"/>
        <v>0.37621984877174863</v>
      </c>
      <c r="AP67" s="31">
        <f t="shared" si="12"/>
        <v>1.1467813752795861</v>
      </c>
      <c r="AQ67" s="31">
        <f t="shared" si="13"/>
        <v>1.4616652477332657</v>
      </c>
      <c r="AR67" s="31">
        <f t="shared" si="14"/>
        <v>0.99908172272213924</v>
      </c>
      <c r="AS67" s="2">
        <f t="shared" si="15"/>
        <v>112.74118245206576</v>
      </c>
      <c r="AT67" s="2">
        <f t="shared" si="16"/>
        <v>114.3606237818108</v>
      </c>
      <c r="AU67" s="2">
        <f t="shared" si="17"/>
        <v>117.58690094173031</v>
      </c>
      <c r="AV67" s="2">
        <f t="shared" si="18"/>
        <v>112.74118245206576</v>
      </c>
      <c r="AW67" s="2">
        <f t="shared" si="19"/>
        <v>114.3606237818108</v>
      </c>
      <c r="AX67" s="2">
        <f t="shared" si="20"/>
        <v>117.58690094173031</v>
      </c>
      <c r="AY67">
        <f t="shared" si="21"/>
        <v>10.091048420958334</v>
      </c>
      <c r="AZ67">
        <f t="shared" si="22"/>
        <v>16.63764348481244</v>
      </c>
      <c r="BA67">
        <f t="shared" si="23"/>
        <v>9.2520297424831917</v>
      </c>
    </row>
    <row r="68" spans="1:53" x14ac:dyDescent="0.2">
      <c r="A68" s="2">
        <v>64</v>
      </c>
      <c r="B68" s="42">
        <f t="shared" si="27"/>
        <v>16777216000</v>
      </c>
      <c r="C68" s="43">
        <v>87.240618613220619</v>
      </c>
      <c r="D68" s="2">
        <f t="shared" si="30"/>
        <v>548.14897305984573</v>
      </c>
      <c r="E68" s="2"/>
      <c r="F68" s="2">
        <f>$D68*BASE!E$15/100/E$3</f>
        <v>0.10038774797316941</v>
      </c>
      <c r="G68" s="2">
        <f>$D68*BASE!F$15/100/F$3</f>
        <v>0.10038774797316941</v>
      </c>
      <c r="H68" s="2">
        <f>$D68*BASE!G$15/100/G$3</f>
        <v>0.10038774797316941</v>
      </c>
      <c r="I68" s="2">
        <f>(1-BESSELJ(2*F68,1)/F68)*BASE!K$13*E$2*E$3</f>
        <v>2.5892419147214244E-2</v>
      </c>
      <c r="J68" s="2">
        <f>(1-BESSELJ(2*G68,1)/G68)*BASE!L$13*F$2*F$3</f>
        <v>2.5892419147214244E-2</v>
      </c>
      <c r="K68" s="2">
        <f>(1-BESSELJ(2*H68,1)/H68)*BASE!M$13*G$2*G$3</f>
        <v>2.5892419147214244E-2</v>
      </c>
      <c r="L68" s="2" t="str">
        <f>IMPRODUCT(COMPLEX(1-BESSELJ(2*F68,1)/F68,(STRUVE(2*F68)/(2*F68^2))),PI()*(BASE!E$15/100)^2*E$2*E$3)</f>
        <v>0.0258924191472142+0.4374242845896i</v>
      </c>
      <c r="M68" s="2" t="str">
        <f>IMPRODUCT(COMPLEX(1-BESSELJ(2*G68,1)/G68,(STRUVE(2*G68)/(2*G68^2))),PI()*(BASE!F$15/100)^2*F$2*F$3)</f>
        <v>0.0258924191472142+0.4374242845896i</v>
      </c>
      <c r="N68" s="2" t="str">
        <f>IMPRODUCT(COMPLEX(1-BESSELJ(2*H68,1)/H68,(STRUVE(2*H68)/(2*H68^2))),PI()*(BASE!G$15/100)^2*G$2*G$3)</f>
        <v>0.0258924191472142+0.4374242845896i</v>
      </c>
      <c r="O68" s="2" t="str">
        <f>IMSUM(IMPRODUCT(IF($O$3=1,L68,COMPLEX(I68,$D68*BASE!K$15)),2),COMPLEX(BASE!E$36,$D68*BASE!K$14-BASE!K$10/$D68))</f>
        <v>0.851784838294428+1.93152707319265i</v>
      </c>
      <c r="P68" s="2" t="str">
        <f>IMSUM(IMPRODUCT(IF($O$3=1,M68,COMPLEX(J68,$D68*BASE!L$15)),2),COMPLEX(BASE!F$36,$D68*BASE!L$14-BASE!L$10/$D68))</f>
        <v>0.851784838294428+0.590650712707791i</v>
      </c>
      <c r="Q68" s="2" t="str">
        <f>IMSUM(IMPRODUCT(IF($O$3=1,N68,COMPLEX(K68,$D68*BASE!M$15)),2),COMPLEX(BASE!G$36,$D68*BASE!M$14-BASE!M$10/$D68))</f>
        <v>0.851784838294428-2.09110200826193i</v>
      </c>
      <c r="R68" s="2" t="str">
        <f>COMPLEX(BASE!E$19,FRES!$D68*BASE!K$36)</f>
        <v>7.2+0.152606669255739i</v>
      </c>
      <c r="S68" s="2" t="str">
        <f>COMPLEX(BASE!F$19,FRES!$D68*BASE!L$36)</f>
        <v>7.2+0.152606669255739i</v>
      </c>
      <c r="T68" s="2" t="str">
        <f>COMPLEX(BASE!G$19,FRES!$D68*BASE!M$36)</f>
        <v>7.2+0.152606669255739i</v>
      </c>
      <c r="U68" s="2" t="str">
        <f>IMDIV(BASE!K$21*BASE!E$38,IMPRODUCT(FRES!R68,IMSUM(FRES!O68,IMDIV(BASE!K$21^2,FRES!R68))))</f>
        <v>0.30777905873132-0.283828455506229i</v>
      </c>
      <c r="V68" s="2" t="str">
        <f>IMDIV(BASE!L$21*BASE!F$38,IMPRODUCT(FRES!S68,IMSUM(FRES!P68,IMDIV(BASE!L$21^2,FRES!S68))))</f>
        <v>0.519993648514816-0.147734106546289i</v>
      </c>
      <c r="W68" s="2" t="str">
        <f>IMDIV(BASE!M$21*BASE!G$38,IMPRODUCT(FRES!T68,IMSUM(FRES!Q68,IMDIV(BASE!M$21^2,FRES!T68))))</f>
        <v>0.28989143570507+0.27324315889823i</v>
      </c>
      <c r="X68" s="2" t="str">
        <f t="shared" si="28"/>
        <v>-0.000517794376083308-0.000561487978374297i</v>
      </c>
      <c r="Y68" s="2" t="str">
        <f t="shared" si="25"/>
        <v>-0.000269514518510572-0.000948635633871823i</v>
      </c>
      <c r="Z68" s="2" t="str">
        <f t="shared" si="25"/>
        <v>0.000498483391062374-0.000528855201692442i</v>
      </c>
      <c r="AA68" s="44" t="str">
        <f>IMPRODUCT(COMPLEX(0,$D68),U68,E$2,BASE!E$15^2/10000,1/(2*BASE!$U$3))</f>
        <v>0.370498870244921+0.401763076720462i</v>
      </c>
      <c r="AB68" s="44" t="str">
        <f>IMPRODUCT(COMPLEX(0,$D68),V68,F$2,BASE!F$15^2/10000,1/(2*BASE!$U$3))</f>
        <v>0.192846483536749+0.678779930524076i</v>
      </c>
      <c r="AC68" s="44" t="str">
        <f>IMPRODUCT(COMPLEX(0,$D68),W68,G$2,BASE!G$15^2/10000,1/(2*BASE!$U$3))</f>
        <v>-0.356681226670473+0.37841325398767i</v>
      </c>
      <c r="AD68" s="44">
        <f t="shared" si="6"/>
        <v>0.82586000827253769</v>
      </c>
      <c r="AE68" s="44">
        <f t="shared" si="7"/>
        <v>1.2939827966713164</v>
      </c>
      <c r="AF68" s="44">
        <f t="shared" si="8"/>
        <v>2.3266395147392549</v>
      </c>
      <c r="AG68" s="31">
        <f t="shared" si="9"/>
        <v>88.731504882442522</v>
      </c>
      <c r="AH68" s="31">
        <f t="shared" si="10"/>
        <v>90.951100114973812</v>
      </c>
      <c r="AI68" s="31">
        <f t="shared" si="11"/>
        <v>88.299757468498967</v>
      </c>
      <c r="AJ68" s="2" t="str">
        <f>IMSUM(R68,IMDIV(BASE!K$21^2,FRES!O68))</f>
        <v>8.99354425867198-3.91447592818855i</v>
      </c>
      <c r="AK68" s="2" t="str">
        <f>IMSUM(S68,IMDIV(BASE!L$21^2,FRES!P68))</f>
        <v>14.639119957159-5.00588090539147i</v>
      </c>
      <c r="AL68" s="2" t="str">
        <f>IMSUM(T68,IMDIV(BASE!M$21^2,FRES!Q68))</f>
        <v>8.76772235727257+4.00131026470132i</v>
      </c>
      <c r="AM68" s="31">
        <f t="shared" si="24"/>
        <v>0.41867235536704439</v>
      </c>
      <c r="AN68" s="31">
        <f t="shared" si="24"/>
        <v>0.54057262299600428</v>
      </c>
      <c r="AO68" s="31">
        <f t="shared" si="24"/>
        <v>0.39837026543133219</v>
      </c>
      <c r="AP68" s="31">
        <f t="shared" si="12"/>
        <v>1.0801664369553032</v>
      </c>
      <c r="AQ68" s="31">
        <f t="shared" si="13"/>
        <v>1.3946667283185477</v>
      </c>
      <c r="AR68" s="31">
        <f t="shared" si="14"/>
        <v>1.0277874444866482</v>
      </c>
      <c r="AS68" s="2">
        <f t="shared" si="15"/>
        <v>112.62879405236976</v>
      </c>
      <c r="AT68" s="2">
        <f t="shared" si="16"/>
        <v>114.1188751673223</v>
      </c>
      <c r="AU68" s="2">
        <f t="shared" si="17"/>
        <v>117.40592359127362</v>
      </c>
      <c r="AV68" s="2">
        <f t="shared" si="18"/>
        <v>112.62879405236976</v>
      </c>
      <c r="AW68" s="2">
        <f t="shared" si="19"/>
        <v>114.1188751673223</v>
      </c>
      <c r="AX68" s="2">
        <f t="shared" si="20"/>
        <v>117.40592359127362</v>
      </c>
      <c r="AY68">
        <f t="shared" si="21"/>
        <v>9.8085146747639289</v>
      </c>
      <c r="AZ68">
        <f t="shared" si="22"/>
        <v>15.471350191856361</v>
      </c>
      <c r="BA68">
        <f t="shared" si="23"/>
        <v>9.637605468612076</v>
      </c>
    </row>
    <row r="69" spans="1:53" x14ac:dyDescent="0.2">
      <c r="A69" s="2">
        <v>65</v>
      </c>
      <c r="B69" s="42">
        <f t="shared" si="27"/>
        <v>26632170327.497704</v>
      </c>
      <c r="C69" s="1">
        <v>89.796963864749827</v>
      </c>
      <c r="D69" s="2">
        <f t="shared" si="30"/>
        <v>564.21096398433235</v>
      </c>
      <c r="E69" s="2"/>
      <c r="F69" s="2">
        <f>$D69*BASE!E$15/100/E$3</f>
        <v>0.10332933352038645</v>
      </c>
      <c r="G69" s="2">
        <f>$D69*BASE!F$15/100/F$3</f>
        <v>0.10332933352038645</v>
      </c>
      <c r="H69" s="2">
        <f>$D69*BASE!G$15/100/G$3</f>
        <v>0.10332933352038645</v>
      </c>
      <c r="I69" s="2">
        <f>(1-BESSELJ(2*F69,1)/F69)*BASE!K$13*E$2*E$3</f>
        <v>2.7429322910758672E-2</v>
      </c>
      <c r="J69" s="2">
        <f>(1-BESSELJ(2*G69,1)/G69)*BASE!L$13*F$2*F$3</f>
        <v>2.7429322910758672E-2</v>
      </c>
      <c r="K69" s="2">
        <f>(1-BESSELJ(2*H69,1)/H69)*BASE!M$13*G$2*G$3</f>
        <v>2.7429322910758672E-2</v>
      </c>
      <c r="L69" s="2" t="str">
        <f>IMPRODUCT(COMPLEX(1-BESSELJ(2*F69,1)/F69,(STRUVE(2*F69)/(2*F69^2))),PI()*(BASE!E$15/100)^2*E$2*E$3)</f>
        <v>0.0274293229107587+0.450169823003139i</v>
      </c>
      <c r="M69" s="2" t="str">
        <f>IMPRODUCT(COMPLEX(1-BESSELJ(2*G69,1)/G69,(STRUVE(2*G69)/(2*G69^2))),PI()*(BASE!F$15/100)^2*F$2*F$3)</f>
        <v>0.0274293229107587+0.450169823003139i</v>
      </c>
      <c r="N69" s="2" t="str">
        <f>IMPRODUCT(COMPLEX(1-BESSELJ(2*H69,1)/H69,(STRUVE(2*H69)/(2*H69^2))),PI()*(BASE!G$15/100)^2*G$2*G$3)</f>
        <v>0.0274293229107587+0.450169823003139i</v>
      </c>
      <c r="O69" s="2" t="str">
        <f>IMSUM(IMPRODUCT(IF($O$3=1,L69,COMPLEX(I69,$D69*BASE!K$15)),2),COMPLEX(BASE!E$36,$D69*BASE!K$14-BASE!K$10/$D69))</f>
        <v>0.854858645821517+2.06553576852777i</v>
      </c>
      <c r="P69" s="2" t="str">
        <f>IMSUM(IMPRODUCT(IF($O$3=1,M69,COMPLEX(J69,$D69*BASE!L$15)),2),COMPLEX(BASE!F$36,$D69*BASE!L$14-BASE!L$10/$D69))</f>
        <v>0.854858645821517+0.762831555178932i</v>
      </c>
      <c r="Q69" s="2" t="str">
        <f>IMSUM(IMPRODUCT(IF($O$3=1,N69,COMPLEX(K69,$D69*BASE!M$15)),2),COMPLEX(BASE!G$36,$D69*BASE!M$14-BASE!M$10/$D69))</f>
        <v>0.854858645821517-1.84257687151874i</v>
      </c>
      <c r="R69" s="2" t="str">
        <f>COMPLEX(BASE!E$19,FRES!$D69*BASE!K$36)</f>
        <v>7.2+0.157078385991645i</v>
      </c>
      <c r="S69" s="2" t="str">
        <f>COMPLEX(BASE!F$19,FRES!$D69*BASE!L$36)</f>
        <v>7.2+0.157078385991645i</v>
      </c>
      <c r="T69" s="2" t="str">
        <f>COMPLEX(BASE!G$19,FRES!$D69*BASE!M$36)</f>
        <v>7.2+0.157078385991645i</v>
      </c>
      <c r="U69" s="2" t="str">
        <f>IMDIV(BASE!K$21*BASE!E$38,IMPRODUCT(FRES!R69,IMSUM(FRES!O69,IMDIV(BASE!K$21^2,FRES!R69))))</f>
        <v>0.288819447916946-0.28487482711909i</v>
      </c>
      <c r="V69" s="2" t="str">
        <f>IMDIV(BASE!L$21*BASE!F$38,IMPRODUCT(FRES!S69,IMSUM(FRES!P69,IMDIV(BASE!L$21^2,FRES!S69))))</f>
        <v>0.496165674317414-0.181064931366574i</v>
      </c>
      <c r="W69" s="2" t="str">
        <f>IMDIV(BASE!M$21*BASE!G$38,IMPRODUCT(FRES!T69,IMSUM(FRES!Q69,IMDIV(BASE!M$21^2,FRES!T69))))</f>
        <v>0.324392908508423+0.269147641934929i</v>
      </c>
      <c r="X69" s="2" t="str">
        <f t="shared" ref="X69:X100" si="31">IMDIV(U69,COMPLEX(0,$D69))</f>
        <v>-0.000504908350428654-0.000511899743807471i</v>
      </c>
      <c r="Y69" s="2" t="str">
        <f t="shared" si="25"/>
        <v>-0.000320917073443476-0.000879397434629066i</v>
      </c>
      <c r="Z69" s="2" t="str">
        <f t="shared" si="25"/>
        <v>0.000477033696818418-0.000574949671693071i</v>
      </c>
      <c r="AA69" s="44" t="str">
        <f>IMPRODUCT(COMPLEX(0,$D69),U69,E$2,BASE!E$15^2/10000,1/(2*BASE!$U$3))</f>
        <v>0.382761233261635+0.388061273060187i</v>
      </c>
      <c r="AB69" s="44" t="str">
        <f>IMPRODUCT(COMPLEX(0,$D69),V69,F$2,BASE!F$15^2/10000,1/(2*BASE!$U$3))</f>
        <v>0.243281012686076+0.666654148856866i</v>
      </c>
      <c r="AC69" s="44" t="str">
        <f>IMPRODUCT(COMPLEX(0,$D69),W69,G$2,BASE!G$15^2/10000,1/(2*BASE!$U$3))</f>
        <v>-0.361629998685029+0.435858201223607i</v>
      </c>
      <c r="AD69" s="44">
        <f t="shared" si="6"/>
        <v>0.79227387892755807</v>
      </c>
      <c r="AE69" s="44">
        <f t="shared" si="7"/>
        <v>1.2208846808608202</v>
      </c>
      <c r="AF69" s="44">
        <f t="shared" si="8"/>
        <v>2.2633843981516177</v>
      </c>
      <c r="AG69" s="31">
        <f t="shared" si="9"/>
        <v>88.708393178674285</v>
      </c>
      <c r="AH69" s="31">
        <f t="shared" si="10"/>
        <v>91.000372904329808</v>
      </c>
      <c r="AI69" s="31">
        <f t="shared" si="11"/>
        <v>89.041048153852728</v>
      </c>
      <c r="AJ69" s="2" t="str">
        <f>IMSUM(R69,IMDIV(BASE!K$21^2,FRES!O69))</f>
        <v>8.80518715120346-3.72142420879193i</v>
      </c>
      <c r="AK69" s="2" t="str">
        <f>IMSUM(S69,IMDIV(BASE!L$21^2,FRES!P69))</f>
        <v>13.3106911354752-5.29578571601788i</v>
      </c>
      <c r="AL69" s="2" t="str">
        <f>IMSUM(T69,IMDIV(BASE!M$21^2,FRES!Q69))</f>
        <v>9.14418872666088+4.34761584984358i</v>
      </c>
      <c r="AM69" s="31">
        <f t="shared" si="24"/>
        <v>0.40567270135070821</v>
      </c>
      <c r="AN69" s="31">
        <f t="shared" si="24"/>
        <v>0.52817126553953708</v>
      </c>
      <c r="AO69" s="31">
        <f t="shared" si="24"/>
        <v>0.42151063124159377</v>
      </c>
      <c r="AP69" s="31">
        <f t="shared" si="12"/>
        <v>1.0168321297468321</v>
      </c>
      <c r="AQ69" s="31">
        <f t="shared" si="13"/>
        <v>1.3238788585514218</v>
      </c>
      <c r="AR69" s="31">
        <f t="shared" si="14"/>
        <v>1.0565304282226957</v>
      </c>
      <c r="AS69" s="2">
        <f t="shared" si="15"/>
        <v>112.52188608227821</v>
      </c>
      <c r="AT69" s="2">
        <f t="shared" si="16"/>
        <v>113.88619663808342</v>
      </c>
      <c r="AU69" s="2">
        <f t="shared" si="17"/>
        <v>117.20457630165809</v>
      </c>
      <c r="AV69" s="2">
        <f t="shared" si="18"/>
        <v>112.52188608227821</v>
      </c>
      <c r="AW69" s="2">
        <f t="shared" si="19"/>
        <v>113.88619663808342</v>
      </c>
      <c r="AX69" s="2">
        <f t="shared" si="20"/>
        <v>117.20457630165809</v>
      </c>
      <c r="AY69">
        <f t="shared" si="21"/>
        <v>9.5593053570592215</v>
      </c>
      <c r="AZ69">
        <f t="shared" si="22"/>
        <v>14.325496321384367</v>
      </c>
      <c r="BA69">
        <f t="shared" si="23"/>
        <v>10.125114865847353</v>
      </c>
    </row>
    <row r="70" spans="1:53" x14ac:dyDescent="0.2">
      <c r="A70" s="2">
        <v>66</v>
      </c>
      <c r="B70" s="42">
        <f t="shared" si="27"/>
        <v>42275935194.066025</v>
      </c>
      <c r="C70" s="1">
        <v>92.428215749781856</v>
      </c>
      <c r="D70" s="2">
        <f t="shared" si="30"/>
        <v>580.74360716785418</v>
      </c>
      <c r="E70" s="2"/>
      <c r="F70" s="2">
        <f>$D70*BASE!E$15/100/E$3</f>
        <v>0.10635711410341517</v>
      </c>
      <c r="G70" s="2">
        <f>$D70*BASE!F$15/100/F$3</f>
        <v>0.10635711410341517</v>
      </c>
      <c r="H70" s="2">
        <f>$D70*BASE!G$15/100/G$3</f>
        <v>0.10635711410341517</v>
      </c>
      <c r="I70" s="2">
        <f>(1-BESSELJ(2*F70,1)/F70)*BASE!K$13*E$2*E$3</f>
        <v>2.9057280541467698E-2</v>
      </c>
      <c r="J70" s="2">
        <f>(1-BESSELJ(2*G70,1)/G70)*BASE!L$13*F$2*F$3</f>
        <v>2.9057280541467698E-2</v>
      </c>
      <c r="K70" s="2">
        <f>(1-BESSELJ(2*H70,1)/H70)*BASE!M$13*G$2*G$3</f>
        <v>2.9057280541467698E-2</v>
      </c>
      <c r="L70" s="2" t="str">
        <f>IMPRODUCT(COMPLEX(1-BESSELJ(2*F70,1)/F70,(STRUVE(2*F70)/(2*F70^2))),PI()*(BASE!E$15/100)^2*E$2*E$3)</f>
        <v>0.0290572805414677+0.463282331296937i</v>
      </c>
      <c r="M70" s="2" t="str">
        <f>IMPRODUCT(COMPLEX(1-BESSELJ(2*G70,1)/G70,(STRUVE(2*G70)/(2*G70^2))),PI()*(BASE!F$15/100)^2*F$2*F$3)</f>
        <v>0.0290572805414677+0.463282331296937i</v>
      </c>
      <c r="N70" s="2" t="str">
        <f>IMPRODUCT(COMPLEX(1-BESSELJ(2*H70,1)/H70,(STRUVE(2*H70)/(2*H70^2))),PI()*(BASE!G$15/100)^2*G$2*G$3)</f>
        <v>0.0290572805414677+0.463282331296937i</v>
      </c>
      <c r="O70" s="2" t="str">
        <f>IMSUM(IMPRODUCT(IF($O$3=1,L70,COMPLEX(I70,$D70*BASE!K$15)),2),COMPLEX(BASE!E$36,$D70*BASE!K$14-BASE!K$10/$D70))</f>
        <v>0.858114561082935+2.20126748794011i</v>
      </c>
      <c r="P70" s="2" t="str">
        <f>IMSUM(IMPRODUCT(IF($O$3=1,M70,COMPLEX(J70,$D70*BASE!L$15)),2),COMPLEX(BASE!F$36,$D70*BASE!L$14-BASE!L$10/$D70))</f>
        <v>0.858114561082935+0.935648734796333i</v>
      </c>
      <c r="Q70" s="2" t="str">
        <f>IMSUM(IMPRODUCT(IF($O$3=1,N70,COMPLEX(K70,$D70*BASE!M$15)),2),COMPLEX(BASE!G$36,$D70*BASE!M$14-BASE!M$10/$D70))</f>
        <v>0.858114561082935-1.59558877149123i</v>
      </c>
      <c r="R70" s="2" t="str">
        <f>COMPLEX(BASE!E$19,FRES!$D70*BASE!K$36)</f>
        <v>7.2+0.16168113402955i</v>
      </c>
      <c r="S70" s="2" t="str">
        <f>COMPLEX(BASE!F$19,FRES!$D70*BASE!L$36)</f>
        <v>7.2+0.16168113402955i</v>
      </c>
      <c r="T70" s="2" t="str">
        <f>COMPLEX(BASE!G$19,FRES!$D70*BASE!M$36)</f>
        <v>7.2+0.16168113402955i</v>
      </c>
      <c r="U70" s="2" t="str">
        <f>IMDIV(BASE!K$21*BASE!E$38,IMPRODUCT(FRES!R70,IMSUM(FRES!O70,IMDIV(BASE!K$21^2,FRES!R70))))</f>
        <v>0.27076971431744-0.284693820416548i</v>
      </c>
      <c r="V70" s="2" t="str">
        <f>IMDIV(BASE!L$21*BASE!F$38,IMPRODUCT(FRES!S70,IMSUM(FRES!P70,IMDIV(BASE!L$21^2,FRES!S70))))</f>
        <v>0.469149543839091-0.209311023111028i</v>
      </c>
      <c r="W70" s="2" t="str">
        <f>IMDIV(BASE!M$21*BASE!G$38,IMPRODUCT(FRES!T70,IMSUM(FRES!Q70,IMDIV(BASE!M$21^2,FRES!T70))))</f>
        <v>0.361776036475179+0.259546750101115i</v>
      </c>
      <c r="X70" s="2" t="str">
        <f t="shared" si="31"/>
        <v>-0.00049022290887528-0.000466246569011613i</v>
      </c>
      <c r="Y70" s="2" t="str">
        <f t="shared" si="25"/>
        <v>-0.000360418987876229-0.000807842803689256i</v>
      </c>
      <c r="Z70" s="2" t="str">
        <f t="shared" si="25"/>
        <v>0.000446921407136725-0.000622953110477571i</v>
      </c>
      <c r="AA70" s="44" t="str">
        <f>IMPRODUCT(COMPLEX(0,$D70),U70,E$2,BASE!E$15^2/10000,1/(2*BASE!$U$3))</f>
        <v>0.393726664335596+0.374469864731602i</v>
      </c>
      <c r="AB70" s="44" t="str">
        <f>IMPRODUCT(COMPLEX(0,$D70),V70,F$2,BASE!F$15^2/10000,1/(2*BASE!$U$3))</f>
        <v>0.289473550277966+0.648825762006582i</v>
      </c>
      <c r="AC70" s="44" t="str">
        <f>IMPRODUCT(COMPLEX(0,$D70),W70,G$2,BASE!G$15^2/10000,1/(2*BASE!$U$3))</f>
        <v>-0.358948697962383+0.500330045343146i</v>
      </c>
      <c r="AD70" s="44">
        <f t="shared" ref="AD70:AD133" si="32">IMARGUMENT(AA70)</f>
        <v>0.76033586897757655</v>
      </c>
      <c r="AE70" s="44">
        <f t="shared" ref="AE70:AE133" si="33">IMARGUMENT(AB70)</f>
        <v>1.15114875387002</v>
      </c>
      <c r="AF70" s="44">
        <f t="shared" ref="AF70:AF133" si="34">IMARGUMENT(AC70)</f>
        <v>2.1931206724354064</v>
      </c>
      <c r="AG70" s="31">
        <f t="shared" ref="AG70:AG133" si="35">20*LOG10(IMABS(AA70)/0.00002)</f>
        <v>88.681275111452322</v>
      </c>
      <c r="AH70" s="31">
        <f t="shared" ref="AH70:AH133" si="36">20*LOG10(IMABS(AB70)/0.00002)</f>
        <v>91.010333771215898</v>
      </c>
      <c r="AI70" s="31">
        <f t="shared" ref="AI70:AI133" si="37">20*LOG10(IMABS(AC70)/0.00002)</f>
        <v>89.767789275989401</v>
      </c>
      <c r="AJ70" s="2" t="str">
        <f>IMSUM(R70,IMDIV(BASE!K$21^2,FRES!O70))</f>
        <v>8.64251428786485-3.53871033673012i</v>
      </c>
      <c r="AK70" s="2" t="str">
        <f>IMSUM(S70,IMDIV(BASE!L$21^2,FRES!P70))</f>
        <v>12.1956763896152-5.28537512789495i</v>
      </c>
      <c r="AL70" s="2" t="str">
        <f>IMSUM(T70,IMDIV(BASE!M$21^2,FRES!Q70))</f>
        <v>9.65319287833791+4.72317815144225i</v>
      </c>
      <c r="AM70" s="31">
        <f t="shared" si="24"/>
        <v>0.39289541811392731</v>
      </c>
      <c r="AN70" s="31">
        <f t="shared" si="24"/>
        <v>0.51372404934966054</v>
      </c>
      <c r="AO70" s="31">
        <f t="shared" si="24"/>
        <v>0.44524871258178916</v>
      </c>
      <c r="AP70" s="31">
        <f t="shared" ref="AP70:AP133" si="38">IMABS(X70)*SQRT(2)*1000</f>
        <v>0.95676994465884213</v>
      </c>
      <c r="AQ70" s="31">
        <f t="shared" ref="AQ70:AQ133" si="39">IMABS(Y70)*SQRT(2)*1000</f>
        <v>1.2510090665492744</v>
      </c>
      <c r="AR70" s="31">
        <f t="shared" ref="AR70:AR133" si="40">IMABS(Z70)*SQRT(2)*1000</f>
        <v>1.0842594910912713</v>
      </c>
      <c r="AS70" s="2">
        <f t="shared" ref="AS70:AS133" si="41">$AS$2+AD70/PI()*10</f>
        <v>112.42022423915706</v>
      </c>
      <c r="AT70" s="2">
        <f t="shared" ref="AT70:AT133" si="42">$AS$2+AE70/PI()*10</f>
        <v>113.66422028824978</v>
      </c>
      <c r="AU70" s="2">
        <f t="shared" ref="AU70:AU133" si="43">$AS$2+AF70/PI()*10</f>
        <v>116.98091991630233</v>
      </c>
      <c r="AV70" s="2">
        <f t="shared" ref="AV70:AV133" si="44">IF(OR($AG$166&gt;$AV$2-4,$AH$166&gt;$AV$2-4,$AI$166&gt;$AV$2-4),"",$AV$2+AD70/PI()*10)</f>
        <v>112.42022423915706</v>
      </c>
      <c r="AW70" s="2">
        <f t="shared" ref="AW70:AW133" si="45">IF(OR($AG$166&gt;$AV$2-4,$AH$166&gt;$AV$2-4,$AI$166&gt;$AV$2-4),"",$AV$2+AE70/PI()*10)</f>
        <v>113.66422028824978</v>
      </c>
      <c r="AX70" s="2">
        <f t="shared" ref="AX70:AX133" si="46">IF(OR($AG$166&gt;$AV$2-4,$AH$166&gt;$AV$2-4,$AI$166&gt;$AV$2-4),"",$AV$2+AF70/PI()*10)</f>
        <v>116.98091991630233</v>
      </c>
      <c r="AY70">
        <f t="shared" ref="AY70:AY133" si="47">IMABS(AJ70)</f>
        <v>9.3389252092105703</v>
      </c>
      <c r="AZ70">
        <f t="shared" ref="AZ70:AZ133" si="48">IMABS(AK70)</f>
        <v>13.291715948017705</v>
      </c>
      <c r="BA70">
        <f t="shared" ref="BA70:BA133" si="49">IMABS(AL70)</f>
        <v>10.746745767750122</v>
      </c>
    </row>
    <row r="71" spans="1:53" x14ac:dyDescent="0.2">
      <c r="A71" s="2">
        <v>67</v>
      </c>
      <c r="B71" s="42">
        <f t="shared" si="27"/>
        <v>67108864000</v>
      </c>
      <c r="C71" s="1">
        <v>95.136569200217679</v>
      </c>
      <c r="D71" s="2">
        <f t="shared" si="30"/>
        <v>597.76069377428166</v>
      </c>
      <c r="E71" s="2"/>
      <c r="F71" s="2">
        <f>$D71*BASE!E$15/100/E$3</f>
        <v>0.10947361542959227</v>
      </c>
      <c r="G71" s="2">
        <f>$D71*BASE!F$15/100/F$3</f>
        <v>0.10947361542959227</v>
      </c>
      <c r="H71" s="2">
        <f>$D71*BASE!G$15/100/G$3</f>
        <v>0.10947361542959227</v>
      </c>
      <c r="I71" s="2">
        <f>(1-BESSELJ(2*F71,1)/F71)*BASE!K$13*E$2*E$3</f>
        <v>3.0781665396240439E-2</v>
      </c>
      <c r="J71" s="2">
        <f>(1-BESSELJ(2*G71,1)/G71)*BASE!L$13*F$2*F$3</f>
        <v>3.0781665396240439E-2</v>
      </c>
      <c r="K71" s="2">
        <f>(1-BESSELJ(2*H71,1)/H71)*BASE!M$13*G$2*G$3</f>
        <v>3.0781665396240439E-2</v>
      </c>
      <c r="L71" s="2" t="str">
        <f>IMPRODUCT(COMPLEX(1-BESSELJ(2*F71,1)/F71,(STRUVE(2*F71)/(2*F71^2))),PI()*(BASE!E$15/100)^2*E$2*E$3)</f>
        <v>0.0307816653962404+0.476771975665076i</v>
      </c>
      <c r="M71" s="2" t="str">
        <f>IMPRODUCT(COMPLEX(1-BESSELJ(2*G71,1)/G71,(STRUVE(2*G71)/(2*G71^2))),PI()*(BASE!F$15/100)^2*F$2*F$3)</f>
        <v>0.0307816653962404+0.476771975665076i</v>
      </c>
      <c r="N71" s="2" t="str">
        <f>IMPRODUCT(COMPLEX(1-BESSELJ(2*H71,1)/H71,(STRUVE(2*H71)/(2*H71^2))),PI()*(BASE!G$15/100)^2*G$2*G$3)</f>
        <v>0.0307816653962404+0.476771975665076i</v>
      </c>
      <c r="O71" s="2" t="str">
        <f>IMSUM(IMPRODUCT(IF($O$3=1,L71,COMPLEX(I71,$D71*BASE!K$15)),2),COMPLEX(BASE!E$36,$D71*BASE!K$14-BASE!K$10/$D71))</f>
        <v>0.861563330792481+2.33883545581637i</v>
      </c>
      <c r="P71" s="2" t="str">
        <f>IMSUM(IMPRODUCT(IF($O$3=1,M71,COMPLEX(J71,$D71*BASE!L$15)),2),COMPLEX(BASE!F$36,$D71*BASE!L$14-BASE!L$10/$D71))</f>
        <v>0.861563330792481+1.10924641181418i</v>
      </c>
      <c r="Q71" s="2" t="str">
        <f>IMSUM(IMPRODUCT(IF($O$3=1,N71,COMPLEX(K71,$D71*BASE!M$15)),2),COMPLEX(BASE!G$36,$D71*BASE!M$14-BASE!M$10/$D71))</f>
        <v>0.861563330792481-1.34993167619018i</v>
      </c>
      <c r="R71" s="2" t="str">
        <f>COMPLEX(BASE!E$19,FRES!$D71*BASE!K$36)</f>
        <v>7.2+0.166418752879672i</v>
      </c>
      <c r="S71" s="2" t="str">
        <f>COMPLEX(BASE!F$19,FRES!$D71*BASE!L$36)</f>
        <v>7.2+0.166418752879672i</v>
      </c>
      <c r="T71" s="2" t="str">
        <f>COMPLEX(BASE!G$19,FRES!$D71*BASE!M$36)</f>
        <v>7.2+0.166418752879672i</v>
      </c>
      <c r="U71" s="2" t="str">
        <f>IMDIV(BASE!K$21*BASE!E$38,IMPRODUCT(FRES!R71,IMSUM(FRES!O71,IMDIV(BASE!K$21^2,FRES!R71))))</f>
        <v>0.253657648209527-0.283460325837292i</v>
      </c>
      <c r="V71" s="2" t="str">
        <f>IMDIV(BASE!L$21*BASE!F$38,IMPRODUCT(FRES!S71,IMSUM(FRES!P71,IMDIV(BASE!L$21^2,FRES!S71))))</f>
        <v>0.440194772374189-0.232356298671806i</v>
      </c>
      <c r="W71" s="2" t="str">
        <f>IMDIV(BASE!M$21*BASE!G$38,IMPRODUCT(FRES!T71,IMSUM(FRES!Q71,IMDIV(BASE!M$21^2,FRES!T71))))</f>
        <v>0.401134194487236+0.242947218642313i</v>
      </c>
      <c r="X71" s="2" t="str">
        <f t="shared" si="31"/>
        <v>-0.000474203688515405-0.000424346483218767i</v>
      </c>
      <c r="Y71" s="2" t="str">
        <f t="shared" si="25"/>
        <v>-0.000388711236941158-0.000736406352841275i</v>
      </c>
      <c r="Z71" s="2" t="str">
        <f t="shared" si="25"/>
        <v>0.000406428895664477-0.000671061511178429i</v>
      </c>
      <c r="AA71" s="44" t="str">
        <f>IMPRODUCT(COMPLEX(0,$D71),U71,E$2,BASE!E$15^2/10000,1/(2*BASE!$U$3))</f>
        <v>0.403507847668803+0.361083518024698i</v>
      </c>
      <c r="AB71" s="44" t="str">
        <f>IMPRODUCT(COMPLEX(0,$D71),V71,F$2,BASE!F$15^2/10000,1/(2*BASE!$U$3))</f>
        <v>0.330760891113797+0.626620479007436i</v>
      </c>
      <c r="AC71" s="44" t="str">
        <f>IMPRODUCT(COMPLEX(0,$D71),W71,G$2,BASE!G$15^2/10000,1/(2*BASE!$U$3))</f>
        <v>-0.345837143176616+0.571017460612152i</v>
      </c>
      <c r="AD71" s="44">
        <f t="shared" si="32"/>
        <v>0.72996872206616503</v>
      </c>
      <c r="AE71" s="44">
        <f t="shared" si="33"/>
        <v>1.0851186570874585</v>
      </c>
      <c r="AF71" s="44">
        <f t="shared" si="34"/>
        <v>2.1153604211470132</v>
      </c>
      <c r="AG71" s="31">
        <f t="shared" si="35"/>
        <v>88.651038118834663</v>
      </c>
      <c r="AH71" s="31">
        <f t="shared" si="36"/>
        <v>90.986921632166087</v>
      </c>
      <c r="AI71" s="31">
        <f t="shared" si="37"/>
        <v>90.469478256241786</v>
      </c>
      <c r="AJ71" s="2" t="str">
        <f>IMSUM(R71,IMDIV(BASE!K$21^2,FRES!O71))</f>
        <v>8.50132197382013-3.36620370565036i</v>
      </c>
      <c r="AK71" s="2" t="str">
        <f>IMSUM(S71,IMDIV(BASE!L$21^2,FRES!P71))</f>
        <v>11.2980941784927-5.10979960542517i</v>
      </c>
      <c r="AL71" s="2" t="str">
        <f>IMSUM(T71,IMDIV(BASE!M$21^2,FRES!Q71))</f>
        <v>10.3522913461163+5.10555414619829i</v>
      </c>
      <c r="AM71" s="31">
        <f t="shared" ref="AM71:AO134" si="50">IMABS(U71)</f>
        <v>0.38038396235773653</v>
      </c>
      <c r="AN71" s="31">
        <f t="shared" si="50"/>
        <v>0.49775585095308084</v>
      </c>
      <c r="AO71" s="31">
        <f t="shared" si="50"/>
        <v>0.46896907470851368</v>
      </c>
      <c r="AP71" s="31">
        <f t="shared" si="38"/>
        <v>0.89993230414487357</v>
      </c>
      <c r="AQ71" s="31">
        <f t="shared" si="39"/>
        <v>1.177616866582093</v>
      </c>
      <c r="AR71" s="31">
        <f t="shared" si="40"/>
        <v>1.1095116033788228</v>
      </c>
      <c r="AS71" s="2">
        <f t="shared" si="41"/>
        <v>112.32356260838608</v>
      </c>
      <c r="AT71" s="2">
        <f t="shared" si="42"/>
        <v>113.45403996233416</v>
      </c>
      <c r="AU71" s="2">
        <f t="shared" si="43"/>
        <v>116.73340134893002</v>
      </c>
      <c r="AV71" s="2">
        <f t="shared" si="44"/>
        <v>112.32356260838608</v>
      </c>
      <c r="AW71" s="2">
        <f t="shared" si="45"/>
        <v>113.45403996233416</v>
      </c>
      <c r="AX71" s="2">
        <f t="shared" si="46"/>
        <v>116.73340134893002</v>
      </c>
      <c r="AY71">
        <f t="shared" si="47"/>
        <v>9.1435115076479878</v>
      </c>
      <c r="AZ71">
        <f t="shared" si="48"/>
        <v>12.399878389471965</v>
      </c>
      <c r="BA71">
        <f t="shared" si="49"/>
        <v>11.542816781645499</v>
      </c>
    </row>
    <row r="72" spans="1:53" x14ac:dyDescent="0.2">
      <c r="A72" s="2">
        <v>68</v>
      </c>
      <c r="B72" s="42">
        <f t="shared" si="27"/>
        <v>106528681309.99083</v>
      </c>
      <c r="C72" s="1">
        <v>97.924283464372408</v>
      </c>
      <c r="D72" s="2">
        <f t="shared" si="30"/>
        <v>615.27641907943359</v>
      </c>
      <c r="E72" s="2"/>
      <c r="F72" s="2">
        <f>$D72*BASE!E$15/100/E$3</f>
        <v>0.11268143721512883</v>
      </c>
      <c r="G72" s="2">
        <f>$D72*BASE!F$15/100/F$3</f>
        <v>0.11268143721512883</v>
      </c>
      <c r="H72" s="2">
        <f>$D72*BASE!G$15/100/G$3</f>
        <v>0.11268143721512883</v>
      </c>
      <c r="I72" s="2">
        <f>(1-BESSELJ(2*F72,1)/F72)*BASE!K$13*E$2*E$3</f>
        <v>3.2608165340262785E-2</v>
      </c>
      <c r="J72" s="2">
        <f>(1-BESSELJ(2*G72,1)/G72)*BASE!L$13*F$2*F$3</f>
        <v>3.2608165340262785E-2</v>
      </c>
      <c r="K72" s="2">
        <f>(1-BESSELJ(2*H72,1)/H72)*BASE!M$13*G$2*G$3</f>
        <v>3.2608165340262785E-2</v>
      </c>
      <c r="L72" s="2" t="str">
        <f>IMPRODUCT(COMPLEX(1-BESSELJ(2*F72,1)/F72,(STRUVE(2*F72)/(2*F72^2))),PI()*(BASE!E$15/100)^2*E$2*E$3)</f>
        <v>0.0326081653402628+0.490649167346595i</v>
      </c>
      <c r="M72" s="2" t="str">
        <f>IMPRODUCT(COMPLEX(1-BESSELJ(2*G72,1)/G72,(STRUVE(2*G72)/(2*G72^2))),PI()*(BASE!F$15/100)^2*F$2*F$3)</f>
        <v>0.0326081653402628+0.490649167346595i</v>
      </c>
      <c r="N72" s="2" t="str">
        <f>IMPRODUCT(COMPLEX(1-BESSELJ(2*H72,1)/H72,(STRUVE(2*H72)/(2*H72^2))),PI()*(BASE!G$15/100)^2*G$2*G$3)</f>
        <v>0.0326081653402628+0.490649167346595i</v>
      </c>
      <c r="O72" s="2" t="str">
        <f>IMSUM(IMPRODUCT(IF($O$3=1,L72,COMPLEX(I72,$D72*BASE!K$15)),2),COMPLEX(BASE!E$36,$D72*BASE!K$14-BASE!K$10/$D72))</f>
        <v>0.865216330680526+2.47835442830092i</v>
      </c>
      <c r="P72" s="2" t="str">
        <f>IMSUM(IMPRODUCT(IF($O$3=1,M72,COMPLEX(J72,$D72*BASE!L$15)),2),COMPLEX(BASE!F$36,$D72*BASE!L$14-BASE!L$10/$D72))</f>
        <v>0.865216330680526+1.28376939756028i</v>
      </c>
      <c r="Q72" s="2" t="str">
        <f>IMSUM(IMPRODUCT(IF($O$3=1,N72,COMPLEX(K72,$D72*BASE!M$15)),2),COMPLEX(BASE!G$36,$D72*BASE!M$14-BASE!M$10/$D72))</f>
        <v>0.865216330680526-1.10540066392102i</v>
      </c>
      <c r="R72" s="2" t="str">
        <f>COMPLEX(BASE!E$19,FRES!$D72*BASE!K$36)</f>
        <v>7.2+0.171295194558467i</v>
      </c>
      <c r="S72" s="2" t="str">
        <f>COMPLEX(BASE!F$19,FRES!$D72*BASE!L$36)</f>
        <v>7.2+0.171295194558467i</v>
      </c>
      <c r="T72" s="2" t="str">
        <f>COMPLEX(BASE!G$19,FRES!$D72*BASE!M$36)</f>
        <v>7.2+0.171295194558467i</v>
      </c>
      <c r="U72" s="2" t="str">
        <f>IMDIV(BASE!K$21*BASE!E$38,IMPRODUCT(FRES!R72,IMSUM(FRES!O72,IMDIV(BASE!K$21^2,FRES!R72))))</f>
        <v>0.237490113835432-0.281333218364185i</v>
      </c>
      <c r="V72" s="2" t="str">
        <f>IMDIV(BASE!L$21*BASE!F$38,IMPRODUCT(FRES!S72,IMSUM(FRES!P72,IMDIV(BASE!L$21^2,FRES!S72))))</f>
        <v>0.410408351446479-0.25039142764517i</v>
      </c>
      <c r="W72" s="2" t="str">
        <f>IMDIV(BASE!M$21*BASE!G$38,IMPRODUCT(FRES!T72,IMSUM(FRES!Q72,IMDIV(BASE!M$21^2,FRES!T72))))</f>
        <v>0.440877938918084+0.217914800366257i</v>
      </c>
      <c r="X72" s="2" t="str">
        <f t="shared" si="31"/>
        <v>-0.000457246872527816-0.000385989299233604i</v>
      </c>
      <c r="Y72" s="2" t="str">
        <f t="shared" si="25"/>
        <v>-0.000406957620803673-0.000667030847794435i</v>
      </c>
      <c r="Z72" s="2" t="str">
        <f t="shared" si="25"/>
        <v>0.000354173821080771-0.000716552634306574i</v>
      </c>
      <c r="AA72" s="44" t="str">
        <f>IMPRODUCT(COMPLEX(0,$D72),U72,E$2,BASE!E$15^2/10000,1/(2*BASE!$U$3))</f>
        <v>0.412214851261664+0.347975089895218i</v>
      </c>
      <c r="AB72" s="44" t="str">
        <f>IMPRODUCT(COMPLEX(0,$D72),V72,F$2,BASE!F$15^2/10000,1/(2*BASE!$U$3))</f>
        <v>0.366878343425261+0.601338222808288i</v>
      </c>
      <c r="AC72" s="44" t="str">
        <f>IMPRODUCT(COMPLEX(0,$D72),W72,G$2,BASE!G$15^2/10000,1/(2*BASE!$U$3))</f>
        <v>-0.319292963493597+0.645982849349876i</v>
      </c>
      <c r="AD72" s="44">
        <f t="shared" si="32"/>
        <v>0.70109357568784603</v>
      </c>
      <c r="AE72" s="44">
        <f t="shared" si="33"/>
        <v>1.0229811404268383</v>
      </c>
      <c r="AF72" s="44">
        <f t="shared" si="34"/>
        <v>2.0298531952938572</v>
      </c>
      <c r="AG72" s="31">
        <f t="shared" si="35"/>
        <v>88.618445589727656</v>
      </c>
      <c r="AH72" s="31">
        <f t="shared" si="36"/>
        <v>90.936032252856961</v>
      </c>
      <c r="AI72" s="31">
        <f t="shared" si="37"/>
        <v>91.133096873859699</v>
      </c>
      <c r="AJ72" s="2" t="str">
        <f>IMSUM(R72,IMDIV(BASE!K$21^2,FRES!O72))</f>
        <v>8.37818229978569-3.20352936258202i</v>
      </c>
      <c r="AK72" s="2" t="str">
        <f>IMSUM(S72,IMDIV(BASE!L$21^2,FRES!P72))</f>
        <v>10.5874871543367-4.85490714254435i</v>
      </c>
      <c r="AL72" s="2" t="str">
        <f>IMSUM(T72,IMDIV(BASE!M$21^2,FRES!Q72))</f>
        <v>11.3200836264636+5.4351153683187i</v>
      </c>
      <c r="AM72" s="31">
        <f t="shared" si="50"/>
        <v>0.36817106611562594</v>
      </c>
      <c r="AN72" s="31">
        <f t="shared" si="50"/>
        <v>0.48076073256371826</v>
      </c>
      <c r="AO72" s="31">
        <f t="shared" si="50"/>
        <v>0.4917928600979517</v>
      </c>
      <c r="AP72" s="31">
        <f t="shared" si="38"/>
        <v>0.84624162218519783</v>
      </c>
      <c r="AQ72" s="31">
        <f t="shared" si="39"/>
        <v>1.1050291010100584</v>
      </c>
      <c r="AR72" s="31">
        <f t="shared" si="40"/>
        <v>1.1303864589339743</v>
      </c>
      <c r="AS72" s="2">
        <f t="shared" si="41"/>
        <v>112.23165016281385</v>
      </c>
      <c r="AT72" s="2">
        <f t="shared" si="42"/>
        <v>113.25625010377431</v>
      </c>
      <c r="AU72" s="2">
        <f t="shared" si="43"/>
        <v>116.46122339563792</v>
      </c>
      <c r="AV72" s="2">
        <f t="shared" si="44"/>
        <v>112.23165016281385</v>
      </c>
      <c r="AW72" s="2">
        <f t="shared" si="45"/>
        <v>113.25625010377431</v>
      </c>
      <c r="AX72" s="2">
        <f t="shared" si="46"/>
        <v>116.46122339563792</v>
      </c>
      <c r="AY72">
        <f t="shared" si="47"/>
        <v>8.9697569100487549</v>
      </c>
      <c r="AZ72">
        <f t="shared" si="48"/>
        <v>11.64753225391425</v>
      </c>
      <c r="BA72">
        <f t="shared" si="49"/>
        <v>12.557259747933202</v>
      </c>
    </row>
    <row r="73" spans="1:53" x14ac:dyDescent="0.2">
      <c r="A73" s="2">
        <v>69</v>
      </c>
      <c r="B73" s="42">
        <f t="shared" si="27"/>
        <v>169103740776.26413</v>
      </c>
      <c r="C73" s="1">
        <v>100.79368399158987</v>
      </c>
      <c r="D73" s="2">
        <f t="shared" si="30"/>
        <v>633.30539431245973</v>
      </c>
      <c r="E73" s="2"/>
      <c r="F73" s="2">
        <f>$D73*BASE!E$15/100/E$3</f>
        <v>0.11598325535373535</v>
      </c>
      <c r="G73" s="2">
        <f>$D73*BASE!F$15/100/F$3</f>
        <v>0.11598325535373535</v>
      </c>
      <c r="H73" s="2">
        <f>$D73*BASE!G$15/100/G$3</f>
        <v>0.11598325535373535</v>
      </c>
      <c r="I73" s="2">
        <f>(1-BESSELJ(2*F73,1)/F73)*BASE!K$13*E$2*E$3</f>
        <v>3.4542800837468302E-2</v>
      </c>
      <c r="J73" s="2">
        <f>(1-BESSELJ(2*G73,1)/G73)*BASE!L$13*F$2*F$3</f>
        <v>3.4542800837468302E-2</v>
      </c>
      <c r="K73" s="2">
        <f>(1-BESSELJ(2*H73,1)/H73)*BASE!M$13*G$2*G$3</f>
        <v>3.4542800837468302E-2</v>
      </c>
      <c r="L73" s="2" t="str">
        <f>IMPRODUCT(COMPLEX(1-BESSELJ(2*F73,1)/F73,(STRUVE(2*F73)/(2*F73^2))),PI()*(BASE!E$15/100)^2*E$2*E$3)</f>
        <v>0.0345428008374683+0.504924565064118i</v>
      </c>
      <c r="M73" s="2" t="str">
        <f>IMPRODUCT(COMPLEX(1-BESSELJ(2*G73,1)/G73,(STRUVE(2*G73)/(2*G73^2))),PI()*(BASE!F$15/100)^2*F$2*F$3)</f>
        <v>0.0345428008374683+0.504924565064118i</v>
      </c>
      <c r="N73" s="2" t="str">
        <f>IMPRODUCT(COMPLEX(1-BESSELJ(2*H73,1)/H73,(STRUVE(2*H73)/(2*H73^2))),PI()*(BASE!G$15/100)^2*G$2*G$3)</f>
        <v>0.0345428008374683+0.504924565064118i</v>
      </c>
      <c r="O73" s="2" t="str">
        <f>IMSUM(IMPRODUCT(IF($O$3=1,L73,COMPLEX(I73,$D73*BASE!K$15)),2),COMPLEX(BASE!E$36,$D73*BASE!K$14-BASE!K$10/$D73))</f>
        <v>0.869085601674937+2.61994078902291i</v>
      </c>
      <c r="P73" s="2" t="str">
        <f>IMSUM(IMPRODUCT(IF($O$3=1,M73,COMPLEX(J73,$D73*BASE!L$15)),2),COMPLEX(BASE!F$36,$D73*BASE!L$14-BASE!L$10/$D73))</f>
        <v>0.869085601674937+1.45936327523441i</v>
      </c>
      <c r="Q73" s="2" t="str">
        <f>IMSUM(IMPRODUCT(IF($O$3=1,N73,COMPLEX(K73,$D73*BASE!M$15)),2),COMPLEX(BASE!G$36,$D73*BASE!M$14-BASE!M$10/$D73))</f>
        <v>0.869085601674937-0.86179175234259i</v>
      </c>
      <c r="R73" s="2" t="str">
        <f>COMPLEX(BASE!E$19,FRES!$D73*BASE!K$36)</f>
        <v>7.2+0.176314526885313i</v>
      </c>
      <c r="S73" s="2" t="str">
        <f>COMPLEX(BASE!F$19,FRES!$D73*BASE!L$36)</f>
        <v>7.2+0.176314526885313i</v>
      </c>
      <c r="T73" s="2" t="str">
        <f>COMPLEX(BASE!G$19,FRES!$D73*BASE!M$36)</f>
        <v>7.2+0.176314526885313i</v>
      </c>
      <c r="U73" s="2" t="str">
        <f>IMDIV(BASE!K$21*BASE!E$38,IMPRODUCT(FRES!R73,IMSUM(FRES!O73,IMDIV(BASE!K$21^2,FRES!R73))))</f>
        <v>0.222257814064413-0.278454977098968i</v>
      </c>
      <c r="V73" s="2" t="str">
        <f>IMDIV(BASE!L$21*BASE!F$38,IMPRODUCT(FRES!S73,IMSUM(FRES!P73,IMDIV(BASE!L$21^2,FRES!S73))))</f>
        <v>0.380697084843882-0.263820114711823i</v>
      </c>
      <c r="W73" s="2" t="str">
        <f>IMDIV(BASE!M$21*BASE!G$38,IMPRODUCT(FRES!T73,IMSUM(FRES!Q73,IMDIV(BASE!M$21^2,FRES!T73))))</f>
        <v>0.478637719397232+0.183410453466617i</v>
      </c>
      <c r="X73" s="2" t="str">
        <f t="shared" si="31"/>
        <v>-0.00043968514969191-0.000350948872472031i</v>
      </c>
      <c r="Y73" s="2" t="str">
        <f t="shared" si="25"/>
        <v>-0.000416576452815842-0.000601127178550533i</v>
      </c>
      <c r="Z73" s="2" t="str">
        <f t="shared" si="25"/>
        <v>0.000289608228689942-0.000755777108004676i</v>
      </c>
      <c r="AA73" s="44" t="str">
        <f>IMPRODUCT(COMPLEX(0,$D73),U73,E$2,BASE!E$15^2/10000,1/(2*BASE!$U$3))</f>
        <v>0.419952838841129+0.335198892630316i</v>
      </c>
      <c r="AB73" s="44" t="str">
        <f>IMPRODUCT(COMPLEX(0,$D73),V73,F$2,BASE!F$15^2/10000,1/(2*BASE!$U$3))</f>
        <v>0.397881220407293+0.574149628009371i</v>
      </c>
      <c r="AC73" s="44" t="str">
        <f>IMPRODUCT(COMPLEX(0,$D73),W73,G$2,BASE!G$15^2/10000,1/(2*BASE!$U$3))</f>
        <v>-0.276611111099188+0.721859135474782i</v>
      </c>
      <c r="AD73" s="44">
        <f t="shared" si="32"/>
        <v>0.67363156150992043</v>
      </c>
      <c r="AE73" s="44">
        <f t="shared" si="33"/>
        <v>0.96478907648658363</v>
      </c>
      <c r="AF73" s="44">
        <f t="shared" si="34"/>
        <v>1.9367301728642787</v>
      </c>
      <c r="AG73" s="31">
        <f t="shared" si="35"/>
        <v>88.584148988922635</v>
      </c>
      <c r="AH73" s="31">
        <f t="shared" si="36"/>
        <v>90.863217934414735</v>
      </c>
      <c r="AI73" s="31">
        <f t="shared" si="37"/>
        <v>91.743464683569456</v>
      </c>
      <c r="AJ73" s="2" t="str">
        <f>IMSUM(R73,IMDIV(BASE!K$21^2,FRES!O73))</f>
        <v>8.27029071729558-3.0501781234947i</v>
      </c>
      <c r="AK73" s="2" t="str">
        <f>IMSUM(S73,IMDIV(BASE!L$21^2,FRES!P73))</f>
        <v>10.026630348648-4.5701460237553i</v>
      </c>
      <c r="AL73" s="2" t="str">
        <f>IMSUM(T73,IMDIV(BASE!M$21^2,FRES!Q73))</f>
        <v>12.6439257988027+5.57455187511835i</v>
      </c>
      <c r="AM73" s="31">
        <f t="shared" si="50"/>
        <v>0.35628038141873314</v>
      </c>
      <c r="AN73" s="31">
        <f t="shared" si="50"/>
        <v>0.4631752620069311</v>
      </c>
      <c r="AO73" s="31">
        <f t="shared" si="50"/>
        <v>0.51257532214359824</v>
      </c>
      <c r="AP73" s="31">
        <f t="shared" si="38"/>
        <v>0.79559806680130551</v>
      </c>
      <c r="AQ73" s="31">
        <f t="shared" si="39"/>
        <v>1.0343015284072181</v>
      </c>
      <c r="AR73" s="31">
        <f t="shared" si="40"/>
        <v>1.1446151869592132</v>
      </c>
      <c r="AS73" s="2">
        <f t="shared" si="41"/>
        <v>112.14423585674032</v>
      </c>
      <c r="AT73" s="2">
        <f t="shared" si="42"/>
        <v>113.07101901127808</v>
      </c>
      <c r="AU73" s="2">
        <f t="shared" si="43"/>
        <v>116.16480360893142</v>
      </c>
      <c r="AV73" s="2">
        <f t="shared" si="44"/>
        <v>112.14423585674032</v>
      </c>
      <c r="AW73" s="2">
        <f t="shared" si="45"/>
        <v>113.07101901127808</v>
      </c>
      <c r="AX73" s="2">
        <f t="shared" si="46"/>
        <v>116.16480360893142</v>
      </c>
      <c r="AY73">
        <f t="shared" si="47"/>
        <v>8.8148338120256753</v>
      </c>
      <c r="AZ73">
        <f t="shared" si="48"/>
        <v>11.019053989652447</v>
      </c>
      <c r="BA73">
        <f t="shared" si="49"/>
        <v>13.818266469207126</v>
      </c>
    </row>
    <row r="74" spans="1:53" x14ac:dyDescent="0.2">
      <c r="A74" s="2">
        <v>70</v>
      </c>
      <c r="B74" s="42">
        <f t="shared" si="27"/>
        <v>268435456000</v>
      </c>
      <c r="C74" s="1">
        <v>103.74716437208077</v>
      </c>
      <c r="D74" s="2">
        <f t="shared" si="30"/>
        <v>651.86265884420334</v>
      </c>
      <c r="E74" s="2"/>
      <c r="F74" s="2">
        <f>$D74*BASE!E$15/100/E$3</f>
        <v>0.11938182414879306</v>
      </c>
      <c r="G74" s="2">
        <f>$D74*BASE!F$15/100/F$3</f>
        <v>0.11938182414879306</v>
      </c>
      <c r="H74" s="2">
        <f>$D74*BASE!G$15/100/G$3</f>
        <v>0.11938182414879306</v>
      </c>
      <c r="I74" s="2">
        <f>(1-BESSELJ(2*F74,1)/F74)*BASE!K$13*E$2*E$3</f>
        <v>3.6591944042287862E-2</v>
      </c>
      <c r="J74" s="2">
        <f>(1-BESSELJ(2*G74,1)/G74)*BASE!L$13*F$2*F$3</f>
        <v>3.6591944042287862E-2</v>
      </c>
      <c r="K74" s="2">
        <f>(1-BESSELJ(2*H74,1)/H74)*BASE!M$13*G$2*G$3</f>
        <v>3.6591944042287862E-2</v>
      </c>
      <c r="L74" s="2" t="str">
        <f>IMPRODUCT(COMPLEX(1-BESSELJ(2*F74,1)/F74,(STRUVE(2*F74)/(2*F74^2))),PI()*(BASE!E$15/100)^2*E$2*E$3)</f>
        <v>0.0365919440422879+0.519609077111184i</v>
      </c>
      <c r="M74" s="2" t="str">
        <f>IMPRODUCT(COMPLEX(1-BESSELJ(2*G74,1)/G74,(STRUVE(2*G74)/(2*G74^2))),PI()*(BASE!F$15/100)^2*F$2*F$3)</f>
        <v>0.0365919440422879+0.519609077111184i</v>
      </c>
      <c r="N74" s="2" t="str">
        <f>IMPRODUCT(COMPLEX(1-BESSELJ(2*H74,1)/H74,(STRUVE(2*H74)/(2*H74^2))),PI()*(BASE!G$15/100)^2*G$2*G$3)</f>
        <v>0.0365919440422879+0.519609077111184i</v>
      </c>
      <c r="O74" s="2" t="str">
        <f>IMSUM(IMPRODUCT(IF($O$3=1,L74,COMPLEX(I74,$D74*BASE!K$15)),2),COMPLEX(BASE!E$36,$D74*BASE!K$14-BASE!K$10/$D74))</f>
        <v>0.873183888084576+2.76371264618082i</v>
      </c>
      <c r="P74" s="2" t="str">
        <f>IMSUM(IMPRODUCT(IF($O$3=1,M74,COMPLEX(J74,$D74*BASE!L$15)),2),COMPLEX(BASE!F$36,$D74*BASE!L$14-BASE!L$10/$D74))</f>
        <v>0.873183888084576+1.63617452135065i</v>
      </c>
      <c r="Q74" s="2" t="str">
        <f>IMSUM(IMPRODUCT(IF($O$3=1,N74,COMPLEX(K74,$D74*BASE!M$15)),2),COMPLEX(BASE!G$36,$D74*BASE!M$14-BASE!M$10/$D74))</f>
        <v>0.873183888084576-0.61890172830968i</v>
      </c>
      <c r="R74" s="2" t="str">
        <f>COMPLEX(BASE!E$19,FRES!$D74*BASE!K$36)</f>
        <v>7.2+0.181480936875791i</v>
      </c>
      <c r="S74" s="2" t="str">
        <f>COMPLEX(BASE!F$19,FRES!$D74*BASE!L$36)</f>
        <v>7.2+0.181480936875791i</v>
      </c>
      <c r="T74" s="2" t="str">
        <f>COMPLEX(BASE!G$19,FRES!$D74*BASE!M$36)</f>
        <v>7.2+0.181480936875791i</v>
      </c>
      <c r="U74" s="2" t="str">
        <f>IMDIV(BASE!K$21*BASE!E$38,IMPRODUCT(FRES!R74,IMSUM(FRES!O74,IMDIV(BASE!K$21^2,FRES!R74))))</f>
        <v>0.207939340233829-0.274952023338387i</v>
      </c>
      <c r="V74" s="2" t="str">
        <f>IMDIV(BASE!L$21*BASE!F$38,IMPRODUCT(FRES!S74,IMSUM(FRES!P74,IMDIV(BASE!L$21^2,FRES!S74))))</f>
        <v>0.351751185380025-0.273168899475213i</v>
      </c>
      <c r="W74" s="2" t="str">
        <f>IMDIV(BASE!M$21*BASE!G$38,IMPRODUCT(FRES!T74,IMSUM(FRES!Q74,IMDIV(BASE!M$21^2,FRES!T74))))</f>
        <v>0.511355359983576+0.139242524921451i</v>
      </c>
      <c r="X74" s="2" t="str">
        <f t="shared" si="31"/>
        <v>-0.000421794406548606-0.000318992562946495i</v>
      </c>
      <c r="Y74" s="2" t="str">
        <f t="shared" si="25"/>
        <v>-0.000419058977790751-0.000539609349619295i</v>
      </c>
      <c r="Z74" s="2" t="str">
        <f t="shared" si="25"/>
        <v>0.000213607150267416-0.000784452603697601i</v>
      </c>
      <c r="AA74" s="44" t="str">
        <f>IMPRODUCT(COMPLEX(0,$D74),U74,E$2,BASE!E$15^2/10000,1/(2*BASE!$U$3))</f>
        <v>0.426820600971114+0.322793748111141i</v>
      </c>
      <c r="AB74" s="44" t="str">
        <f>IMPRODUCT(COMPLEX(0,$D74),V74,F$2,BASE!F$15^2/10000,1/(2*BASE!$U$3))</f>
        <v>0.424052576245764+0.546039452677282i</v>
      </c>
      <c r="AC74" s="44" t="str">
        <f>IMPRODUCT(COMPLEX(0,$D74),W74,G$2,BASE!G$15^2/10000,1/(2*BASE!$U$3))</f>
        <v>-0.216152539799883+0.793800312534448i</v>
      </c>
      <c r="AD74" s="44">
        <f t="shared" si="32"/>
        <v>0.64750502471498794</v>
      </c>
      <c r="AE74" s="44">
        <f t="shared" si="33"/>
        <v>0.91048932251594994</v>
      </c>
      <c r="AF74" s="44">
        <f t="shared" si="34"/>
        <v>1.8366514787180788</v>
      </c>
      <c r="AG74" s="31">
        <f t="shared" si="35"/>
        <v>88.548699989912492</v>
      </c>
      <c r="AH74" s="31">
        <f t="shared" si="36"/>
        <v>90.773494349292662</v>
      </c>
      <c r="AI74" s="31">
        <f t="shared" si="37"/>
        <v>92.284265751310471</v>
      </c>
      <c r="AJ74" s="2" t="str">
        <f>IMSUM(R74,IMDIV(BASE!K$21^2,FRES!O74))</f>
        <v>8.17534338956908-2.90557655113392i</v>
      </c>
      <c r="AK74" s="2" t="str">
        <f>IMSUM(S74,IMDIV(BASE!L$21^2,FRES!P74))</f>
        <v>9.58214493996123-4.28218921338174i</v>
      </c>
      <c r="AL74" s="2" t="str">
        <f>IMSUM(T74,IMDIV(BASE!M$21^2,FRES!Q74))</f>
        <v>14.3527750887285+5.25127771740879i</v>
      </c>
      <c r="AM74" s="31">
        <f t="shared" si="50"/>
        <v>0.34472798603355809</v>
      </c>
      <c r="AN74" s="31">
        <f t="shared" si="50"/>
        <v>0.44536518056169555</v>
      </c>
      <c r="AO74" s="31">
        <f t="shared" si="50"/>
        <v>0.52997432478416673</v>
      </c>
      <c r="AP74" s="31">
        <f t="shared" si="38"/>
        <v>0.74788605630920046</v>
      </c>
      <c r="AQ74" s="31">
        <f t="shared" si="39"/>
        <v>0.96621806758473294</v>
      </c>
      <c r="AR74" s="31">
        <f t="shared" si="40"/>
        <v>1.1497772846019458</v>
      </c>
      <c r="AS74" s="2">
        <f t="shared" si="41"/>
        <v>112.0610725072046</v>
      </c>
      <c r="AT74" s="2">
        <f t="shared" si="42"/>
        <v>112.89817752621609</v>
      </c>
      <c r="AU74" s="2">
        <f t="shared" si="43"/>
        <v>115.84624323150042</v>
      </c>
      <c r="AV74" s="2">
        <f t="shared" si="44"/>
        <v>112.0610725072046</v>
      </c>
      <c r="AW74" s="2">
        <f t="shared" si="45"/>
        <v>112.89817752621609</v>
      </c>
      <c r="AX74" s="2">
        <f t="shared" si="46"/>
        <v>115.84624323150042</v>
      </c>
      <c r="AY74">
        <f t="shared" si="47"/>
        <v>8.6763249496471797</v>
      </c>
      <c r="AZ74">
        <f t="shared" si="48"/>
        <v>10.495458356338112</v>
      </c>
      <c r="BA74">
        <f t="shared" si="49"/>
        <v>15.283261118392877</v>
      </c>
    </row>
    <row r="75" spans="1:53" x14ac:dyDescent="0.2">
      <c r="A75" s="2">
        <v>71</v>
      </c>
      <c r="B75" s="42">
        <f t="shared" si="27"/>
        <v>426114725239.96344</v>
      </c>
      <c r="C75" s="1">
        <v>106.78718833360273</v>
      </c>
      <c r="D75" s="2">
        <f t="shared" si="30"/>
        <v>670.96369273271193</v>
      </c>
      <c r="E75" s="2"/>
      <c r="F75" s="2">
        <f>$D75*BASE!E$15/100/E$3</f>
        <v>0.12287997861093271</v>
      </c>
      <c r="G75" s="2">
        <f>$D75*BASE!F$15/100/F$3</f>
        <v>0.12287997861093271</v>
      </c>
      <c r="H75" s="2">
        <f>$D75*BASE!G$15/100/G$3</f>
        <v>0.12287997861093271</v>
      </c>
      <c r="I75" s="2">
        <f>(1-BESSELJ(2*F75,1)/F75)*BASE!K$13*E$2*E$3</f>
        <v>3.8762338943153216E-2</v>
      </c>
      <c r="J75" s="2">
        <f>(1-BESSELJ(2*G75,1)/G75)*BASE!L$13*F$2*F$3</f>
        <v>3.8762338943153216E-2</v>
      </c>
      <c r="K75" s="2">
        <f>(1-BESSELJ(2*H75,1)/H75)*BASE!M$13*G$2*G$3</f>
        <v>3.8762338943153216E-2</v>
      </c>
      <c r="L75" s="2" t="str">
        <f>IMPRODUCT(COMPLEX(1-BESSELJ(2*F75,1)/F75,(STRUVE(2*F75)/(2*F75^2))),PI()*(BASE!E$15/100)^2*E$2*E$3)</f>
        <v>0.0387623389431532+0.534713863040702i</v>
      </c>
      <c r="M75" s="2" t="str">
        <f>IMPRODUCT(COMPLEX(1-BESSELJ(2*G75,1)/G75,(STRUVE(2*G75)/(2*G75^2))),PI()*(BASE!F$15/100)^2*F$2*F$3)</f>
        <v>0.0387623389431532+0.534713863040702i</v>
      </c>
      <c r="N75" s="2" t="str">
        <f>IMPRODUCT(COMPLEX(1-BESSELJ(2*H75,1)/H75,(STRUVE(2*H75)/(2*H75^2))),PI()*(BASE!G$15/100)^2*G$2*G$3)</f>
        <v>0.0387623389431532+0.534713863040702i</v>
      </c>
      <c r="O75" s="2" t="str">
        <f>IMSUM(IMPRODUCT(IF($O$3=1,L75,COMPLEX(I75,$D75*BASE!K$15)),2),COMPLEX(BASE!E$36,$D75*BASE!K$14-BASE!K$10/$D75))</f>
        <v>0.877524677886306+2.90978993106571i</v>
      </c>
      <c r="P75" s="2" t="str">
        <f>IMSUM(IMPRODUCT(IF($O$3=1,M75,COMPLEX(J75,$D75*BASE!L$15)),2),COMPLEX(BASE!F$36,$D75*BASE!L$14-BASE!L$10/$D75))</f>
        <v>0.877524677886306+1.81435062792476i</v>
      </c>
      <c r="Q75" s="2" t="str">
        <f>IMSUM(IMPRODUCT(IF($O$3=1,N75,COMPLEX(K75,$D75*BASE!M$15)),2),COMPLEX(BASE!G$36,$D75*BASE!M$14-BASE!M$10/$D75))</f>
        <v>0.877524677886306-0.37652797835714i</v>
      </c>
      <c r="R75" s="2" t="str">
        <f>COMPLEX(BASE!E$19,FRES!$D75*BASE!K$36)</f>
        <v>7.2+0.186798734234408i</v>
      </c>
      <c r="S75" s="2" t="str">
        <f>COMPLEX(BASE!F$19,FRES!$D75*BASE!L$36)</f>
        <v>7.2+0.186798734234408i</v>
      </c>
      <c r="T75" s="2" t="str">
        <f>COMPLEX(BASE!G$19,FRES!$D75*BASE!M$36)</f>
        <v>7.2+0.186798734234408i</v>
      </c>
      <c r="U75" s="2" t="str">
        <f>IMDIV(BASE!K$21*BASE!E$38,IMPRODUCT(FRES!R75,IMSUM(FRES!O75,IMDIV(BASE!K$21^2,FRES!R75))))</f>
        <v>0.194504530801392-0.270935534139969i</v>
      </c>
      <c r="V75" s="2" t="str">
        <f>IMDIV(BASE!L$21*BASE!F$38,IMPRODUCT(FRES!S75,IMSUM(FRES!P75,IMDIV(BASE!L$21^2,FRES!S75))))</f>
        <v>0.324056941610418-0.27901303911245i</v>
      </c>
      <c r="W75" s="2" t="str">
        <f>IMDIV(BASE!M$21*BASE!G$38,IMPRODUCT(FRES!T75,IMSUM(FRES!Q75,IMDIV(BASE!M$21^2,FRES!T75))))</f>
        <v>0.535674225175861+0.086508603418215i</v>
      </c>
      <c r="X75" s="2" t="str">
        <f t="shared" si="31"/>
        <v>-0.000403800588727086-0.000289888309767121i</v>
      </c>
      <c r="Y75" s="2" t="str">
        <f t="shared" si="25"/>
        <v>-0.000415839250520518-0.000482972394960141i</v>
      </c>
      <c r="Z75" s="2" t="str">
        <f t="shared" si="25"/>
        <v>0.000128931869719927-0.000798365442091446i</v>
      </c>
      <c r="AA75" s="44" t="str">
        <f>IMPRODUCT(COMPLEX(0,$D75),U75,E$2,BASE!E$15^2/10000,1/(2*BASE!$U$3))</f>
        <v>0.432909720489242+0.31078574588013i</v>
      </c>
      <c r="AB75" s="44" t="str">
        <f>IMPRODUCT(COMPLEX(0,$D75),V75,F$2,BASE!F$15^2/10000,1/(2*BASE!$U$3))</f>
        <v>0.44581622399011+0.517788855051734i</v>
      </c>
      <c r="AC75" s="44" t="str">
        <f>IMPRODUCT(COMPLEX(0,$D75),W75,G$2,BASE!G$15^2/10000,1/(2*BASE!$U$3))</f>
        <v>-0.138226295951076+0.855917920955953i</v>
      </c>
      <c r="AD75" s="44">
        <f t="shared" si="32"/>
        <v>0.62263842335395814</v>
      </c>
      <c r="AE75" s="44">
        <f t="shared" si="33"/>
        <v>0.85995073667352295</v>
      </c>
      <c r="AF75" s="44">
        <f t="shared" si="34"/>
        <v>1.7309087392802929</v>
      </c>
      <c r="AG75" s="31">
        <f t="shared" si="35"/>
        <v>88.512562169034425</v>
      </c>
      <c r="AH75" s="31">
        <f t="shared" si="36"/>
        <v>90.67124259435964</v>
      </c>
      <c r="AI75" s="31">
        <f t="shared" si="37"/>
        <v>92.739857122818307</v>
      </c>
      <c r="AJ75" s="2" t="str">
        <f>IMSUM(R75,IMDIV(BASE!K$21^2,FRES!O75))</f>
        <v>8.09143930146065-2.76913078992939i</v>
      </c>
      <c r="AK75" s="2" t="str">
        <f>IMSUM(S75,IMDIV(BASE!L$21^2,FRES!P75))</f>
        <v>9.22716062687237-4.00451377122058i</v>
      </c>
      <c r="AL75" s="2" t="str">
        <f>IMSUM(T75,IMDIV(BASE!M$21^2,FRES!Q75))</f>
        <v>16.2304377604273+4.06157577389983i</v>
      </c>
      <c r="AM75" s="31">
        <f t="shared" si="50"/>
        <v>0.33352372653527956</v>
      </c>
      <c r="AN75" s="31">
        <f t="shared" si="50"/>
        <v>0.42762270449622225</v>
      </c>
      <c r="AO75" s="31">
        <f t="shared" si="50"/>
        <v>0.54261460907639514</v>
      </c>
      <c r="AP75" s="31">
        <f t="shared" si="38"/>
        <v>0.70297958376609992</v>
      </c>
      <c r="AQ75" s="31">
        <f t="shared" si="39"/>
        <v>0.90131527954096136</v>
      </c>
      <c r="AR75" s="31">
        <f t="shared" si="40"/>
        <v>1.1436877249978215</v>
      </c>
      <c r="AS75" s="2">
        <f t="shared" si="41"/>
        <v>111.98191965671454</v>
      </c>
      <c r="AT75" s="2">
        <f t="shared" si="42"/>
        <v>112.73730821114216</v>
      </c>
      <c r="AU75" s="2">
        <f t="shared" si="43"/>
        <v>115.50965363794839</v>
      </c>
      <c r="AV75" s="2">
        <f t="shared" si="44"/>
        <v>111.98191965671454</v>
      </c>
      <c r="AW75" s="2">
        <f t="shared" si="45"/>
        <v>112.73730821114216</v>
      </c>
      <c r="AX75" s="2">
        <f t="shared" si="46"/>
        <v>115.50965363794839</v>
      </c>
      <c r="AY75">
        <f t="shared" si="47"/>
        <v>8.552162024947668</v>
      </c>
      <c r="AZ75">
        <f t="shared" si="48"/>
        <v>10.058659144140385</v>
      </c>
      <c r="BA75">
        <f t="shared" si="49"/>
        <v>16.730914728795746</v>
      </c>
    </row>
    <row r="76" spans="1:53" x14ac:dyDescent="0.2">
      <c r="A76" s="2">
        <v>72</v>
      </c>
      <c r="B76" s="42">
        <f t="shared" si="27"/>
        <v>676414963105.05664</v>
      </c>
      <c r="C76" s="1">
        <v>109.91629179664714</v>
      </c>
      <c r="D76" s="2">
        <f t="shared" si="30"/>
        <v>690.62442963635738</v>
      </c>
      <c r="E76" s="2"/>
      <c r="F76" s="2">
        <f>$D76*BASE!E$15/100/E$3</f>
        <v>0.12648063682293753</v>
      </c>
      <c r="G76" s="2">
        <f>$D76*BASE!F$15/100/F$3</f>
        <v>0.12648063682293753</v>
      </c>
      <c r="H76" s="2">
        <f>$D76*BASE!G$15/100/G$3</f>
        <v>0.12648063682293753</v>
      </c>
      <c r="I76" s="2">
        <f>(1-BESSELJ(2*F76,1)/F76)*BASE!K$13*E$2*E$3</f>
        <v>4.1061122610187538E-2</v>
      </c>
      <c r="J76" s="2">
        <f>(1-BESSELJ(2*G76,1)/G76)*BASE!L$13*F$2*F$3</f>
        <v>4.1061122610187538E-2</v>
      </c>
      <c r="K76" s="2">
        <f>(1-BESSELJ(2*H76,1)/H76)*BASE!M$13*G$2*G$3</f>
        <v>4.1061122610187538E-2</v>
      </c>
      <c r="L76" s="2" t="str">
        <f>IMPRODUCT(COMPLEX(1-BESSELJ(2*F76,1)/F76,(STRUVE(2*F76)/(2*F76^2))),PI()*(BASE!E$15/100)^2*E$2*E$3)</f>
        <v>0.0410611226101876+0.550250334902386i</v>
      </c>
      <c r="M76" s="2" t="str">
        <f>IMPRODUCT(COMPLEX(1-BESSELJ(2*G76,1)/G76,(STRUVE(2*G76)/(2*G76^2))),PI()*(BASE!F$15/100)^2*F$2*F$3)</f>
        <v>0.0410611226101876+0.550250334902386i</v>
      </c>
      <c r="N76" s="2" t="str">
        <f>IMPRODUCT(COMPLEX(1-BESSELJ(2*H76,1)/H76,(STRUVE(2*H76)/(2*H76^2))),PI()*(BASE!G$15/100)^2*G$2*G$3)</f>
        <v>0.0410611226101876+0.550250334902386i</v>
      </c>
      <c r="O76" s="2" t="str">
        <f>IMSUM(IMPRODUCT(IF($O$3=1,L76,COMPLEX(I76,$D76*BASE!K$15)),2),COMPLEX(BASE!E$36,$D76*BASE!K$14-BASE!K$10/$D76))</f>
        <v>0.882122245220375+3.05829449810534i</v>
      </c>
      <c r="P76" s="2" t="str">
        <f>IMSUM(IMPRODUCT(IF($O$3=1,M76,COMPLEX(J76,$D76*BASE!L$15)),2),COMPLEX(BASE!F$36,$D76*BASE!L$14-BASE!L$10/$D76))</f>
        <v>0.882122245220375+1.99404022550886i</v>
      </c>
      <c r="Q76" s="2" t="str">
        <f>IMSUM(IMPRODUCT(IF($O$3=1,N76,COMPLEX(K76,$D76*BASE!M$15)),2),COMPLEX(BASE!G$36,$D76*BASE!M$14-BASE!M$10/$D76))</f>
        <v>0.882122245220375-0.1344683196841i</v>
      </c>
      <c r="R76" s="2" t="str">
        <f>COMPLEX(BASE!E$19,FRES!$D76*BASE!K$36)</f>
        <v>7.2+0.19227235494965i</v>
      </c>
      <c r="S76" s="2" t="str">
        <f>COMPLEX(BASE!F$19,FRES!$D76*BASE!L$36)</f>
        <v>7.2+0.19227235494965i</v>
      </c>
      <c r="T76" s="2" t="str">
        <f>COMPLEX(BASE!G$19,FRES!$D76*BASE!M$36)</f>
        <v>7.2+0.19227235494965i</v>
      </c>
      <c r="U76" s="2" t="str">
        <f>IMDIV(BASE!K$21*BASE!E$38,IMPRODUCT(FRES!R76,IMSUM(FRES!O76,IMDIV(BASE!K$21^2,FRES!R76))))</f>
        <v>0.181917197645719-0.266502543562261i</v>
      </c>
      <c r="V76" s="2" t="str">
        <f>IMDIV(BASE!L$21*BASE!F$38,IMPRODUCT(FRES!S76,IMSUM(FRES!P76,IMDIV(BASE!L$21^2,FRES!S76))))</f>
        <v>0.297925692081701-0.281922919980942i</v>
      </c>
      <c r="W76" s="2" t="str">
        <f>IMDIV(BASE!M$21*BASE!G$38,IMPRODUCT(FRES!T76,IMSUM(FRES!Q76,IMDIV(BASE!M$21^2,FRES!T76))))</f>
        <v>0.548633206811613+0.0277984854805693i</v>
      </c>
      <c r="X76" s="2" t="str">
        <f t="shared" si="31"/>
        <v>-0.000385886354617641-0.000263409734494197i</v>
      </c>
      <c r="Y76" s="2" t="str">
        <f t="shared" si="25"/>
        <v>-0.00040821451990829-0.000431385973760835i</v>
      </c>
      <c r="Z76" s="2" t="str">
        <f t="shared" si="25"/>
        <v>0.0000402512339379688-0.000794401679506894i</v>
      </c>
      <c r="AA76" s="44" t="str">
        <f>IMPRODUCT(COMPLEX(0,$D76),U76,E$2,BASE!E$15^2/10000,1/(2*BASE!$U$3))</f>
        <v>0.438304212237495+0.299190667904195i</v>
      </c>
      <c r="AB76" s="44" t="str">
        <f>IMPRODUCT(COMPLEX(0,$D76),V76,F$2,BASE!F$15^2/10000,1/(2*BASE!$U$3))</f>
        <v>0.463665380833684+0.489984388245336i</v>
      </c>
      <c r="AC76" s="44" t="str">
        <f>IMPRODUCT(COMPLEX(0,$D76),W76,G$2,BASE!G$15^2/10000,1/(2*BASE!$U$3))</f>
        <v>-0.0457188630063108+0.902311258664276i</v>
      </c>
      <c r="AD76" s="44">
        <f t="shared" si="32"/>
        <v>0.59895896503529111</v>
      </c>
      <c r="AE76" s="44">
        <f t="shared" si="33"/>
        <v>0.81298934967043812</v>
      </c>
      <c r="AF76" s="44">
        <f t="shared" si="34"/>
        <v>1.6214216491693199</v>
      </c>
      <c r="AG76" s="31">
        <f t="shared" si="35"/>
        <v>88.476121976125512</v>
      </c>
      <c r="AH76" s="31">
        <f t="shared" si="36"/>
        <v>90.560184877716807</v>
      </c>
      <c r="AI76" s="31">
        <f t="shared" si="37"/>
        <v>93.097663005728037</v>
      </c>
      <c r="AJ76" s="2" t="str">
        <f>IMSUM(R76,IMDIV(BASE!K$21^2,FRES!O76))</f>
        <v>8.01700241268252-2.6402534057192i</v>
      </c>
      <c r="AK76" s="2" t="str">
        <f>IMSUM(S76,IMDIV(BASE!L$21^2,FRES!P76))</f>
        <v>8.94100030115743-3.74326453003579i</v>
      </c>
      <c r="AL76" s="2" t="str">
        <f>IMSUM(T76,IMDIV(BASE!M$21^2,FRES!Q76))</f>
        <v>17.5957274973229+1.77696882534596i</v>
      </c>
      <c r="AM76" s="31">
        <f t="shared" si="50"/>
        <v>0.32267239194642355</v>
      </c>
      <c r="AN76" s="31">
        <f t="shared" si="50"/>
        <v>0.4101710019162022</v>
      </c>
      <c r="AO76" s="31">
        <f t="shared" si="50"/>
        <v>0.54933701077881825</v>
      </c>
      <c r="AP76" s="31">
        <f t="shared" si="38"/>
        <v>0.66074649738972524</v>
      </c>
      <c r="AQ76" s="31">
        <f t="shared" si="39"/>
        <v>0.83992017789970908</v>
      </c>
      <c r="AR76" s="31">
        <f t="shared" si="40"/>
        <v>1.1248948308503359</v>
      </c>
      <c r="AS76" s="2">
        <f t="shared" si="41"/>
        <v>111.90654559989144</v>
      </c>
      <c r="AT76" s="2">
        <f t="shared" si="42"/>
        <v>112.58782547362232</v>
      </c>
      <c r="AU76" s="2">
        <f t="shared" si="43"/>
        <v>115.1611454060302</v>
      </c>
      <c r="AV76" s="2">
        <f t="shared" si="44"/>
        <v>111.90654559989144</v>
      </c>
      <c r="AW76" s="2">
        <f t="shared" si="45"/>
        <v>112.58782547362232</v>
      </c>
      <c r="AX76" s="2">
        <f t="shared" si="46"/>
        <v>115.1611454060302</v>
      </c>
      <c r="AY76">
        <f t="shared" si="47"/>
        <v>8.4405725949943218</v>
      </c>
      <c r="AZ76">
        <f t="shared" si="48"/>
        <v>9.6929621750588346</v>
      </c>
      <c r="BA76">
        <f t="shared" si="49"/>
        <v>17.685226726460044</v>
      </c>
    </row>
    <row r="77" spans="1:53" x14ac:dyDescent="0.2">
      <c r="A77" s="2">
        <v>73</v>
      </c>
      <c r="B77" s="42">
        <f t="shared" si="27"/>
        <v>1073741824000</v>
      </c>
      <c r="C77" s="1">
        <v>113.13708498984761</v>
      </c>
      <c r="D77" s="2">
        <f t="shared" si="30"/>
        <v>710.86127010533858</v>
      </c>
      <c r="E77" s="2"/>
      <c r="F77" s="2">
        <f>$D77*BASE!E$15/100/E$3</f>
        <v>0.13018680237394281</v>
      </c>
      <c r="G77" s="2">
        <f>$D77*BASE!F$15/100/F$3</f>
        <v>0.13018680237394281</v>
      </c>
      <c r="H77" s="2">
        <f>$D77*BASE!G$15/100/G$3</f>
        <v>0.13018680237394281</v>
      </c>
      <c r="I77" s="2">
        <f>(1-BESSELJ(2*F77,1)/F77)*BASE!K$13*E$2*E$3</f>
        <v>4.3495847601386486E-2</v>
      </c>
      <c r="J77" s="2">
        <f>(1-BESSELJ(2*G77,1)/G77)*BASE!L$13*F$2*F$3</f>
        <v>4.3495847601386486E-2</v>
      </c>
      <c r="K77" s="2">
        <f>(1-BESSELJ(2*H77,1)/H77)*BASE!M$13*G$2*G$3</f>
        <v>4.3495847601386486E-2</v>
      </c>
      <c r="L77" s="2" t="str">
        <f>IMPRODUCT(COMPLEX(1-BESSELJ(2*F77,1)/F77,(STRUVE(2*F77)/(2*F77^2))),PI()*(BASE!E$15/100)^2*E$2*E$3)</f>
        <v>0.0434958476013865+0.56623015797192i</v>
      </c>
      <c r="M77" s="2" t="str">
        <f>IMPRODUCT(COMPLEX(1-BESSELJ(2*G77,1)/G77,(STRUVE(2*G77)/(2*G77^2))),PI()*(BASE!F$15/100)^2*F$2*F$3)</f>
        <v>0.0434958476013865+0.56623015797192i</v>
      </c>
      <c r="N77" s="2" t="str">
        <f>IMPRODUCT(COMPLEX(1-BESSELJ(2*H77,1)/H77,(STRUVE(2*H77)/(2*H77^2))),PI()*(BASE!G$15/100)^2*G$2*G$3)</f>
        <v>0.0434958476013865+0.56623015797192i</v>
      </c>
      <c r="O77" s="2" t="str">
        <f>IMSUM(IMPRODUCT(IF($O$3=1,L77,COMPLEX(I77,$D77*BASE!K$15)),2),COMPLEX(BASE!E$36,$D77*BASE!K$14-BASE!K$10/$D77))</f>
        <v>0.886991695202773+3.20935022651226i</v>
      </c>
      <c r="P77" s="2" t="str">
        <f>IMSUM(IMPRODUCT(IF($O$3=1,M77,COMPLEX(J77,$D77*BASE!L$15)),2),COMPLEX(BASE!F$36,$D77*BASE!L$14-BASE!L$10/$D77))</f>
        <v>0.886991695202773+2.17539320717558i</v>
      </c>
      <c r="Q77" s="2" t="str">
        <f>IMSUM(IMPRODUCT(IF($O$3=1,N77,COMPLEX(K77,$D77*BASE!M$15)),2),COMPLEX(BASE!G$36,$D77*BASE!M$14-BASE!M$10/$D77))</f>
        <v>0.886991695202773+0.10747916850223i</v>
      </c>
      <c r="R77" s="2" t="str">
        <f>COMPLEX(BASE!E$19,FRES!$D77*BASE!K$36)</f>
        <v>7.2+0.197906364994386i</v>
      </c>
      <c r="S77" s="2" t="str">
        <f>COMPLEX(BASE!F$19,FRES!$D77*BASE!L$36)</f>
        <v>7.2+0.197906364994386i</v>
      </c>
      <c r="T77" s="2" t="str">
        <f>COMPLEX(BASE!G$19,FRES!$D77*BASE!M$36)</f>
        <v>7.2+0.197906364994386i</v>
      </c>
      <c r="U77" s="2" t="str">
        <f>IMDIV(BASE!K$21*BASE!E$38,IMPRODUCT(FRES!R77,IMSUM(FRES!O77,IMDIV(BASE!K$21^2,FRES!R77))))</f>
        <v>0.170137296042911-0.26173719221203i</v>
      </c>
      <c r="V77" s="2" t="str">
        <f>IMDIV(BASE!L$21*BASE!F$38,IMPRODUCT(FRES!S77,IMSUM(FRES!P77,IMDIV(BASE!L$21^2,FRES!S77))))</f>
        <v>0.273528900571882-0.282429967969274i</v>
      </c>
      <c r="W77" s="2" t="str">
        <f>IMDIV(BASE!M$21*BASE!G$38,IMPRODUCT(FRES!T77,IMSUM(FRES!Q77,IMDIV(BASE!M$21^2,FRES!T77))))</f>
        <v>0.54846984552406-0.0330643375579814i</v>
      </c>
      <c r="X77" s="2" t="str">
        <f t="shared" si="31"/>
        <v>-0.000368197288583811-0.00023933966189732i</v>
      </c>
      <c r="Y77" s="2" t="str">
        <f t="shared" si="25"/>
        <v>-0.000397306731772603-0.000384785206445906i</v>
      </c>
      <c r="Z77" s="2" t="str">
        <f t="shared" si="25"/>
        <v>-0.0000465130665412138-0.00077155679819606i</v>
      </c>
      <c r="AA77" s="44" t="str">
        <f>IMPRODUCT(COMPLEX(0,$D77),U77,E$2,BASE!E$15^2/10000,1/(2*BASE!$U$3))</f>
        <v>0.44308050464341+0.288016075790598i</v>
      </c>
      <c r="AB77" s="44" t="str">
        <f>IMPRODUCT(COMPLEX(0,$D77),V77,F$2,BASE!F$15^2/10000,1/(2*BASE!$U$3))</f>
        <v>0.478110167212592+0.463042039519427i</v>
      </c>
      <c r="AC77" s="44" t="str">
        <f>IMPRODUCT(COMPLEX(0,$D77),W77,G$2,BASE!G$15^2/10000,1/(2*BASE!$U$3))</f>
        <v>0.0559727994599351+0.92847445134824i</v>
      </c>
      <c r="AD77" s="44">
        <f t="shared" si="32"/>
        <v>0.57639703237873052</v>
      </c>
      <c r="AE77" s="44">
        <f t="shared" si="33"/>
        <v>0.76938923273348281</v>
      </c>
      <c r="AF77" s="44">
        <f t="shared" si="34"/>
        <v>1.5105845023646975</v>
      </c>
      <c r="AG77" s="31">
        <f t="shared" si="35"/>
        <v>88.43969881947163</v>
      </c>
      <c r="AH77" s="31">
        <f t="shared" si="36"/>
        <v>90.443410510394244</v>
      </c>
      <c r="AI77" s="31">
        <f t="shared" si="37"/>
        <v>93.350553955956542</v>
      </c>
      <c r="AJ77" s="2" t="str">
        <f>IMSUM(R77,IMDIV(BASE!K$21^2,FRES!O77))</f>
        <v>7.95071979603844-2.51837921072616i</v>
      </c>
      <c r="AK77" s="2" t="str">
        <f>IMSUM(S77,IMDIV(BASE!L$21^2,FRES!P77))</f>
        <v>8.70803714012252-3.50063305598751i</v>
      </c>
      <c r="AL77" s="2" t="str">
        <f>IMSUM(T77,IMDIV(BASE!M$21^2,FRES!Q77))</f>
        <v>17.6258167940793-1.06541788713185i</v>
      </c>
      <c r="AM77" s="31">
        <f t="shared" si="50"/>
        <v>0.31217472237807836</v>
      </c>
      <c r="AN77" s="31">
        <f t="shared" si="50"/>
        <v>0.3931726672280102</v>
      </c>
      <c r="AO77" s="31">
        <f t="shared" si="50"/>
        <v>0.54946557841900734</v>
      </c>
      <c r="AP77" s="31">
        <f t="shared" si="38"/>
        <v>0.62105187718514088</v>
      </c>
      <c r="AQ77" s="31">
        <f t="shared" si="39"/>
        <v>0.78219216847453243</v>
      </c>
      <c r="AR77" s="31">
        <f t="shared" si="40"/>
        <v>1.093127035802905</v>
      </c>
      <c r="AS77" s="2">
        <f t="shared" si="41"/>
        <v>111.83472873773148</v>
      </c>
      <c r="AT77" s="2">
        <f t="shared" si="42"/>
        <v>112.44904199102429</v>
      </c>
      <c r="AU77" s="2">
        <f t="shared" si="43"/>
        <v>114.80833981018705</v>
      </c>
      <c r="AV77" s="2">
        <f t="shared" si="44"/>
        <v>111.83472873773148</v>
      </c>
      <c r="AW77" s="2">
        <f t="shared" si="45"/>
        <v>112.44904199102429</v>
      </c>
      <c r="AX77" s="2">
        <f t="shared" si="46"/>
        <v>114.80833981018705</v>
      </c>
      <c r="AY77">
        <f t="shared" si="47"/>
        <v>8.3400347196001068</v>
      </c>
      <c r="AZ77">
        <f t="shared" si="48"/>
        <v>9.3853259200959904</v>
      </c>
      <c r="BA77">
        <f t="shared" si="49"/>
        <v>17.657987793989108</v>
      </c>
    </row>
    <row r="78" spans="1:53" x14ac:dyDescent="0.2">
      <c r="A78" s="2">
        <v>74</v>
      </c>
      <c r="B78" s="42">
        <f t="shared" si="27"/>
        <v>1704458900959.854</v>
      </c>
      <c r="C78" s="1">
        <v>116.45225462737497</v>
      </c>
      <c r="D78" s="2">
        <f t="shared" si="30"/>
        <v>731.69109526265834</v>
      </c>
      <c r="E78" s="2"/>
      <c r="F78" s="2">
        <f>$D78*BASE!E$15/100/E$3</f>
        <v>0.13400156686496356</v>
      </c>
      <c r="G78" s="2">
        <f>$D78*BASE!F$15/100/F$3</f>
        <v>0.13400156686496356</v>
      </c>
      <c r="H78" s="2">
        <f>$D78*BASE!G$15/100/G$3</f>
        <v>0.13400156686496356</v>
      </c>
      <c r="I78" s="2">
        <f>(1-BESSELJ(2*F78,1)/F78)*BASE!K$13*E$2*E$3</f>
        <v>4.6074505583441963E-2</v>
      </c>
      <c r="J78" s="2">
        <f>(1-BESSELJ(2*G78,1)/G78)*BASE!L$13*F$2*F$3</f>
        <v>4.6074505583441963E-2</v>
      </c>
      <c r="K78" s="2">
        <f>(1-BESSELJ(2*H78,1)/H78)*BASE!M$13*G$2*G$3</f>
        <v>4.6074505583441963E-2</v>
      </c>
      <c r="L78" s="2" t="str">
        <f>IMPRODUCT(COMPLEX(1-BESSELJ(2*F78,1)/F78,(STRUVE(2*F78)/(2*F78^2))),PI()*(BASE!E$15/100)^2*E$2*E$3)</f>
        <v>0.046074505583442+0.58266525090925i</v>
      </c>
      <c r="M78" s="2" t="str">
        <f>IMPRODUCT(COMPLEX(1-BESSELJ(2*G78,1)/G78,(STRUVE(2*G78)/(2*G78^2))),PI()*(BASE!F$15/100)^2*F$2*F$3)</f>
        <v>0.046074505583442+0.58266525090925i</v>
      </c>
      <c r="N78" s="2" t="str">
        <f>IMPRODUCT(COMPLEX(1-BESSELJ(2*H78,1)/H78,(STRUVE(2*H78)/(2*H78^2))),PI()*(BASE!G$15/100)^2*G$2*G$3)</f>
        <v>0.046074505583442+0.58266525090925i</v>
      </c>
      <c r="O78" s="2" t="str">
        <f>IMSUM(IMPRODUCT(IF($O$3=1,L78,COMPLEX(I78,$D78*BASE!K$15)),2),COMPLEX(BASE!E$36,$D78*BASE!K$14-BASE!K$10/$D78))</f>
        <v>0.892149011166884+3.36308312362125i</v>
      </c>
      <c r="P78" s="2" t="str">
        <f>IMSUM(IMPRODUCT(IF($O$3=1,M78,COMPLEX(J78,$D78*BASE!L$15)),2),COMPLEX(BASE!F$36,$D78*BASE!L$14-BASE!L$10/$D78))</f>
        <v>0.892149011166884+2.35856085355569i</v>
      </c>
      <c r="Q78" s="2" t="str">
        <f>IMSUM(IMPRODUCT(IF($O$3=1,N78,COMPLEX(K78,$D78*BASE!M$15)),2),COMPLEX(BASE!G$36,$D78*BASE!M$14-BASE!M$10/$D78))</f>
        <v>0.892149011166884+0.349516313424578i</v>
      </c>
      <c r="R78" s="2" t="str">
        <f>COMPLEX(BASE!E$19,FRES!$D78*BASE!K$36)</f>
        <v>7.2+0.203705464134705i</v>
      </c>
      <c r="S78" s="2" t="str">
        <f>COMPLEX(BASE!F$19,FRES!$D78*BASE!L$36)</f>
        <v>7.2+0.203705464134705i</v>
      </c>
      <c r="T78" s="2" t="str">
        <f>COMPLEX(BASE!G$19,FRES!$D78*BASE!M$36)</f>
        <v>7.2+0.203705464134705i</v>
      </c>
      <c r="U78" s="2" t="str">
        <f>IMDIV(BASE!K$21*BASE!E$38,IMPRODUCT(FRES!R78,IMSUM(FRES!O78,IMDIV(BASE!K$21^2,FRES!R78))))</f>
        <v>0.159122619425622-0.256712025814639i</v>
      </c>
      <c r="V78" s="2" t="str">
        <f>IMDIV(BASE!L$21*BASE!F$38,IMPRODUCT(FRES!S78,IMSUM(FRES!P78,IMDIV(BASE!L$21^2,FRES!S78))))</f>
        <v>0.250932611735257-0.281008323173102i</v>
      </c>
      <c r="W78" s="2" t="str">
        <f>IMDIV(BASE!M$21*BASE!G$38,IMPRODUCT(FRES!T78,IMSUM(FRES!Q78,IMDIV(BASE!M$21^2,FRES!T78))))</f>
        <v>0.535174841996139-0.0917684032978042i</v>
      </c>
      <c r="X78" s="2" t="str">
        <f t="shared" si="31"/>
        <v>-0.000350847546835986-0.000217472401202998i</v>
      </c>
      <c r="Y78" s="2" t="str">
        <f t="shared" si="25"/>
        <v>-0.000384053222722667-0.000342948839148i</v>
      </c>
      <c r="Z78" s="2" t="str">
        <f t="shared" si="25"/>
        <v>-0.00012541959836871-0.000731421832876106i</v>
      </c>
      <c r="AA78" s="44" t="str">
        <f>IMPRODUCT(COMPLEX(0,$D78),U78,E$2,BASE!E$15^2/10000,1/(2*BASE!$U$3))</f>
        <v>0.447307657402943+0.277263076824024i</v>
      </c>
      <c r="AB78" s="44" t="str">
        <f>IMPRODUCT(COMPLEX(0,$D78),V78,F$2,BASE!F$15^2/10000,1/(2*BASE!$U$3))</f>
        <v>0.489642720672735+0.437237322112626i</v>
      </c>
      <c r="AC78" s="44" t="str">
        <f>IMPRODUCT(COMPLEX(0,$D78),W78,G$2,BASE!G$15^2/10000,1/(2*BASE!$U$3))</f>
        <v>0.159901778549279+0.932514961520092i</v>
      </c>
      <c r="AD78" s="44">
        <f t="shared" si="32"/>
        <v>0.55488644182652436</v>
      </c>
      <c r="AE78" s="44">
        <f t="shared" si="33"/>
        <v>0.72891872575712846</v>
      </c>
      <c r="AF78" s="44">
        <f t="shared" si="34"/>
        <v>1.4009742256673456</v>
      </c>
      <c r="AG78" s="31">
        <f t="shared" si="35"/>
        <v>88.403554192136511</v>
      </c>
      <c r="AH78" s="31">
        <f t="shared" si="36"/>
        <v>90.323431802166766</v>
      </c>
      <c r="AI78" s="31">
        <f t="shared" si="37"/>
        <v>93.49837150257089</v>
      </c>
      <c r="AJ78" s="2" t="str">
        <f>IMSUM(R78,IMDIV(BASE!K$21^2,FRES!O78))</f>
        <v>7.8914924221273-2.40297398723474i</v>
      </c>
      <c r="AK78" s="2" t="str">
        <f>IMSUM(S78,IMDIV(BASE!L$21^2,FRES!P78))</f>
        <v>8.51651659673186-3.27674955990531i</v>
      </c>
      <c r="AL78" s="2" t="str">
        <f>IMSUM(T78,IMDIV(BASE!M$21^2,FRES!Q78))</f>
        <v>16.3182475071633-3.36854111542285i</v>
      </c>
      <c r="AM78" s="31">
        <f t="shared" si="50"/>
        <v>0.3020282639269497</v>
      </c>
      <c r="AN78" s="31">
        <f t="shared" si="50"/>
        <v>0.37673976870624604</v>
      </c>
      <c r="AO78" s="31">
        <f t="shared" si="50"/>
        <v>0.54298577453688479</v>
      </c>
      <c r="AP78" s="31">
        <f t="shared" si="38"/>
        <v>0.58376064685079121</v>
      </c>
      <c r="AQ78" s="31">
        <f t="shared" si="39"/>
        <v>0.72816314676949601</v>
      </c>
      <c r="AR78" s="31">
        <f t="shared" si="40"/>
        <v>1.0494836571026829</v>
      </c>
      <c r="AS78" s="2">
        <f t="shared" si="41"/>
        <v>111.76625840142729</v>
      </c>
      <c r="AT78" s="2">
        <f t="shared" si="42"/>
        <v>112.32022036632985</v>
      </c>
      <c r="AU78" s="2">
        <f t="shared" si="43"/>
        <v>114.45943946318597</v>
      </c>
      <c r="AV78" s="2">
        <f t="shared" si="44"/>
        <v>111.76625840142729</v>
      </c>
      <c r="AW78" s="2">
        <f t="shared" si="45"/>
        <v>112.32022036632985</v>
      </c>
      <c r="AX78" s="2">
        <f t="shared" si="46"/>
        <v>114.45943946318597</v>
      </c>
      <c r="AY78">
        <f t="shared" si="47"/>
        <v>8.2492385486067388</v>
      </c>
      <c r="AZ78">
        <f t="shared" si="48"/>
        <v>9.1251379507790933</v>
      </c>
      <c r="BA78">
        <f t="shared" si="49"/>
        <v>16.66230089007324</v>
      </c>
    </row>
    <row r="79" spans="1:53" x14ac:dyDescent="0.2">
      <c r="A79" s="2">
        <v>75</v>
      </c>
      <c r="B79" s="42">
        <f t="shared" si="27"/>
        <v>2705659852420.2271</v>
      </c>
      <c r="C79" s="1">
        <v>119.86456615013454</v>
      </c>
      <c r="D79" s="2">
        <f t="shared" si="30"/>
        <v>753.13128088598091</v>
      </c>
      <c r="E79" s="2"/>
      <c r="F79" s="2">
        <f>$D79*BASE!E$15/100/E$3</f>
        <v>0.13792811248783954</v>
      </c>
      <c r="G79" s="2">
        <f>$D79*BASE!F$15/100/F$3</f>
        <v>0.13792811248783954</v>
      </c>
      <c r="H79" s="2">
        <f>$D79*BASE!G$15/100/G$3</f>
        <v>0.13792811248783954</v>
      </c>
      <c r="I79" s="2">
        <f>(1-BESSELJ(2*F79,1)/F79)*BASE!K$13*E$2*E$3</f>
        <v>4.8805552225153336E-2</v>
      </c>
      <c r="J79" s="2">
        <f>(1-BESSELJ(2*G79,1)/G79)*BASE!L$13*F$2*F$3</f>
        <v>4.8805552225153336E-2</v>
      </c>
      <c r="K79" s="2">
        <f>(1-BESSELJ(2*H79,1)/H79)*BASE!M$13*G$2*G$3</f>
        <v>4.8805552225153336E-2</v>
      </c>
      <c r="L79" s="2" t="str">
        <f>IMPRODUCT(COMPLEX(1-BESSELJ(2*F79,1)/F79,(STRUVE(2*F79)/(2*F79^2))),PI()*(BASE!E$15/100)^2*E$2*E$3)</f>
        <v>0.0488055522251533+0.599567785277408i</v>
      </c>
      <c r="M79" s="2" t="str">
        <f>IMPRODUCT(COMPLEX(1-BESSELJ(2*G79,1)/G79,(STRUVE(2*G79)/(2*G79^2))),PI()*(BASE!F$15/100)^2*F$2*F$3)</f>
        <v>0.0488055522251533+0.599567785277408i</v>
      </c>
      <c r="N79" s="2" t="str">
        <f>IMPRODUCT(COMPLEX(1-BESSELJ(2*H79,1)/H79,(STRUVE(2*H79)/(2*H79^2))),PI()*(BASE!G$15/100)^2*G$2*G$3)</f>
        <v>0.0488055522251533+0.599567785277408i</v>
      </c>
      <c r="O79" s="2" t="str">
        <f>IMSUM(IMPRODUCT(IF($O$3=1,L79,COMPLEX(I79,$D79*BASE!K$15)),2),COMPLEX(BASE!E$36,$D79*BASE!K$14-BASE!K$10/$D79))</f>
        <v>0.897611104450307+3.51962143000176i</v>
      </c>
      <c r="P79" s="2" t="str">
        <f>IMSUM(IMPRODUCT(IF($O$3=1,M79,COMPLEX(J79,$D79*BASE!L$15)),2),COMPLEX(BASE!F$36,$D79*BASE!L$14-BASE!L$10/$D79))</f>
        <v>0.897611104450307+2.54369595903295i</v>
      </c>
      <c r="Q79" s="2" t="str">
        <f>IMSUM(IMPRODUCT(IF($O$3=1,N79,COMPLEX(K79,$D79*BASE!M$15)),2),COMPLEX(BASE!G$36,$D79*BASE!M$14-BASE!M$10/$D79))</f>
        <v>0.897611104450307+0.591845017095311i</v>
      </c>
      <c r="R79" s="2" t="str">
        <f>COMPLEX(BASE!E$19,FRES!$D79*BASE!K$36)</f>
        <v>7.2+0.209674489850352i</v>
      </c>
      <c r="S79" s="2" t="str">
        <f>COMPLEX(BASE!F$19,FRES!$D79*BASE!L$36)</f>
        <v>7.2+0.209674489850352i</v>
      </c>
      <c r="T79" s="2" t="str">
        <f>COMPLEX(BASE!G$19,FRES!$D79*BASE!M$36)</f>
        <v>7.2+0.209674489850352i</v>
      </c>
      <c r="U79" s="2" t="str">
        <f>IMDIV(BASE!K$21*BASE!E$38,IMPRODUCT(FRES!R79,IMSUM(FRES!O79,IMDIV(BASE!K$21^2,FRES!R79))))</f>
        <v>0.148830097562433-0.251489275230259i</v>
      </c>
      <c r="V79" s="2" t="str">
        <f>IMDIV(BASE!L$21*BASE!F$38,IMPRODUCT(FRES!S79,IMSUM(FRES!P79,IMDIV(BASE!L$21^2,FRES!S79))))</f>
        <v>0.230127672210298-0.278067858015554i</v>
      </c>
      <c r="W79" s="2" t="str">
        <f>IMDIV(BASE!M$21*BASE!G$38,IMPRODUCT(FRES!T79,IMSUM(FRES!Q79,IMDIV(BASE!M$21^2,FRES!T79))))</f>
        <v>0.510498377412213-0.144475464132419i</v>
      </c>
      <c r="X79" s="2" t="str">
        <f t="shared" si="31"/>
        <v>-0.000333924883500268-0.000197615078990412i</v>
      </c>
      <c r="Y79" s="2" t="str">
        <f t="shared" si="25"/>
        <v>-0.000369215653462748-0.00030556116582965i</v>
      </c>
      <c r="Z79" s="2" t="str">
        <f t="shared" si="25"/>
        <v>-0.000191833041329074-0.000677834516197049i</v>
      </c>
      <c r="AA79" s="44" t="str">
        <f>IMPRODUCT(COMPLEX(0,$D79),U79,E$2,BASE!E$15^2/10000,1/(2*BASE!$U$3))</f>
        <v>0.451047733376116+0.266927796830378i</v>
      </c>
      <c r="AB79" s="44" t="str">
        <f>IMPRODUCT(COMPLEX(0,$D79),V79,F$2,BASE!F$15^2/10000,1/(2*BASE!$U$3))</f>
        <v>0.498716603194444+0.412735552410896i</v>
      </c>
      <c r="AC79" s="44" t="str">
        <f>IMPRODUCT(COMPLEX(0,$D79),W79,G$2,BASE!G$15^2/10000,1/(2*BASE!$U$3))</f>
        <v>0.259117732021478+0.915582327767825i</v>
      </c>
      <c r="AD79" s="44">
        <f t="shared" si="32"/>
        <v>0.53436457347561528</v>
      </c>
      <c r="AE79" s="44">
        <f t="shared" si="33"/>
        <v>0.69134236790622572</v>
      </c>
      <c r="AF79" s="44">
        <f t="shared" si="34"/>
        <v>1.2949998747726912</v>
      </c>
      <c r="AG79" s="31">
        <f t="shared" si="35"/>
        <v>88.367899829136434</v>
      </c>
      <c r="AH79" s="31">
        <f t="shared" si="36"/>
        <v>90.202254268149147</v>
      </c>
      <c r="AI79" s="31">
        <f t="shared" si="37"/>
        <v>93.547963267245549</v>
      </c>
      <c r="AJ79" s="2" t="str">
        <f>IMSUM(R79,IMDIV(BASE!K$21^2,FRES!O79))</f>
        <v>7.83839591180515-2.29353867326099i</v>
      </c>
      <c r="AK79" s="2" t="str">
        <f>IMSUM(S79,IMDIV(BASE!L$21^2,FRES!P79))</f>
        <v>8.35757680588277-3.07072548380805i</v>
      </c>
      <c r="AL79" s="2" t="str">
        <f>IMSUM(T79,IMDIV(BASE!M$21^2,FRES!Q79))</f>
        <v>14.4861064170416-4.59446146120059i</v>
      </c>
      <c r="AM79" s="31">
        <f t="shared" si="50"/>
        <v>0.29222808471514899</v>
      </c>
      <c r="AN79" s="31">
        <f t="shared" si="50"/>
        <v>0.3609438726149658</v>
      </c>
      <c r="AO79" s="31">
        <f t="shared" si="50"/>
        <v>0.53054853979327876</v>
      </c>
      <c r="AP79" s="31">
        <f t="shared" si="38"/>
        <v>0.54873955072521308</v>
      </c>
      <c r="AQ79" s="31">
        <f t="shared" si="39"/>
        <v>0.67777256484029946</v>
      </c>
      <c r="AR79" s="31">
        <f t="shared" si="40"/>
        <v>0.99625252531037523</v>
      </c>
      <c r="AS79" s="2">
        <f t="shared" si="41"/>
        <v>111.70093526563673</v>
      </c>
      <c r="AT79" s="2">
        <f t="shared" si="42"/>
        <v>112.20061110442263</v>
      </c>
      <c r="AU79" s="2">
        <f t="shared" si="43"/>
        <v>114.12211262746918</v>
      </c>
      <c r="AV79" s="2">
        <f t="shared" si="44"/>
        <v>111.70093526563673</v>
      </c>
      <c r="AW79" s="2">
        <f t="shared" si="45"/>
        <v>112.20061110442263</v>
      </c>
      <c r="AX79" s="2">
        <f t="shared" si="46"/>
        <v>114.12211262746918</v>
      </c>
      <c r="AY79">
        <f t="shared" si="47"/>
        <v>8.1670539434944018</v>
      </c>
      <c r="AZ79">
        <f t="shared" si="48"/>
        <v>8.9038443979630415</v>
      </c>
      <c r="BA79">
        <f t="shared" si="49"/>
        <v>15.197248278695433</v>
      </c>
    </row>
    <row r="80" spans="1:53" x14ac:dyDescent="0.2">
      <c r="A80" s="2">
        <v>76</v>
      </c>
      <c r="B80" s="42">
        <f t="shared" si="27"/>
        <v>4294967296000</v>
      </c>
      <c r="C80" s="1">
        <v>123.37686603263526</v>
      </c>
      <c r="D80" s="2">
        <f t="shared" si="30"/>
        <v>775.19971190211811</v>
      </c>
      <c r="E80" s="2"/>
      <c r="F80" s="2">
        <f>$D80*BASE!E$15/100/E$3</f>
        <v>0.14196971467974837</v>
      </c>
      <c r="G80" s="2">
        <f>$D80*BASE!F$15/100/F$3</f>
        <v>0.14196971467974837</v>
      </c>
      <c r="H80" s="2">
        <f>$D80*BASE!G$15/100/G$3</f>
        <v>0.14196971467974837</v>
      </c>
      <c r="I80" s="2">
        <f>(1-BESSELJ(2*F80,1)/F80)*BASE!K$13*E$2*E$3</f>
        <v>5.1697933423165379E-2</v>
      </c>
      <c r="J80" s="2">
        <f>(1-BESSELJ(2*G80,1)/G80)*BASE!L$13*F$2*F$3</f>
        <v>5.1697933423165379E-2</v>
      </c>
      <c r="K80" s="2">
        <f>(1-BESSELJ(2*H80,1)/H80)*BASE!M$13*G$2*G$3</f>
        <v>5.1697933423165379E-2</v>
      </c>
      <c r="L80" s="2" t="str">
        <f>IMPRODUCT(COMPLEX(1-BESSELJ(2*F80,1)/F80,(STRUVE(2*F80)/(2*F80^2))),PI()*(BASE!E$15/100)^2*E$2*E$3)</f>
        <v>0.0516979334231653+0.616950184346871i</v>
      </c>
      <c r="M80" s="2" t="str">
        <f>IMPRODUCT(COMPLEX(1-BESSELJ(2*G80,1)/G80,(STRUVE(2*G80)/(2*G80^2))),PI()*(BASE!F$15/100)^2*F$2*F$3)</f>
        <v>0.0516979334231653+0.616950184346871i</v>
      </c>
      <c r="N80" s="2" t="str">
        <f>IMPRODUCT(COMPLEX(1-BESSELJ(2*H80,1)/H80,(STRUVE(2*H80)/(2*H80^2))),PI()*(BASE!G$15/100)^2*G$2*G$3)</f>
        <v>0.0516979334231653+0.616950184346871i</v>
      </c>
      <c r="O80" s="2" t="str">
        <f>IMSUM(IMPRODUCT(IF($O$3=1,L80,COMPLEX(I80,$D80*BASE!K$15)),2),COMPLEX(BASE!E$36,$D80*BASE!K$14-BASE!K$10/$D80))</f>
        <v>0.903395866846331+3.67909572643337i</v>
      </c>
      <c r="P80" s="2" t="str">
        <f>IMSUM(IMPRODUCT(IF($O$3=1,M80,COMPLEX(J80,$D80*BASE!L$15)),2),COMPLEX(BASE!F$36,$D80*BASE!L$14-BASE!L$10/$D80))</f>
        <v>0.903395866846331+2.73095295920179i</v>
      </c>
      <c r="Q80" s="2" t="str">
        <f>IMSUM(IMPRODUCT(IF($O$3=1,N80,COMPLEX(K80,$D80*BASE!M$15)),2),COMPLEX(BASE!G$36,$D80*BASE!M$14-BASE!M$10/$D80))</f>
        <v>0.903395866846331+0.834667424738625i</v>
      </c>
      <c r="R80" s="2" t="str">
        <f>COMPLEX(BASE!E$19,FRES!$D80*BASE!K$36)</f>
        <v>7.2+0.215818421370051i</v>
      </c>
      <c r="S80" s="2" t="str">
        <f>COMPLEX(BASE!F$19,FRES!$D80*BASE!L$36)</f>
        <v>7.2+0.215818421370051i</v>
      </c>
      <c r="T80" s="2" t="str">
        <f>COMPLEX(BASE!G$19,FRES!$D80*BASE!M$36)</f>
        <v>7.2+0.215818421370051i</v>
      </c>
      <c r="U80" s="2" t="str">
        <f>IMDIV(BASE!K$21*BASE!E$38,IMPRODUCT(FRES!R80,IMSUM(FRES!O80,IMDIV(BASE!K$21^2,FRES!R80))))</f>
        <v>0.139216770084234-0.24612207450247i</v>
      </c>
      <c r="V80" s="2" t="str">
        <f>IMDIV(BASE!L$21*BASE!F$38,IMPRODUCT(FRES!S80,IMSUM(FRES!P80,IMDIV(BASE!L$21^2,FRES!S80))))</f>
        <v>0.21105433291748-0.273954555323426i</v>
      </c>
      <c r="W80" s="2" t="str">
        <f>IMDIV(BASE!M$21*BASE!G$38,IMPRODUCT(FRES!T80,IMSUM(FRES!Q80,IMDIV(BASE!M$21^2,FRES!T80))))</f>
        <v>0.477403723042306-0.188575395486685i</v>
      </c>
      <c r="X80" s="2" t="str">
        <f t="shared" si="31"/>
        <v>-0.000317495054143605-0.000179588263445862i</v>
      </c>
      <c r="Y80" s="2" t="str">
        <f t="shared" si="25"/>
        <v>-0.000353398680517076-0.000272258012583123i</v>
      </c>
      <c r="Z80" s="2" t="str">
        <f t="shared" si="25"/>
        <v>-0.000243260404501409-0.000615846104832642i</v>
      </c>
      <c r="AA80" s="44" t="str">
        <f>IMPRODUCT(COMPLEX(0,$D80),U80,E$2,BASE!E$15^2/10000,1/(2*BASE!$U$3))</f>
        <v>0.454356263033764+0.257002593265841i</v>
      </c>
      <c r="AB80" s="44" t="str">
        <f>IMPRODUCT(COMPLEX(0,$D80),V80,F$2,BASE!F$15^2/10000,1/(2*BASE!$U$3))</f>
        <v>0.505736709108468+0.389619087175814i</v>
      </c>
      <c r="AC80" s="44" t="str">
        <f>IMPRODUCT(COMPLEX(0,$D80),W80,G$2,BASE!G$15^2/10000,1/(2*BASE!$U$3))</f>
        <v>0.348121606591547+0.881316200500867i</v>
      </c>
      <c r="AD80" s="44">
        <f t="shared" si="32"/>
        <v>0.51477240307360628</v>
      </c>
      <c r="AE80" s="44">
        <f t="shared" si="33"/>
        <v>0.65642919619141671</v>
      </c>
      <c r="AF80" s="44">
        <f t="shared" si="34"/>
        <v>1.1946060362949309</v>
      </c>
      <c r="AG80" s="31">
        <f t="shared" si="35"/>
        <v>88.332904926359262</v>
      </c>
      <c r="AH80" s="31">
        <f t="shared" si="36"/>
        <v>90.081450439911137</v>
      </c>
      <c r="AI80" s="31">
        <f t="shared" si="37"/>
        <v>93.511713167466084</v>
      </c>
      <c r="AJ80" s="2" t="str">
        <f>IMSUM(R80,IMDIV(BASE!K$21^2,FRES!O80))</f>
        <v>7.79064913732134-2.18961068970882i</v>
      </c>
      <c r="AK80" s="2" t="str">
        <f>IMSUM(S80,IMDIV(BASE!L$21^2,FRES!P80))</f>
        <v>8.22449668439866-2.88122060064581i</v>
      </c>
      <c r="AL80" s="2" t="str">
        <f>IMSUM(T80,IMDIV(BASE!M$21^2,FRES!Q80))</f>
        <v>12.8034862790638-4.96136650247906i</v>
      </c>
      <c r="AM80" s="31">
        <f t="shared" si="50"/>
        <v>0.28276736839686056</v>
      </c>
      <c r="AN80" s="31">
        <f t="shared" si="50"/>
        <v>0.34582514342612303</v>
      </c>
      <c r="AO80" s="31">
        <f t="shared" si="50"/>
        <v>0.51329815366667209</v>
      </c>
      <c r="AP80" s="31">
        <f t="shared" si="38"/>
        <v>0.51585861197260441</v>
      </c>
      <c r="AQ80" s="31">
        <f t="shared" si="39"/>
        <v>0.63089627167534035</v>
      </c>
      <c r="AR80" s="31">
        <f t="shared" si="40"/>
        <v>0.93642089813900098</v>
      </c>
      <c r="AS80" s="2">
        <f t="shared" si="41"/>
        <v>111.63857145032917</v>
      </c>
      <c r="AT80" s="2">
        <f t="shared" si="42"/>
        <v>112.08947902727407</v>
      </c>
      <c r="AU80" s="2">
        <f t="shared" si="43"/>
        <v>113.80254911447508</v>
      </c>
      <c r="AV80" s="2">
        <f t="shared" si="44"/>
        <v>111.63857145032917</v>
      </c>
      <c r="AW80" s="2">
        <f t="shared" si="45"/>
        <v>112.08947902727407</v>
      </c>
      <c r="AX80" s="2">
        <f t="shared" si="46"/>
        <v>113.80254911447508</v>
      </c>
      <c r="AY80">
        <f t="shared" si="47"/>
        <v>8.0925032563065962</v>
      </c>
      <c r="AZ80">
        <f t="shared" si="48"/>
        <v>8.7145727297022635</v>
      </c>
      <c r="BA80">
        <f t="shared" si="49"/>
        <v>13.731147747733848</v>
      </c>
    </row>
    <row r="81" spans="1:53" x14ac:dyDescent="0.2">
      <c r="A81" s="2">
        <v>77</v>
      </c>
      <c r="B81" s="42">
        <f t="shared" si="27"/>
        <v>6817835603839.3926</v>
      </c>
      <c r="C81" s="1">
        <v>126.99208415745595</v>
      </c>
      <c r="D81" s="2">
        <f t="shared" si="30"/>
        <v>797.91479730624076</v>
      </c>
      <c r="E81" s="2"/>
      <c r="F81" s="2">
        <f>$D81*BASE!E$15/100/E$3</f>
        <v>0.1461297448555034</v>
      </c>
      <c r="G81" s="2">
        <f>$D81*BASE!F$15/100/F$3</f>
        <v>0.1461297448555034</v>
      </c>
      <c r="H81" s="2">
        <f>$D81*BASE!G$15/100/G$3</f>
        <v>0.1461297448555034</v>
      </c>
      <c r="I81" s="2">
        <f>(1-BESSELJ(2*F81,1)/F81)*BASE!K$13*E$2*E$3</f>
        <v>5.4761112921327494E-2</v>
      </c>
      <c r="J81" s="2">
        <f>(1-BESSELJ(2*G81,1)/G81)*BASE!L$13*F$2*F$3</f>
        <v>5.4761112921327494E-2</v>
      </c>
      <c r="K81" s="2">
        <f>(1-BESSELJ(2*H81,1)/H81)*BASE!M$13*G$2*G$3</f>
        <v>5.4761112921327494E-2</v>
      </c>
      <c r="L81" s="2" t="str">
        <f>IMPRODUCT(COMPLEX(1-BESSELJ(2*F81,1)/F81,(STRUVE(2*F81)/(2*F81^2))),PI()*(BASE!E$15/100)^2*E$2*E$3)</f>
        <v>0.0547611129213273+0.634825121103504i</v>
      </c>
      <c r="M81" s="2" t="str">
        <f>IMPRODUCT(COMPLEX(1-BESSELJ(2*G81,1)/G81,(STRUVE(2*G81)/(2*G81^2))),PI()*(BASE!F$15/100)^2*F$2*F$3)</f>
        <v>0.0547611129213273+0.634825121103504i</v>
      </c>
      <c r="N81" s="2" t="str">
        <f>IMPRODUCT(COMPLEX(1-BESSELJ(2*H81,1)/H81,(STRUVE(2*H81)/(2*H81^2))),PI()*(BASE!G$15/100)^2*G$2*G$3)</f>
        <v>0.0547611129213273+0.634825121103504i</v>
      </c>
      <c r="O81" s="2" t="str">
        <f>IMSUM(IMPRODUCT(IF($O$3=1,L81,COMPLEX(I81,$D81*BASE!K$15)),2),COMPLEX(BASE!E$36,$D81*BASE!K$14-BASE!K$10/$D81))</f>
        <v>0.909522225842655+3.84163904283336i</v>
      </c>
      <c r="P81" s="2" t="str">
        <f>IMSUM(IMPRODUCT(IF($O$3=1,M81,COMPLEX(J81,$D81*BASE!L$15)),2),COMPLEX(BASE!F$36,$D81*BASE!L$14-BASE!L$10/$D81))</f>
        <v>0.909522225842655+2.92048805969411i</v>
      </c>
      <c r="Q81" s="2" t="str">
        <f>IMSUM(IMPRODUCT(IF($O$3=1,N81,COMPLEX(K81,$D81*BASE!M$15)),2),COMPLEX(BASE!G$36,$D81*BASE!M$14-BASE!M$10/$D81))</f>
        <v>0.909522225842655+1.07818609341561i</v>
      </c>
      <c r="R81" s="2" t="str">
        <f>COMPLEX(BASE!E$19,FRES!$D81*BASE!K$36)</f>
        <v>7.2+0.222142383825061i</v>
      </c>
      <c r="S81" s="2" t="str">
        <f>COMPLEX(BASE!F$19,FRES!$D81*BASE!L$36)</f>
        <v>7.2+0.222142383825061i</v>
      </c>
      <c r="T81" s="2" t="str">
        <f>COMPLEX(BASE!G$19,FRES!$D81*BASE!M$36)</f>
        <v>7.2+0.222142383825061i</v>
      </c>
      <c r="U81" s="2" t="str">
        <f>IMDIV(BASE!K$21*BASE!E$38,IMPRODUCT(FRES!R81,IMSUM(FRES!O81,IMDIV(BASE!K$21^2,FRES!R81))))</f>
        <v>0.130240498589005-0.24065559133635i</v>
      </c>
      <c r="V81" s="2" t="str">
        <f>IMDIV(BASE!L$21*BASE!F$38,IMPRODUCT(FRES!S81,IMSUM(FRES!P81,IMDIV(BASE!L$21^2,FRES!S81))))</f>
        <v>0.193621204204478-0.268955141908094i</v>
      </c>
      <c r="W81" s="2" t="str">
        <f>IMDIV(BASE!M$21*BASE!G$38,IMPRODUCT(FRES!T81,IMSUM(FRES!Q81,IMDIV(BASE!M$21^2,FRES!T81))))</f>
        <v>0.439262936176368-0.222955847038943i</v>
      </c>
      <c r="X81" s="2" t="str">
        <f t="shared" si="31"/>
        <v>-0.000301605625248213-0.000163226072543957i</v>
      </c>
      <c r="Y81" s="2" t="str">
        <f t="shared" si="25"/>
        <v>-0.000337072508012242-0.000242658996747701i</v>
      </c>
      <c r="Z81" s="2" t="str">
        <f t="shared" si="25"/>
        <v>-0.000279423126117778-0.000550513585735368i</v>
      </c>
      <c r="AA81" s="44" t="str">
        <f>IMPRODUCT(COMPLEX(0,$D81),U81,E$2,BASE!E$15^2/10000,1/(2*BASE!$U$3))</f>
        <v>0.457282756288917+0.247477043207295i</v>
      </c>
      <c r="AB81" s="44" t="str">
        <f>IMPRODUCT(COMPLEX(0,$D81),V81,F$2,BASE!F$15^2/10000,1/(2*BASE!$U$3))</f>
        <v>0.511056268947918+0.367910163412145i</v>
      </c>
      <c r="AC81" s="44" t="str">
        <f>IMPRODUCT(COMPLEX(0,$D81),W81,G$2,BASE!G$15^2/10000,1/(2*BASE!$U$3))</f>
        <v>0.423650511083298+0.834667356261637i</v>
      </c>
      <c r="AD81" s="44">
        <f t="shared" si="32"/>
        <v>0.4960544614749311</v>
      </c>
      <c r="AE81" s="44">
        <f t="shared" si="33"/>
        <v>0.62395816461109777</v>
      </c>
      <c r="AF81" s="44">
        <f t="shared" si="34"/>
        <v>1.1011125965987585</v>
      </c>
      <c r="AG81" s="31">
        <f t="shared" si="35"/>
        <v>88.298702477854647</v>
      </c>
      <c r="AH81" s="31">
        <f t="shared" si="36"/>
        <v>89.962230663710315</v>
      </c>
      <c r="AI81" s="31">
        <f t="shared" si="37"/>
        <v>93.405181523419969</v>
      </c>
      <c r="AJ81" s="2" t="str">
        <f>IMSUM(R81,IMDIV(BASE!K$21^2,FRES!O81))</f>
        <v>7.74758900871542-2.09076350845107i</v>
      </c>
      <c r="AK81" s="2" t="str">
        <f>IMSUM(S81,IMDIV(BASE!L$21^2,FRES!P81))</f>
        <v>8.11213835453924-2.70674610018404i</v>
      </c>
      <c r="AL81" s="2" t="str">
        <f>IMSUM(T81,IMDIV(BASE!M$21^2,FRES!Q81))</f>
        <v>11.4892581895596-4.86252558761187i</v>
      </c>
      <c r="AM81" s="31">
        <f t="shared" si="50"/>
        <v>0.27363790145767625</v>
      </c>
      <c r="AN81" s="31">
        <f t="shared" si="50"/>
        <v>0.33140011930654933</v>
      </c>
      <c r="AO81" s="31">
        <f t="shared" si="50"/>
        <v>0.49260657408030656</v>
      </c>
      <c r="AP81" s="31">
        <f t="shared" si="38"/>
        <v>0.48499217300795816</v>
      </c>
      <c r="AQ81" s="31">
        <f t="shared" si="39"/>
        <v>0.58736915880945562</v>
      </c>
      <c r="AR81" s="31">
        <f t="shared" si="40"/>
        <v>0.87308933275884659</v>
      </c>
      <c r="AS81" s="2">
        <f t="shared" si="41"/>
        <v>111.57899039173047</v>
      </c>
      <c r="AT81" s="2">
        <f t="shared" si="42"/>
        <v>111.98612052360805</v>
      </c>
      <c r="AU81" s="2">
        <f t="shared" si="43"/>
        <v>113.50495025298889</v>
      </c>
      <c r="AV81" s="2">
        <f t="shared" si="44"/>
        <v>111.57899039173047</v>
      </c>
      <c r="AW81" s="2">
        <f t="shared" si="45"/>
        <v>111.98612052360805</v>
      </c>
      <c r="AX81" s="2">
        <f t="shared" si="46"/>
        <v>113.50495025298889</v>
      </c>
      <c r="AY81">
        <f t="shared" si="47"/>
        <v>8.0247384690243102</v>
      </c>
      <c r="AZ81">
        <f t="shared" si="48"/>
        <v>8.5517988244607412</v>
      </c>
      <c r="BA81">
        <f t="shared" si="49"/>
        <v>12.475865053636261</v>
      </c>
    </row>
    <row r="82" spans="1:53" x14ac:dyDescent="0.2">
      <c r="A82" s="2">
        <v>78</v>
      </c>
      <c r="B82" s="42">
        <f t="shared" si="27"/>
        <v>10822639409680.949</v>
      </c>
      <c r="C82" s="1">
        <v>130.71323625928798</v>
      </c>
      <c r="D82" s="2">
        <f t="shared" si="30"/>
        <v>821.29548551825224</v>
      </c>
      <c r="E82" s="2"/>
      <c r="F82" s="2">
        <f>$D82*BASE!E$15/100/E$3</f>
        <v>0.15041167321991245</v>
      </c>
      <c r="G82" s="2">
        <f>$D82*BASE!F$15/100/F$3</f>
        <v>0.15041167321991245</v>
      </c>
      <c r="H82" s="2">
        <f>$D82*BASE!G$15/100/G$3</f>
        <v>0.15041167321991245</v>
      </c>
      <c r="I82" s="2">
        <f>(1-BESSELJ(2*F82,1)/F82)*BASE!K$13*E$2*E$3</f>
        <v>5.8005101386465106E-2</v>
      </c>
      <c r="J82" s="2">
        <f>(1-BESSELJ(2*G82,1)/G82)*BASE!L$13*F$2*F$3</f>
        <v>5.8005101386465106E-2</v>
      </c>
      <c r="K82" s="2">
        <f>(1-BESSELJ(2*H82,1)/H82)*BASE!M$13*G$2*G$3</f>
        <v>5.8005101386465106E-2</v>
      </c>
      <c r="L82" s="2" t="str">
        <f>IMPRODUCT(COMPLEX(1-BESSELJ(2*F82,1)/F82,(STRUVE(2*F82)/(2*F82^2))),PI()*(BASE!E$15/100)^2*E$2*E$3)</f>
        <v>0.0580051013864649+0.653205515370462i</v>
      </c>
      <c r="M82" s="2" t="str">
        <f>IMPRODUCT(COMPLEX(1-BESSELJ(2*G82,1)/G82,(STRUVE(2*G82)/(2*G82^2))),PI()*(BASE!F$15/100)^2*F$2*F$3)</f>
        <v>0.0580051013864649+0.653205515370462i</v>
      </c>
      <c r="N82" s="2" t="str">
        <f>IMPRODUCT(COMPLEX(1-BESSELJ(2*H82,1)/H82,(STRUVE(2*H82)/(2*H82^2))),PI()*(BASE!G$15/100)^2*G$2*G$3)</f>
        <v>0.0580051013864649+0.653205515370462i</v>
      </c>
      <c r="O82" s="2" t="str">
        <f>IMSUM(IMPRODUCT(IF($O$3=1,L82,COMPLEX(I82,$D82*BASE!K$15)),2),COMPLEX(BASE!E$36,$D82*BASE!K$14-BASE!K$10/$D82))</f>
        <v>0.91601020277293+4.00738696922737i</v>
      </c>
      <c r="P82" s="2" t="str">
        <f>IMSUM(IMPRODUCT(IF($O$3=1,M82,COMPLEX(J82,$D82*BASE!L$15)),2),COMPLEX(BASE!F$36,$D82*BASE!L$14-BASE!L$10/$D82))</f>
        <v>0.91601020277293+3.11245936648254i</v>
      </c>
      <c r="Q82" s="2" t="str">
        <f>IMSUM(IMPRODUCT(IF($O$3=1,N82,COMPLEX(K82,$D82*BASE!M$15)),2),COMPLEX(BASE!G$36,$D82*BASE!M$14-BASE!M$10/$D82))</f>
        <v>0.91601020277293+1.32260416099288i</v>
      </c>
      <c r="R82" s="2" t="str">
        <f>COMPLEX(BASE!E$19,FRES!$D82*BASE!K$36)</f>
        <v>7.2+0.228651652524452i</v>
      </c>
      <c r="S82" s="2" t="str">
        <f>COMPLEX(BASE!F$19,FRES!$D82*BASE!L$36)</f>
        <v>7.2+0.228651652524452i</v>
      </c>
      <c r="T82" s="2" t="str">
        <f>COMPLEX(BASE!G$19,FRES!$D82*BASE!M$36)</f>
        <v>7.2+0.228651652524452i</v>
      </c>
      <c r="U82" s="2" t="str">
        <f>IMDIV(BASE!K$21*BASE!E$38,IMPRODUCT(FRES!R82,IMSUM(FRES!O82,IMDIV(BASE!K$21^2,FRES!R82))))</f>
        <v>0.121860471328824-0.235128057108835i</v>
      </c>
      <c r="V82" s="2" t="str">
        <f>IMDIV(BASE!L$21*BASE!F$38,IMPRODUCT(FRES!S82,IMSUM(FRES!P82,IMDIV(BASE!L$21^2,FRES!S82))))</f>
        <v>0.177719221588753-0.263303790910499i</v>
      </c>
      <c r="W82" s="2" t="str">
        <f>IMDIV(BASE!M$21*BASE!G$38,IMPRODUCT(FRES!T82,IMSUM(FRES!Q82,IMDIV(BASE!M$21^2,FRES!T82))))</f>
        <v>0.399155269320573-0.247805269396183i</v>
      </c>
      <c r="X82" s="2" t="str">
        <f t="shared" si="31"/>
        <v>-0.000286289236035999-0.000148375917653958i</v>
      </c>
      <c r="Y82" s="2" t="str">
        <f t="shared" si="25"/>
        <v>-0.00032059568760974-0.000216388893793333i</v>
      </c>
      <c r="Z82" s="2" t="str">
        <f t="shared" si="25"/>
        <v>-0.00030172486488199-0.000486006895640853i</v>
      </c>
      <c r="AA82" s="44" t="str">
        <f>IMPRODUCT(COMPLEX(0,$D82),U82,E$2,BASE!E$15^2/10000,1/(2*BASE!$U$3))</f>
        <v>0.459871229593301+0.238338739654817i</v>
      </c>
      <c r="AB82" s="44" t="str">
        <f>IMPRODUCT(COMPLEX(0,$D82),V82,F$2,BASE!F$15^2/10000,1/(2*BASE!$U$3))</f>
        <v>0.514978261511943+0.347589130618105i</v>
      </c>
      <c r="AC82" s="44" t="str">
        <f>IMPRODUCT(COMPLEX(0,$D82),W82,G$2,BASE!G$15^2/10000,1/(2*BASE!$U$3))</f>
        <v>0.484665740610332+0.780681075487864i</v>
      </c>
      <c r="AD82" s="44">
        <f t="shared" si="32"/>
        <v>0.47815874178601381</v>
      </c>
      <c r="AE82" s="44">
        <f t="shared" si="33"/>
        <v>0.59372139046169903</v>
      </c>
      <c r="AF82" s="44">
        <f t="shared" si="34"/>
        <v>1.0152054373174866</v>
      </c>
      <c r="AG82" s="31">
        <f t="shared" si="35"/>
        <v>88.265394802434528</v>
      </c>
      <c r="AH82" s="31">
        <f t="shared" si="36"/>
        <v>89.845507303589045</v>
      </c>
      <c r="AI82" s="31">
        <f t="shared" si="37"/>
        <v>93.244696255949989</v>
      </c>
      <c r="AJ82" s="2" t="str">
        <f>IMSUM(R82,IMDIV(BASE!K$21^2,FRES!O82))</f>
        <v>7.70865014463967-1.99660517906339i</v>
      </c>
      <c r="AK82" s="2" t="str">
        <f>IMSUM(S82,IMDIV(BASE!L$21^2,FRES!P82))</f>
        <v>8.01653945386177-2.54582167056867i</v>
      </c>
      <c r="AL82" s="2" t="str">
        <f>IMSUM(T82,IMDIV(BASE!M$21^2,FRES!Q82))</f>
        <v>10.5207499567703-4.56609593559833i</v>
      </c>
      <c r="AM82" s="31">
        <f t="shared" si="50"/>
        <v>0.26483046975802976</v>
      </c>
      <c r="AN82" s="31">
        <f t="shared" si="50"/>
        <v>0.31766807839308009</v>
      </c>
      <c r="AO82" s="31">
        <f t="shared" si="50"/>
        <v>0.46982164761417067</v>
      </c>
      <c r="AP82" s="31">
        <f t="shared" si="38"/>
        <v>0.45601960398590347</v>
      </c>
      <c r="AQ82" s="31">
        <f t="shared" si="39"/>
        <v>0.54700228202643619</v>
      </c>
      <c r="AR82" s="31">
        <f t="shared" si="40"/>
        <v>0.80900011952843898</v>
      </c>
      <c r="AS82" s="2">
        <f t="shared" si="41"/>
        <v>111.5220265467569</v>
      </c>
      <c r="AT82" s="2">
        <f t="shared" si="42"/>
        <v>111.88987388222745</v>
      </c>
      <c r="AU82" s="2">
        <f t="shared" si="43"/>
        <v>113.23149927205695</v>
      </c>
      <c r="AV82" s="2">
        <f t="shared" si="44"/>
        <v>111.5220265467569</v>
      </c>
      <c r="AW82" s="2">
        <f t="shared" si="45"/>
        <v>111.88987388222745</v>
      </c>
      <c r="AX82" s="2">
        <f t="shared" si="46"/>
        <v>113.23149927205695</v>
      </c>
      <c r="AY82">
        <f t="shared" si="47"/>
        <v>7.9630219950415784</v>
      </c>
      <c r="AZ82">
        <f t="shared" si="48"/>
        <v>8.4110708470241402</v>
      </c>
      <c r="BA82">
        <f t="shared" si="49"/>
        <v>11.468888862743848</v>
      </c>
    </row>
    <row r="83" spans="1:53" x14ac:dyDescent="0.2">
      <c r="A83" s="2">
        <v>79</v>
      </c>
      <c r="B83" s="42">
        <f t="shared" si="27"/>
        <v>17179869184000</v>
      </c>
      <c r="C83" s="1">
        <v>134.54342644059435</v>
      </c>
      <c r="D83" s="2">
        <f t="shared" si="30"/>
        <v>845.36128018913985</v>
      </c>
      <c r="E83" s="2"/>
      <c r="F83" s="2">
        <f>$D83*BASE!E$15/100/E$3</f>
        <v>0.15481907166254594</v>
      </c>
      <c r="G83" s="2">
        <f>$D83*BASE!F$15/100/F$3</f>
        <v>0.15481907166254594</v>
      </c>
      <c r="H83" s="2">
        <f>$D83*BASE!G$15/100/G$3</f>
        <v>0.15481907166254594</v>
      </c>
      <c r="I83" s="2">
        <f>(1-BESSELJ(2*F83,1)/F83)*BASE!K$13*E$2*E$3</f>
        <v>6.1440487004770943E-2</v>
      </c>
      <c r="J83" s="2">
        <f>(1-BESSELJ(2*G83,1)/G83)*BASE!L$13*F$2*F$3</f>
        <v>6.1440487004770943E-2</v>
      </c>
      <c r="K83" s="2">
        <f>(1-BESSELJ(2*H83,1)/H83)*BASE!M$13*G$2*G$3</f>
        <v>6.1440487004770943E-2</v>
      </c>
      <c r="L83" s="2" t="str">
        <f>IMPRODUCT(COMPLEX(1-BESSELJ(2*F83,1)/F83,(STRUVE(2*F83)/(2*F83^2))),PI()*(BASE!E$15/100)^2*E$2*E$3)</f>
        <v>0.0614404870047707+0.672104529946438i</v>
      </c>
      <c r="M83" s="2" t="str">
        <f>IMPRODUCT(COMPLEX(1-BESSELJ(2*G83,1)/G83,(STRUVE(2*G83)/(2*G83^2))),PI()*(BASE!F$15/100)^2*F$2*F$3)</f>
        <v>0.0614404870047707+0.672104529946438i</v>
      </c>
      <c r="N83" s="2" t="str">
        <f>IMPRODUCT(COMPLEX(1-BESSELJ(2*H83,1)/H83,(STRUVE(2*H83)/(2*H83^2))),PI()*(BASE!G$15/100)^2*G$2*G$3)</f>
        <v>0.0614404870047707+0.672104529946438i</v>
      </c>
      <c r="O83" s="2" t="str">
        <f>IMSUM(IMPRODUCT(IF($O$3=1,L83,COMPLEX(I83,$D83*BASE!K$15)),2),COMPLEX(BASE!E$36,$D83*BASE!K$14-BASE!K$10/$D83))</f>
        <v>0.922880974009542+4.17647776885546i</v>
      </c>
      <c r="P83" s="2" t="str">
        <f>IMSUM(IMPRODUCT(IF($O$3=1,M83,COMPLEX(J83,$D83*BASE!L$15)),2),COMPLEX(BASE!F$36,$D83*BASE!L$14-BASE!L$10/$D83))</f>
        <v>0.922880974009542+3.30702701776883i</v>
      </c>
      <c r="Q83" s="2" t="str">
        <f>IMSUM(IMPRODUCT(IF($O$3=1,N83,COMPLEX(K83,$D83*BASE!M$15)),2),COMPLEX(BASE!G$36,$D83*BASE!M$14-BASE!M$10/$D83))</f>
        <v>0.922880974009542+1.56812551559558i</v>
      </c>
      <c r="R83" s="2" t="str">
        <f>COMPLEX(BASE!E$19,FRES!$D83*BASE!K$36)</f>
        <v>7.2+0.235351657355649i</v>
      </c>
      <c r="S83" s="2" t="str">
        <f>COMPLEX(BASE!F$19,FRES!$D83*BASE!L$36)</f>
        <v>7.2+0.235351657355649i</v>
      </c>
      <c r="T83" s="2" t="str">
        <f>COMPLEX(BASE!G$19,FRES!$D83*BASE!M$36)</f>
        <v>7.2+0.235351657355649i</v>
      </c>
      <c r="U83" s="2" t="str">
        <f>IMDIV(BASE!K$21*BASE!E$38,IMPRODUCT(FRES!R83,IMSUM(FRES!O83,IMDIV(BASE!K$21^2,FRES!R83))))</f>
        <v>0.114037545592471-0.229571692264985i</v>
      </c>
      <c r="V83" s="2" t="str">
        <f>IMDIV(BASE!L$21*BASE!F$38,IMPRODUCT(FRES!S83,IMSUM(FRES!P83,IMDIV(BASE!L$21^2,FRES!S83))))</f>
        <v>0.163231531011827-0.257189478646923i</v>
      </c>
      <c r="W83" s="2" t="str">
        <f>IMDIV(BASE!M$21*BASE!G$38,IMPRODUCT(FRES!T83,IMSUM(FRES!Q83,IMDIV(BASE!M$21^2,FRES!T83))))</f>
        <v>0.359469063533373-0.264170378456595i</v>
      </c>
      <c r="X83" s="2" t="str">
        <f t="shared" si="31"/>
        <v>-0.000271566367711591-0.00013489799954755i</v>
      </c>
      <c r="Y83" s="2" t="str">
        <f t="shared" si="25"/>
        <v>-0.000304236170586592-0.000193090853386739i</v>
      </c>
      <c r="Z83" s="2" t="str">
        <f t="shared" si="25"/>
        <v>-0.000312494059814864-0.000425225370451017i</v>
      </c>
      <c r="AA83" s="44" t="str">
        <f>IMPRODUCT(COMPLEX(0,$D83),U83,E$2,BASE!E$15^2/10000,1/(2*BASE!$U$3))</f>
        <v>0.462160726238125+0.22957392686114i</v>
      </c>
      <c r="AB83" s="44" t="str">
        <f>IMPRODUCT(COMPLEX(0,$D83),V83,F$2,BASE!F$15^2/10000,1/(2*BASE!$U$3))</f>
        <v>0.517759289307622+0.328608471598104i</v>
      </c>
      <c r="AC83" s="44" t="str">
        <f>IMPRODUCT(COMPLEX(0,$D83),W83,G$2,BASE!G$15^2/10000,1/(2*BASE!$U$3))</f>
        <v>0.531812841354926+0.723662755732805i</v>
      </c>
      <c r="AD83" s="44">
        <f t="shared" si="32"/>
        <v>0.46103657014666394</v>
      </c>
      <c r="AE83" s="44">
        <f t="shared" si="33"/>
        <v>0.56552582827061759</v>
      </c>
      <c r="AF83" s="44">
        <f t="shared" si="34"/>
        <v>0.93703567375669872</v>
      </c>
      <c r="AG83" s="31">
        <f t="shared" si="35"/>
        <v>88.233058336822992</v>
      </c>
      <c r="AH83" s="31">
        <f t="shared" si="36"/>
        <v>89.731950823451839</v>
      </c>
      <c r="AI83" s="31">
        <f t="shared" si="37"/>
        <v>93.045512096522117</v>
      </c>
      <c r="AJ83" s="2" t="str">
        <f>IMSUM(R83,IMDIV(BASE!K$21^2,FRES!O83))</f>
        <v>7.67334841147603-1.90677628018729i</v>
      </c>
      <c r="AK83" s="2" t="str">
        <f>IMSUM(S83,IMDIV(BASE!L$21^2,FRES!P83))</f>
        <v>7.93461614491178-2.39705220330442i</v>
      </c>
      <c r="AL83" s="2" t="str">
        <f>IMSUM(T83,IMDIV(BASE!M$21^2,FRES!Q83))</f>
        <v>9.81566596904745-4.20909205949568i</v>
      </c>
      <c r="AM83" s="31">
        <f t="shared" si="50"/>
        <v>0.25633517841717296</v>
      </c>
      <c r="AN83" s="31">
        <f t="shared" si="50"/>
        <v>0.30461608730193662</v>
      </c>
      <c r="AO83" s="31">
        <f t="shared" si="50"/>
        <v>0.44609863986730647</v>
      </c>
      <c r="AP83" s="31">
        <f t="shared" si="38"/>
        <v>0.42882575098517078</v>
      </c>
      <c r="AQ83" s="31">
        <f t="shared" si="39"/>
        <v>0.5095953790112564</v>
      </c>
      <c r="AR83" s="31">
        <f t="shared" si="40"/>
        <v>0.74628299336750348</v>
      </c>
      <c r="AS83" s="2">
        <f t="shared" si="41"/>
        <v>111.4675249816995</v>
      </c>
      <c r="AT83" s="2">
        <f t="shared" si="42"/>
        <v>111.80012462030814</v>
      </c>
      <c r="AU83" s="2">
        <f t="shared" si="43"/>
        <v>112.98267718663647</v>
      </c>
      <c r="AV83" s="2">
        <f t="shared" si="44"/>
        <v>111.4675249816995</v>
      </c>
      <c r="AW83" s="2">
        <f t="shared" si="45"/>
        <v>111.80012462030814</v>
      </c>
      <c r="AX83" s="2">
        <f t="shared" si="46"/>
        <v>112.98267718663647</v>
      </c>
      <c r="AY83">
        <f t="shared" si="47"/>
        <v>7.9067105439991021</v>
      </c>
      <c r="AZ83">
        <f t="shared" si="48"/>
        <v>8.2887871629365204</v>
      </c>
      <c r="BA83">
        <f t="shared" si="49"/>
        <v>10.680063407172534</v>
      </c>
    </row>
    <row r="84" spans="1:53" x14ac:dyDescent="0.2">
      <c r="A84" s="2">
        <v>80</v>
      </c>
      <c r="B84" s="42">
        <f t="shared" si="27"/>
        <v>27271342415357.574</v>
      </c>
      <c r="C84" s="1">
        <v>138.48584976098289</v>
      </c>
      <c r="D84" s="2">
        <f t="shared" si="30"/>
        <v>870.13225647048728</v>
      </c>
      <c r="E84" s="2"/>
      <c r="F84" s="2">
        <f>$D84*BASE!E$15/100/E$3</f>
        <v>0.15935561673732759</v>
      </c>
      <c r="G84" s="2">
        <f>$D84*BASE!F$15/100/F$3</f>
        <v>0.15935561673732759</v>
      </c>
      <c r="H84" s="2">
        <f>$D84*BASE!G$15/100/G$3</f>
        <v>0.15935561673732759</v>
      </c>
      <c r="I84" s="2">
        <f>(1-BESSELJ(2*F84,1)/F84)*BASE!K$13*E$2*E$3</f>
        <v>6.5078467663999315E-2</v>
      </c>
      <c r="J84" s="2">
        <f>(1-BESSELJ(2*G84,1)/G84)*BASE!L$13*F$2*F$3</f>
        <v>6.5078467663999315E-2</v>
      </c>
      <c r="K84" s="2">
        <f>(1-BESSELJ(2*H84,1)/H84)*BASE!M$13*G$2*G$3</f>
        <v>6.5078467663999315E-2</v>
      </c>
      <c r="L84" s="2" t="str">
        <f>IMPRODUCT(COMPLEX(1-BESSELJ(2*F84,1)/F84,(STRUVE(2*F84)/(2*F84^2))),PI()*(BASE!E$15/100)^2*E$2*E$3)</f>
        <v>0.0650784676639992+0.69153556565348i</v>
      </c>
      <c r="M84" s="2" t="str">
        <f>IMPRODUCT(COMPLEX(1-BESSELJ(2*G84,1)/G84,(STRUVE(2*G84)/(2*G84^2))),PI()*(BASE!F$15/100)^2*F$2*F$3)</f>
        <v>0.0650784676639992+0.69153556565348i</v>
      </c>
      <c r="N84" s="2" t="str">
        <f>IMPRODUCT(COMPLEX(1-BESSELJ(2*H84,1)/H84,(STRUVE(2*H84)/(2*H84^2))),PI()*(BASE!G$15/100)^2*G$2*G$3)</f>
        <v>0.0650784676639992+0.69153556565348i</v>
      </c>
      <c r="O84" s="2" t="str">
        <f>IMSUM(IMPRODUCT(IF($O$3=1,L84,COMPLEX(I84,$D84*BASE!K$15)),2),COMPLEX(BASE!E$36,$D84*BASE!K$14-BASE!K$10/$D84))</f>
        <v>0.930156935327999+4.34905249350842i</v>
      </c>
      <c r="P84" s="2" t="str">
        <f>IMSUM(IMPRODUCT(IF($O$3=1,M84,COMPLEX(J84,$D84*BASE!L$15)),2),COMPLEX(BASE!F$36,$D84*BASE!L$14-BASE!L$10/$D84))</f>
        <v>0.930156935327999+3.50435331756777i</v>
      </c>
      <c r="Q84" s="2" t="str">
        <f>IMSUM(IMPRODUCT(IF($O$3=1,N84,COMPLEX(K84,$D84*BASE!M$15)),2),COMPLEX(BASE!G$36,$D84*BASE!M$14-BASE!M$10/$D84))</f>
        <v>0.930156935327999+1.81495496568647i</v>
      </c>
      <c r="R84" s="2" t="str">
        <f>COMPLEX(BASE!E$19,FRES!$D84*BASE!K$36)</f>
        <v>7.2+0.242247987313923i</v>
      </c>
      <c r="S84" s="2" t="str">
        <f>COMPLEX(BASE!F$19,FRES!$D84*BASE!L$36)</f>
        <v>7.2+0.242247987313923i</v>
      </c>
      <c r="T84" s="2" t="str">
        <f>COMPLEX(BASE!G$19,FRES!$D84*BASE!M$36)</f>
        <v>7.2+0.242247987313923i</v>
      </c>
      <c r="U84" s="2" t="str">
        <f>IMDIV(BASE!K$21*BASE!E$38,IMPRODUCT(FRES!R84,IMSUM(FRES!O84,IMDIV(BASE!K$21^2,FRES!R84))))</f>
        <v>0.106734464810706-0.224013528732687i</v>
      </c>
      <c r="V84" s="2" t="str">
        <f>IMDIV(BASE!L$21*BASE!F$38,IMPRODUCT(FRES!S84,IMSUM(FRES!P84,IMDIV(BASE!L$21^2,FRES!S84))))</f>
        <v>0.150040208796529-0.250763158419949i</v>
      </c>
      <c r="W84" s="2" t="str">
        <f>IMDIV(BASE!M$21*BASE!G$38,IMPRODUCT(FRES!T84,IMSUM(FRES!Q84,IMDIV(BASE!M$21^2,FRES!T84))))</f>
        <v>0.321805817047341-0.273499512894044i</v>
      </c>
      <c r="X84" s="2" t="str">
        <f t="shared" si="31"/>
        <v>-0.000257447677714365-0.00012266464553751i</v>
      </c>
      <c r="Y84" s="2" t="str">
        <f t="shared" si="25"/>
        <v>-0.000288189705134158-0.000172433796909376i</v>
      </c>
      <c r="Z84" s="2" t="str">
        <f t="shared" si="25"/>
        <v>-0.000314319473689481-0.000369835521731697i</v>
      </c>
      <c r="AA84" s="44" t="str">
        <f>IMPRODUCT(COMPLEX(0,$D84),U84,E$2,BASE!E$15^2/10000,1/(2*BASE!$U$3))</f>
        <v>0.464185815378023+0.221168002028197i</v>
      </c>
      <c r="AB84" s="44" t="str">
        <f>IMPRODUCT(COMPLEX(0,$D84),V84,F$2,BASE!F$15^2/10000,1/(2*BASE!$U$3))</f>
        <v>0.519614604601993+0.310903261306214i</v>
      </c>
      <c r="AC84" s="44" t="str">
        <f>IMPRODUCT(COMPLEX(0,$D84),W84,G$2,BASE!G$15^2/10000,1/(2*BASE!$U$3))</f>
        <v>0.566727353997032+0.666824438794327i</v>
      </c>
      <c r="AD84" s="44">
        <f t="shared" si="32"/>
        <v>0.44464245254750417</v>
      </c>
      <c r="AE84" s="44">
        <f t="shared" si="33"/>
        <v>0.53919384994186303</v>
      </c>
      <c r="AF84" s="44">
        <f t="shared" si="34"/>
        <v>0.86636618614794869</v>
      </c>
      <c r="AG84" s="31">
        <f t="shared" si="35"/>
        <v>88.201747773464504</v>
      </c>
      <c r="AH84" s="31">
        <f t="shared" si="36"/>
        <v>89.622037503007604</v>
      </c>
      <c r="AI84" s="31">
        <f t="shared" si="37"/>
        <v>92.820750637406348</v>
      </c>
      <c r="AJ84" s="2" t="str">
        <f>IMSUM(R84,IMDIV(BASE!K$21^2,FRES!O84))</f>
        <v>7.64126753652451-1.82094759521381i</v>
      </c>
      <c r="AK84" s="2" t="str">
        <f>IMSUM(S84,IMDIV(BASE!L$21^2,FRES!P84))</f>
        <v>7.86394634893479-2.25916064837632i</v>
      </c>
      <c r="AL84" s="2" t="str">
        <f>IMSUM(T84,IMDIV(BASE!M$21^2,FRES!Q84))</f>
        <v>9.29846047198151-3.85234197838535i</v>
      </c>
      <c r="AM84" s="31">
        <f t="shared" si="50"/>
        <v>0.24814170756585485</v>
      </c>
      <c r="AN84" s="31">
        <f t="shared" si="50"/>
        <v>0.29222290443504673</v>
      </c>
      <c r="AO84" s="31">
        <f t="shared" si="50"/>
        <v>0.42232803297766786</v>
      </c>
      <c r="AP84" s="31">
        <f t="shared" si="38"/>
        <v>0.40330118280352845</v>
      </c>
      <c r="AQ84" s="31">
        <f t="shared" si="39"/>
        <v>0.47494572418729464</v>
      </c>
      <c r="AR84" s="31">
        <f t="shared" si="40"/>
        <v>0.68640373640444152</v>
      </c>
      <c r="AS84" s="2">
        <f t="shared" si="41"/>
        <v>111.41534088462878</v>
      </c>
      <c r="AT84" s="2">
        <f t="shared" si="42"/>
        <v>111.71630733005995</v>
      </c>
      <c r="AU84" s="2">
        <f t="shared" si="43"/>
        <v>112.75772922106239</v>
      </c>
      <c r="AV84" s="2">
        <f t="shared" si="44"/>
        <v>111.41534088462878</v>
      </c>
      <c r="AW84" s="2">
        <f t="shared" si="45"/>
        <v>111.71630733005995</v>
      </c>
      <c r="AX84" s="2">
        <f t="shared" si="46"/>
        <v>112.75772922106239</v>
      </c>
      <c r="AY84">
        <f t="shared" si="47"/>
        <v>7.8552415436610419</v>
      </c>
      <c r="AZ84">
        <f t="shared" si="48"/>
        <v>8.182020472603142</v>
      </c>
      <c r="BA84">
        <f t="shared" si="49"/>
        <v>10.06488479156282</v>
      </c>
    </row>
    <row r="85" spans="1:53" x14ac:dyDescent="0.2">
      <c r="A85" s="2">
        <v>81</v>
      </c>
      <c r="B85" s="42">
        <f t="shared" si="27"/>
        <v>43290557638723.797</v>
      </c>
      <c r="C85" s="1">
        <v>142.54379490245429</v>
      </c>
      <c r="D85" s="2">
        <f t="shared" si="30"/>
        <v>895.6290777607212</v>
      </c>
      <c r="E85" s="2"/>
      <c r="F85" s="2">
        <f>$D85*BASE!E$15/100/E$3</f>
        <v>0.16402509272943441</v>
      </c>
      <c r="G85" s="2">
        <f>$D85*BASE!F$15/100/F$3</f>
        <v>0.16402509272943441</v>
      </c>
      <c r="H85" s="2">
        <f>$D85*BASE!G$15/100/G$3</f>
        <v>0.16402509272943441</v>
      </c>
      <c r="I85" s="2">
        <f>(1-BESSELJ(2*F85,1)/F85)*BASE!K$13*E$2*E$3</f>
        <v>6.8930884787676408E-2</v>
      </c>
      <c r="J85" s="2">
        <f>(1-BESSELJ(2*G85,1)/G85)*BASE!L$13*F$2*F$3</f>
        <v>6.8930884787676408E-2</v>
      </c>
      <c r="K85" s="2">
        <f>(1-BESSELJ(2*H85,1)/H85)*BASE!M$13*G$2*G$3</f>
        <v>6.8930884787676408E-2</v>
      </c>
      <c r="L85" s="2" t="str">
        <f>IMPRODUCT(COMPLEX(1-BESSELJ(2*F85,1)/F85,(STRUVE(2*F85)/(2*F85^2))),PI()*(BASE!E$15/100)^2*E$2*E$3)</f>
        <v>0.0689308847876762+0.711512255178301i</v>
      </c>
      <c r="M85" s="2" t="str">
        <f>IMPRODUCT(COMPLEX(1-BESSELJ(2*G85,1)/G85,(STRUVE(2*G85)/(2*G85^2))),PI()*(BASE!F$15/100)^2*F$2*F$3)</f>
        <v>0.0689308847876762+0.711512255178301i</v>
      </c>
      <c r="N85" s="2" t="str">
        <f>IMPRODUCT(COMPLEX(1-BESSELJ(2*H85,1)/H85,(STRUVE(2*H85)/(2*H85^2))),PI()*(BASE!G$15/100)^2*G$2*G$3)</f>
        <v>0.0689308847876762+0.711512255178301i</v>
      </c>
      <c r="O85" s="2" t="str">
        <f>IMSUM(IMPRODUCT(IF($O$3=1,L85,COMPLEX(I85,$D85*BASE!K$15)),2),COMPLEX(BASE!E$36,$D85*BASE!K$14-BASE!K$10/$D85))</f>
        <v>0.937861769575353+4.52525510118987i</v>
      </c>
      <c r="P85" s="2" t="str">
        <f>IMSUM(IMPRODUCT(IF($O$3=1,M85,COMPLEX(J85,$D85*BASE!L$15)),2),COMPLEX(BASE!F$36,$D85*BASE!L$14-BASE!L$10/$D85))</f>
        <v>0.937861769575353+3.7046028710974i</v>
      </c>
      <c r="Q85" s="2" t="str">
        <f>IMSUM(IMPRODUCT(IF($O$3=1,N85,COMPLEX(K85,$D85*BASE!M$15)),2),COMPLEX(BASE!G$36,$D85*BASE!M$14-BASE!M$10/$D85))</f>
        <v>0.937861769575353+2.06329841091245i</v>
      </c>
      <c r="R85" s="2" t="str">
        <f>COMPLEX(BASE!E$19,FRES!$D85*BASE!K$36)</f>
        <v>7.2+0.249346395164605i</v>
      </c>
      <c r="S85" s="2" t="str">
        <f>COMPLEX(BASE!F$19,FRES!$D85*BASE!L$36)</f>
        <v>7.2+0.249346395164605i</v>
      </c>
      <c r="T85" s="2" t="str">
        <f>COMPLEX(BASE!G$19,FRES!$D85*BASE!M$36)</f>
        <v>7.2+0.249346395164605i</v>
      </c>
      <c r="U85" s="2" t="str">
        <f>IMDIV(BASE!K$21*BASE!E$38,IMPRODUCT(FRES!R85,IMSUM(FRES!O85,IMDIV(BASE!K$21^2,FRES!R85))))</f>
        <v>0.0999159803346497-0.218476134594186i</v>
      </c>
      <c r="V85" s="2" t="str">
        <f>IMDIV(BASE!L$21*BASE!F$38,IMPRODUCT(FRES!S85,IMSUM(FRES!P85,IMDIV(BASE!L$21^2,FRES!S85))))</f>
        <v>0.138030621794199-0.244144309627421i</v>
      </c>
      <c r="W85" s="2" t="str">
        <f>IMDIV(BASE!M$21*BASE!G$38,IMPRODUCT(FRES!T85,IMSUM(FRES!Q85,IMDIV(BASE!M$21^2,FRES!T85))))</f>
        <v>0.287076796998258-0.277301670061886i</v>
      </c>
      <c r="X85" s="2" t="str">
        <f t="shared" si="31"/>
        <v>-0.000243935955206397-0.00011155955385511i</v>
      </c>
      <c r="Y85" s="2" t="str">
        <f t="shared" ref="Y85:Z148" si="51">IMDIV(V85,COMPLEX(0,$D85))</f>
        <v>-0.000272595336272286-0.000154115833464571i</v>
      </c>
      <c r="Z85" s="2" t="str">
        <f t="shared" si="51"/>
        <v>-0.000309616644822658-0.000320530902944795i</v>
      </c>
      <c r="AA85" s="44" t="str">
        <f>IMPRODUCT(COMPLEX(0,$D85),U85,E$2,BASE!E$15^2/10000,1/(2*BASE!$U$3))</f>
        <v>0.465977060886092+0.213105907143469i</v>
      </c>
      <c r="AB85" s="44" t="str">
        <f>IMPRODUCT(COMPLEX(0,$D85),V85,F$2,BASE!F$15^2/10000,1/(2*BASE!$U$3))</f>
        <v>0.520723455875702+0.29439876156456i</v>
      </c>
      <c r="AC85" s="44" t="str">
        <f>IMPRODUCT(COMPLEX(0,$D85),W85,G$2,BASE!G$15^2/10000,1/(2*BASE!$U$3))</f>
        <v>0.591443168079929+0.612292058179801i</v>
      </c>
      <c r="AD85" s="44">
        <f t="shared" si="32"/>
        <v>0.42893390719191371</v>
      </c>
      <c r="AE85" s="44">
        <f t="shared" si="33"/>
        <v>0.51456309547713674</v>
      </c>
      <c r="AF85" s="44">
        <f t="shared" si="34"/>
        <v>0.80271659457265476</v>
      </c>
      <c r="AG85" s="31">
        <f t="shared" si="35"/>
        <v>88.171499618475849</v>
      </c>
      <c r="AH85" s="31">
        <f t="shared" si="36"/>
        <v>89.516089266935452</v>
      </c>
      <c r="AI85" s="31">
        <f t="shared" si="37"/>
        <v>92.581022165439236</v>
      </c>
      <c r="AJ85" s="2" t="str">
        <f>IMSUM(R85,IMDIV(BASE!K$21^2,FRES!O85))</f>
        <v>7.61204817336947-1.73881770211002i</v>
      </c>
      <c r="AK85" s="2" t="str">
        <f>IMSUM(S85,IMDIV(BASE!L$21^2,FRES!P85))</f>
        <v>7.80261072629808-2.13099738173203i</v>
      </c>
      <c r="AL85" s="2" t="str">
        <f>IMSUM(T85,IMDIV(BASE!M$21^2,FRES!Q85))</f>
        <v>8.91319734094797-3.51969235428552i</v>
      </c>
      <c r="AM85" s="31">
        <f t="shared" si="50"/>
        <v>0.24023951488764494</v>
      </c>
      <c r="AN85" s="31">
        <f t="shared" si="50"/>
        <v>0.28046193409506259</v>
      </c>
      <c r="AO85" s="31">
        <f t="shared" si="50"/>
        <v>0.3991356957149913</v>
      </c>
      <c r="AP85" s="31">
        <f t="shared" si="38"/>
        <v>0.37934228422048744</v>
      </c>
      <c r="AQ85" s="31">
        <f t="shared" si="39"/>
        <v>0.44285416895831548</v>
      </c>
      <c r="AR85" s="31">
        <f t="shared" si="40"/>
        <v>0.63024205904373842</v>
      </c>
      <c r="AS85" s="2">
        <f t="shared" si="41"/>
        <v>111.36533903178626</v>
      </c>
      <c r="AT85" s="2">
        <f t="shared" si="42"/>
        <v>111.63790520355707</v>
      </c>
      <c r="AU85" s="2">
        <f t="shared" si="43"/>
        <v>112.55512627856262</v>
      </c>
      <c r="AV85" s="2">
        <f t="shared" si="44"/>
        <v>111.36533903178626</v>
      </c>
      <c r="AW85" s="2">
        <f t="shared" si="45"/>
        <v>111.63790520355707</v>
      </c>
      <c r="AX85" s="2">
        <f t="shared" si="46"/>
        <v>112.55512627856262</v>
      </c>
      <c r="AY85">
        <f t="shared" si="47"/>
        <v>7.8081216944197704</v>
      </c>
      <c r="AZ85">
        <f t="shared" si="48"/>
        <v>8.0883795649740993</v>
      </c>
      <c r="BA85">
        <f t="shared" si="49"/>
        <v>9.582970369749555</v>
      </c>
    </row>
    <row r="86" spans="1:53" x14ac:dyDescent="0.2">
      <c r="A86" s="2">
        <v>82</v>
      </c>
      <c r="B86" s="2"/>
      <c r="C86" s="1">
        <v>146.72064691274738</v>
      </c>
      <c r="D86" s="2">
        <f t="shared" si="30"/>
        <v>921.87301294205827</v>
      </c>
      <c r="E86" s="2"/>
      <c r="F86" s="2">
        <f>$D86*BASE!E$15/100/E$3</f>
        <v>0.168831394812063</v>
      </c>
      <c r="G86" s="2">
        <f>$D86*BASE!F$15/100/F$3</f>
        <v>0.168831394812063</v>
      </c>
      <c r="H86" s="2">
        <f>$D86*BASE!G$15/100/G$3</f>
        <v>0.168831394812063</v>
      </c>
      <c r="I86" s="2">
        <f>(1-BESSELJ(2*F86,1)/F86)*BASE!K$13*E$2*E$3</f>
        <v>7.3010258887952872E-2</v>
      </c>
      <c r="J86" s="2">
        <f>(1-BESSELJ(2*G86,1)/G86)*BASE!L$13*F$2*F$3</f>
        <v>7.3010258887952872E-2</v>
      </c>
      <c r="K86" s="2">
        <f>(1-BESSELJ(2*H86,1)/H86)*BASE!M$13*G$2*G$3</f>
        <v>7.3010258887952872E-2</v>
      </c>
      <c r="L86" s="2" t="str">
        <f>IMPRODUCT(COMPLEX(1-BESSELJ(2*F86,1)/F86,(STRUVE(2*F86)/(2*F86^2))),PI()*(BASE!E$15/100)^2*E$2*E$3)</f>
        <v>0.0730102588879529+0.732048455580318i</v>
      </c>
      <c r="M86" s="2" t="str">
        <f>IMPRODUCT(COMPLEX(1-BESSELJ(2*G86,1)/G86,(STRUVE(2*G86)/(2*G86^2))),PI()*(BASE!F$15/100)^2*F$2*F$3)</f>
        <v>0.0730102588879529+0.732048455580318i</v>
      </c>
      <c r="N86" s="2" t="str">
        <f>IMPRODUCT(COMPLEX(1-BESSELJ(2*H86,1)/H86,(STRUVE(2*H86)/(2*H86^2))),PI()*(BASE!G$15/100)^2*G$2*G$3)</f>
        <v>0.0730102588879529+0.732048455580318i</v>
      </c>
      <c r="O86" s="2" t="str">
        <f>IMSUM(IMPRODUCT(IF($O$3=1,L86,COMPLEX(I86,$D86*BASE!K$15)),2),COMPLEX(BASE!E$36,$D86*BASE!K$14-BASE!K$10/$D86))</f>
        <v>0.946020517775906+4.70523257620294i</v>
      </c>
      <c r="P86" s="2" t="str">
        <f>IMSUM(IMPRODUCT(IF($O$3=1,M86,COMPLEX(J86,$D86*BASE!L$15)),2),COMPLEX(BASE!F$36,$D86*BASE!L$14-BASE!L$10/$D86))</f>
        <v>0.946020517775906+3.90794272208917i</v>
      </c>
      <c r="Q86" s="2" t="str">
        <f>IMSUM(IMPRODUCT(IF($O$3=1,N86,COMPLEX(K86,$D86*BASE!M$15)),2),COMPLEX(BASE!G$36,$D86*BASE!M$14-BASE!M$10/$D86))</f>
        <v>0.946020517775906+2.31336301386162i</v>
      </c>
      <c r="R86" s="2" t="str">
        <f>COMPLEX(BASE!E$19,FRES!$D86*BASE!K$36)</f>
        <v>7.2+0.25665280224192i</v>
      </c>
      <c r="S86" s="2" t="str">
        <f>COMPLEX(BASE!F$19,FRES!$D86*BASE!L$36)</f>
        <v>7.2+0.25665280224192i</v>
      </c>
      <c r="T86" s="2" t="str">
        <f>COMPLEX(BASE!G$19,FRES!$D86*BASE!M$36)</f>
        <v>7.2+0.25665280224192i</v>
      </c>
      <c r="U86" s="2" t="str">
        <f>IMDIV(BASE!K$21*BASE!E$38,IMPRODUCT(FRES!R86,IMSUM(FRES!O86,IMDIV(BASE!K$21^2,FRES!R86))))</f>
        <v>0.0935489018126322-0.212978248311248i</v>
      </c>
      <c r="V86" s="2" t="str">
        <f>IMDIV(BASE!L$21*BASE!F$38,IMPRODUCT(FRES!S86,IMSUM(FRES!P86,IMDIV(BASE!L$21^2,FRES!S86))))</f>
        <v>0.127094084396011-0.237426673833183i</v>
      </c>
      <c r="W86" s="2" t="str">
        <f>IMDIV(BASE!M$21*BASE!G$38,IMPRODUCT(FRES!T86,IMSUM(FRES!Q86,IMDIV(BASE!M$21^2,FRES!T86))))</f>
        <v>0.255675794665616-0.276947985650084i</v>
      </c>
      <c r="X86" s="2" t="str">
        <f t="shared" si="31"/>
        <v>-0.000231027750374806-0.000101476993576459i</v>
      </c>
      <c r="Y86" s="2" t="str">
        <f t="shared" si="51"/>
        <v>-0.000257548133528133-0.000137865066675945i</v>
      </c>
      <c r="Z86" s="2" t="str">
        <f t="shared" si="51"/>
        <v>-0.000300418801464026-0.000277343832693024i</v>
      </c>
      <c r="AA86" s="44" t="str">
        <f>IMPRODUCT(COMPLEX(0,$D86),U86,E$2,BASE!E$15^2/10000,1/(2*BASE!$U$3))</f>
        <v>0.467561455178359+0.205372431263168i</v>
      </c>
      <c r="AB86" s="44" t="str">
        <f>IMPRODUCT(COMPLEX(0,$D86),V86,F$2,BASE!F$15^2/10000,1/(2*BASE!$U$3))</f>
        <v>0.521234266859813+0.279015793941159i</v>
      </c>
      <c r="AC86" s="44" t="str">
        <f>IMPRODUCT(COMPLEX(0,$D86),W86,G$2,BASE!G$15^2/10000,1/(2*BASE!$U$3))</f>
        <v>0.607997315247098+0.561297444953327i</v>
      </c>
      <c r="AD86" s="44">
        <f t="shared" si="32"/>
        <v>0.41387128958494468</v>
      </c>
      <c r="AE86" s="44">
        <f t="shared" si="33"/>
        <v>0.49148586192235122</v>
      </c>
      <c r="AF86" s="44">
        <f t="shared" si="34"/>
        <v>0.74548088542830682</v>
      </c>
      <c r="AG86" s="31">
        <f t="shared" si="35"/>
        <v>88.142335240487569</v>
      </c>
      <c r="AH86" s="31">
        <f t="shared" si="36"/>
        <v>89.414306461206593</v>
      </c>
      <c r="AI86" s="31">
        <f t="shared" si="37"/>
        <v>92.334502040259082</v>
      </c>
      <c r="AJ86" s="2" t="str">
        <f>IMSUM(R86,IMDIV(BASE!K$21^2,FRES!O86))</f>
        <v>7.58537893119366-1.66011059470613i</v>
      </c>
      <c r="AK86" s="2" t="str">
        <f>IMSUM(S86,IMDIV(BASE!L$21^2,FRES!P86))</f>
        <v>7.74907521815644-2.01153743502549i</v>
      </c>
      <c r="AL86" s="2" t="str">
        <f>IMSUM(T86,IMDIV(BASE!M$21^2,FRES!Q86))</f>
        <v>8.62107363702888-3.21838725249731i</v>
      </c>
      <c r="AM86" s="31">
        <f t="shared" si="50"/>
        <v>0.2326179943256263</v>
      </c>
      <c r="AN86" s="31">
        <f t="shared" si="50"/>
        <v>0.26930341946575614</v>
      </c>
      <c r="AO86" s="31">
        <f t="shared" si="50"/>
        <v>0.37692213882118064</v>
      </c>
      <c r="AP86" s="31">
        <f t="shared" si="38"/>
        <v>0.35685123418186565</v>
      </c>
      <c r="AQ86" s="31">
        <f t="shared" si="39"/>
        <v>0.4131290783602331</v>
      </c>
      <c r="AR86" s="31">
        <f t="shared" si="40"/>
        <v>0.57822324029035355</v>
      </c>
      <c r="AS86" s="2">
        <f t="shared" si="41"/>
        <v>111.31739323082522</v>
      </c>
      <c r="AT86" s="2">
        <f t="shared" si="42"/>
        <v>111.56444808769446</v>
      </c>
      <c r="AU86" s="2">
        <f t="shared" si="43"/>
        <v>112.37293935792876</v>
      </c>
      <c r="AV86" s="2">
        <f t="shared" si="44"/>
        <v>111.31739323082522</v>
      </c>
      <c r="AW86" s="2">
        <f t="shared" si="45"/>
        <v>111.56444808769446</v>
      </c>
      <c r="AX86" s="2">
        <f t="shared" si="46"/>
        <v>112.37293935792876</v>
      </c>
      <c r="AY86">
        <f t="shared" si="47"/>
        <v>7.7649173026151548</v>
      </c>
      <c r="AZ86">
        <f t="shared" si="48"/>
        <v>8.0059009230164229</v>
      </c>
      <c r="BA86">
        <f t="shared" si="49"/>
        <v>9.202224033466667</v>
      </c>
    </row>
    <row r="87" spans="1:53" x14ac:dyDescent="0.2">
      <c r="A87" s="2">
        <v>83</v>
      </c>
      <c r="B87" s="2"/>
      <c r="C87" s="1">
        <v>151.01989002907092</v>
      </c>
      <c r="D87" s="2">
        <f t="shared" si="30"/>
        <v>948.88595412253528</v>
      </c>
      <c r="E87" s="2"/>
      <c r="F87" s="2">
        <f>$D87*BASE!E$15/100/E$3</f>
        <v>0.17377853229569687</v>
      </c>
      <c r="G87" s="2">
        <f>$D87*BASE!F$15/100/F$3</f>
        <v>0.17377853229569687</v>
      </c>
      <c r="H87" s="2">
        <f>$D87*BASE!G$15/100/G$3</f>
        <v>0.17377853229569687</v>
      </c>
      <c r="I87" s="2">
        <f>(1-BESSELJ(2*F87,1)/F87)*BASE!K$13*E$2*E$3</f>
        <v>7.7329826904036614E-2</v>
      </c>
      <c r="J87" s="2">
        <f>(1-BESSELJ(2*G87,1)/G87)*BASE!L$13*F$2*F$3</f>
        <v>7.7329826904036614E-2</v>
      </c>
      <c r="K87" s="2">
        <f>(1-BESSELJ(2*H87,1)/H87)*BASE!M$13*G$2*G$3</f>
        <v>7.7329826904036614E-2</v>
      </c>
      <c r="L87" s="2" t="str">
        <f>IMPRODUCT(COMPLEX(1-BESSELJ(2*F87,1)/F87,(STRUVE(2*F87)/(2*F87^2))),PI()*(BASE!E$15/100)^2*E$2*E$3)</f>
        <v>0.0773298269040365+0.75315823932865i</v>
      </c>
      <c r="M87" s="2" t="str">
        <f>IMPRODUCT(COMPLEX(1-BESSELJ(2*G87,1)/G87,(STRUVE(2*G87)/(2*G87^2))),PI()*(BASE!F$15/100)^2*F$2*F$3)</f>
        <v>0.0773298269040365+0.75315823932865i</v>
      </c>
      <c r="N87" s="2" t="str">
        <f>IMPRODUCT(COMPLEX(1-BESSELJ(2*H87,1)/H87,(STRUVE(2*H87)/(2*H87^2))),PI()*(BASE!G$15/100)^2*G$2*G$3)</f>
        <v>0.0773298269040365+0.75315823932865i</v>
      </c>
      <c r="O87" s="2" t="str">
        <f>IMSUM(IMPRODUCT(IF($O$3=1,L87,COMPLEX(I87,$D87*BASE!K$15)),2),COMPLEX(BASE!E$36,$D87*BASE!K$14-BASE!K$10/$D87))</f>
        <v>0.954659653808073+4.88913505176126i</v>
      </c>
      <c r="P87" s="2" t="str">
        <f>IMSUM(IMPRODUCT(IF($O$3=1,M87,COMPLEX(J87,$D87*BASE!L$15)),2),COMPLEX(BASE!F$36,$D87*BASE!L$14-BASE!L$10/$D87))</f>
        <v>0.954659653808073+4.11454249213203i</v>
      </c>
      <c r="Q87" s="2" t="str">
        <f>IMSUM(IMPRODUCT(IF($O$3=1,N87,COMPLEX(K87,$D87*BASE!M$15)),2),COMPLEX(BASE!G$36,$D87*BASE!M$14-BASE!M$10/$D87))</f>
        <v>0.954659653808073+2.56535737287357i</v>
      </c>
      <c r="R87" s="2" t="str">
        <f>COMPLEX(BASE!E$19,FRES!$D87*BASE!K$36)</f>
        <v>7.2+0.264173303388428i</v>
      </c>
      <c r="S87" s="2" t="str">
        <f>COMPLEX(BASE!F$19,FRES!$D87*BASE!L$36)</f>
        <v>7.2+0.264173303388428i</v>
      </c>
      <c r="T87" s="2" t="str">
        <f>COMPLEX(BASE!G$19,FRES!$D87*BASE!M$36)</f>
        <v>7.2+0.264173303388428i</v>
      </c>
      <c r="U87" s="2" t="str">
        <f>IMDIV(BASE!K$21*BASE!E$38,IMPRODUCT(FRES!R87,IMSUM(FRES!O87,IMDIV(BASE!K$21^2,FRES!R87))))</f>
        <v>0.0876020950668452-0.207535330787796i</v>
      </c>
      <c r="V87" s="2" t="str">
        <f>IMDIV(BASE!L$21*BASE!F$38,IMPRODUCT(FRES!S87,IMSUM(FRES!P87,IMDIV(BASE!L$21^2,FRES!S87))))</f>
        <v>0.117129321578529-0.230683140617558i</v>
      </c>
      <c r="W87" s="2" t="str">
        <f>IMDIV(BASE!M$21*BASE!G$38,IMPRODUCT(FRES!T87,IMSUM(FRES!Q87,IMDIV(BASE!M$21^2,FRES!T87))))</f>
        <v>0.227651989862656-0.27358679285394i</v>
      </c>
      <c r="X87" s="2" t="str">
        <f t="shared" si="31"/>
        <v>-0.000218714725290365-0.0000923209946213754i</v>
      </c>
      <c r="Y87" s="2" t="str">
        <f t="shared" si="51"/>
        <v>-0.00024310944810104-0.000123438776883195i</v>
      </c>
      <c r="Z87" s="2" t="str">
        <f t="shared" si="51"/>
        <v>-0.000288324209738076-0.000239915017050888i</v>
      </c>
      <c r="AA87" s="44" t="str">
        <f>IMPRODUCT(COMPLEX(0,$D87),U87,E$2,BASE!E$15^2/10000,1/(2*BASE!$U$3))</f>
        <v>0.468962815982055+0.1979524403509i</v>
      </c>
      <c r="AB87" s="44" t="str">
        <f>IMPRODUCT(COMPLEX(0,$D87),V87,F$2,BASE!F$15^2/10000,1/(2*BASE!$U$3))</f>
        <v>0.52126938971278+0.264674435302294i</v>
      </c>
      <c r="AC87" s="44" t="str">
        <f>IMPRODUCT(COMPLEX(0,$D87),W87,G$2,BASE!G$15^2/10000,1/(2*BASE!$U$3))</f>
        <v>0.618217786365595+0.514419968034606i</v>
      </c>
      <c r="AD87" s="44">
        <f t="shared" si="32"/>
        <v>0.39941761568334161</v>
      </c>
      <c r="AE87" s="44">
        <f t="shared" si="33"/>
        <v>0.46982822125432538</v>
      </c>
      <c r="AF87" s="44">
        <f t="shared" si="34"/>
        <v>0.69401087178942344</v>
      </c>
      <c r="AG87" s="31">
        <f t="shared" si="35"/>
        <v>88.114263475252713</v>
      </c>
      <c r="AH87" s="31">
        <f t="shared" si="36"/>
        <v>89.316794535365148</v>
      </c>
      <c r="AI87" s="31">
        <f t="shared" si="37"/>
        <v>92.08724210717773</v>
      </c>
      <c r="AJ87" s="2" t="str">
        <f>IMSUM(R87,IMDIV(BASE!K$21^2,FRES!O87))</f>
        <v>7.56098898353082-1.58457340507465i</v>
      </c>
      <c r="AK87" s="2" t="str">
        <f>IMSUM(S87,IMDIV(BASE!L$21^2,FRES!P87))</f>
        <v>7.70210360865632-1.89987188803496i</v>
      </c>
      <c r="AL87" s="2" t="str">
        <f>IMSUM(T87,IMDIV(BASE!M$21^2,FRES!Q87))</f>
        <v>8.39559921563482-2.94863583816902i</v>
      </c>
      <c r="AM87" s="31">
        <f t="shared" si="50"/>
        <v>0.2252665989118238</v>
      </c>
      <c r="AN87" s="31">
        <f t="shared" si="50"/>
        <v>0.25871603997167725</v>
      </c>
      <c r="AO87" s="31">
        <f t="shared" si="50"/>
        <v>0.3559145427100886</v>
      </c>
      <c r="AP87" s="31">
        <f t="shared" si="38"/>
        <v>0.3357358995005445</v>
      </c>
      <c r="AQ87" s="31">
        <f t="shared" si="39"/>
        <v>0.38558873270470817</v>
      </c>
      <c r="AR87" s="31">
        <f t="shared" si="40"/>
        <v>0.53045276005995845</v>
      </c>
      <c r="AS87" s="2">
        <f t="shared" si="41"/>
        <v>111.27138575787966</v>
      </c>
      <c r="AT87" s="2">
        <f t="shared" si="42"/>
        <v>111.49550967633397</v>
      </c>
      <c r="AU87" s="2">
        <f t="shared" si="43"/>
        <v>112.20910521609605</v>
      </c>
      <c r="AV87" s="2">
        <f t="shared" si="44"/>
        <v>111.27138575787966</v>
      </c>
      <c r="AW87" s="2">
        <f t="shared" si="45"/>
        <v>111.49550967633397</v>
      </c>
      <c r="AX87" s="2">
        <f t="shared" si="46"/>
        <v>112.20910521609605</v>
      </c>
      <c r="AY87">
        <f t="shared" si="47"/>
        <v>7.7252460986783005</v>
      </c>
      <c r="AZ87">
        <f t="shared" si="48"/>
        <v>7.9329637078094741</v>
      </c>
      <c r="BA87">
        <f t="shared" si="49"/>
        <v>8.8983447615667668</v>
      </c>
    </row>
    <row r="88" spans="1:53" x14ac:dyDescent="0.2">
      <c r="A88" s="2">
        <v>84</v>
      </c>
      <c r="B88" s="2"/>
      <c r="C88" s="1">
        <v>155.44511058457698</v>
      </c>
      <c r="D88" s="2">
        <f t="shared" si="30"/>
        <v>976.69043489792011</v>
      </c>
      <c r="E88" s="2"/>
      <c r="F88" s="2">
        <f>$D88*BASE!E$15/100/E$3</f>
        <v>0.17887063197258421</v>
      </c>
      <c r="G88" s="2">
        <f>$D88*BASE!F$15/100/F$3</f>
        <v>0.17887063197258421</v>
      </c>
      <c r="H88" s="2">
        <f>$D88*BASE!G$15/100/G$3</f>
        <v>0.17887063197258421</v>
      </c>
      <c r="I88" s="2">
        <f>(1-BESSELJ(2*F88,1)/F88)*BASE!K$13*E$2*E$3</f>
        <v>8.1903581392849797E-2</v>
      </c>
      <c r="J88" s="2">
        <f>(1-BESSELJ(2*G88,1)/G88)*BASE!L$13*F$2*F$3</f>
        <v>8.1903581392849797E-2</v>
      </c>
      <c r="K88" s="2">
        <f>(1-BESSELJ(2*H88,1)/H88)*BASE!M$13*G$2*G$3</f>
        <v>8.1903581392849797E-2</v>
      </c>
      <c r="L88" s="2" t="str">
        <f>IMPRODUCT(COMPLEX(1-BESSELJ(2*F88,1)/F88,(STRUVE(2*F88)/(2*F88^2))),PI()*(BASE!E$15/100)^2*E$2*E$3)</f>
        <v>0.0819035813928495+0.774855883718017i</v>
      </c>
      <c r="M88" s="2" t="str">
        <f>IMPRODUCT(COMPLEX(1-BESSELJ(2*G88,1)/G88,(STRUVE(2*G88)/(2*G88^2))),PI()*(BASE!F$15/100)^2*F$2*F$3)</f>
        <v>0.0819035813928495+0.774855883718017i</v>
      </c>
      <c r="N88" s="2" t="str">
        <f>IMPRODUCT(COMPLEX(1-BESSELJ(2*H88,1)/H88,(STRUVE(2*H88)/(2*H88^2))),PI()*(BASE!G$15/100)^2*G$2*G$3)</f>
        <v>0.0819035813928495+0.774855883718017i</v>
      </c>
      <c r="O88" s="2" t="str">
        <f>IMSUM(IMPRODUCT(IF($O$3=1,L88,COMPLEX(I88,$D88*BASE!K$15)),2),COMPLEX(BASE!E$36,$D88*BASE!K$14-BASE!K$10/$D88))</f>
        <v>0.9638071627857+5.07711593522678i</v>
      </c>
      <c r="P88" s="2" t="str">
        <f>IMSUM(IMPRODUCT(IF($O$3=1,M88,COMPLEX(J88,$D88*BASE!L$15)),2),COMPLEX(BASE!F$36,$D88*BASE!L$14-BASE!L$10/$D88))</f>
        <v>0.9638071627857+4.32457452216705i</v>
      </c>
      <c r="Q88" s="2" t="str">
        <f>IMSUM(IMPRODUCT(IF($O$3=1,N88,COMPLEX(K88,$D88*BASE!M$15)),2),COMPLEX(BASE!G$36,$D88*BASE!M$14-BASE!M$10/$D88))</f>
        <v>0.9638071627857+2.81949169604759i</v>
      </c>
      <c r="R88" s="2" t="str">
        <f>COMPLEX(BASE!E$19,FRES!$D88*BASE!K$36)</f>
        <v>7.2+0.271914172039209i</v>
      </c>
      <c r="S88" s="2" t="str">
        <f>COMPLEX(BASE!F$19,FRES!$D88*BASE!L$36)</f>
        <v>7.2+0.271914172039209i</v>
      </c>
      <c r="T88" s="2" t="str">
        <f>COMPLEX(BASE!G$19,FRES!$D88*BASE!M$36)</f>
        <v>7.2+0.271914172039209i</v>
      </c>
      <c r="U88" s="2" t="str">
        <f>IMDIV(BASE!K$21*BASE!E$38,IMPRODUCT(FRES!R88,IMSUM(FRES!O88,IMDIV(BASE!K$21^2,FRES!R88))))</f>
        <v>0.0820464422489286-0.202160043822702i</v>
      </c>
      <c r="V88" s="2" t="str">
        <f>IMDIV(BASE!L$21*BASE!F$38,IMPRODUCT(FRES!S88,IMSUM(FRES!P88,IMDIV(BASE!L$21^2,FRES!S88))))</f>
        <v>0.108043118834119-0.223969828761427i</v>
      </c>
      <c r="W88" s="2" t="str">
        <f>IMDIV(BASE!M$21*BASE!G$38,IMPRODUCT(FRES!T88,IMSUM(FRES!Q88,IMDIV(BASE!M$21^2,FRES!T88))))</f>
        <v>0.202849133511879-0.268129890801093i</v>
      </c>
      <c r="X88" s="2" t="str">
        <f t="shared" si="31"/>
        <v>-0.000206984768765378-0.0000840045518184109i</v>
      </c>
      <c r="Y88" s="2" t="str">
        <f t="shared" si="51"/>
        <v>-0.000229315063154924-0.000110621661658242i</v>
      </c>
      <c r="Z88" s="2" t="str">
        <f t="shared" si="51"/>
        <v>-0.000274529043410891-0.000207690304178191i</v>
      </c>
      <c r="AA88" s="44" t="str">
        <f>IMPRODUCT(COMPLEX(0,$D88),U88,E$2,BASE!E$15^2/10000,1/(2*BASE!$U$3))</f>
        <v>0.47020214595959+0.190831048926908i</v>
      </c>
      <c r="AB88" s="44" t="str">
        <f>IMPRODUCT(COMPLEX(0,$D88),V88,F$2,BASE!F$15^2/10000,1/(2*BASE!$U$3))</f>
        <v>0.520929319772925+0.25129647467095i</v>
      </c>
      <c r="AC88" s="44" t="str">
        <f>IMPRODUCT(COMPLEX(0,$D88),W88,G$2,BASE!G$15^2/10000,1/(2*BASE!$U$3))</f>
        <v>0.623640793039968+0.471804893191352i</v>
      </c>
      <c r="AD88" s="44">
        <f t="shared" si="32"/>
        <v>0.38553838698666454</v>
      </c>
      <c r="AE88" s="44">
        <f t="shared" si="33"/>
        <v>0.44946899927748346</v>
      </c>
      <c r="AF88" s="44">
        <f t="shared" si="34"/>
        <v>0.64766918848246369</v>
      </c>
      <c r="AG88" s="31">
        <f t="shared" si="35"/>
        <v>88.087282844566886</v>
      </c>
      <c r="AH88" s="31">
        <f t="shared" si="36"/>
        <v>89.223585582039661</v>
      </c>
      <c r="AI88" s="31">
        <f t="shared" si="37"/>
        <v>91.843561396111937</v>
      </c>
      <c r="AJ88" s="2" t="str">
        <f>IMSUM(R88,IMDIV(BASE!K$21^2,FRES!O88))</f>
        <v>7.53864195255988-1.51197426546594i</v>
      </c>
      <c r="AK88" s="2" t="str">
        <f>IMSUM(S88,IMDIV(BASE!L$21^2,FRES!P88))</f>
        <v>7.66069189712109-1.79519688272855i</v>
      </c>
      <c r="AL88" s="2" t="str">
        <f>IMSUM(T88,IMDIV(BASE!M$21^2,FRES!Q88))</f>
        <v>8.21862087283586-2.70792785785451i</v>
      </c>
      <c r="AM88" s="31">
        <f t="shared" si="50"/>
        <v>0.21817493440838609</v>
      </c>
      <c r="AN88" s="31">
        <f t="shared" si="50"/>
        <v>0.24866805127081865</v>
      </c>
      <c r="AO88" s="31">
        <f t="shared" si="50"/>
        <v>0.33621631326800039</v>
      </c>
      <c r="AP88" s="31">
        <f t="shared" si="38"/>
        <v>0.31590966818718635</v>
      </c>
      <c r="AQ88" s="31">
        <f t="shared" si="39"/>
        <v>0.36006263404518213</v>
      </c>
      <c r="AR88" s="31">
        <f t="shared" si="40"/>
        <v>0.48682945294164026</v>
      </c>
      <c r="AS88" s="2">
        <f t="shared" si="41"/>
        <v>111.22720680081207</v>
      </c>
      <c r="AT88" s="2">
        <f t="shared" si="42"/>
        <v>111.43070426003158</v>
      </c>
      <c r="AU88" s="2">
        <f t="shared" si="43"/>
        <v>112.06159505670601</v>
      </c>
      <c r="AV88" s="2">
        <f t="shared" si="44"/>
        <v>111.22720680081207</v>
      </c>
      <c r="AW88" s="2">
        <f t="shared" si="45"/>
        <v>111.43070426003158</v>
      </c>
      <c r="AX88" s="2">
        <f t="shared" si="46"/>
        <v>112.06159505670601</v>
      </c>
      <c r="AY88">
        <f t="shared" si="47"/>
        <v>7.6887702962389968</v>
      </c>
      <c r="AZ88">
        <f t="shared" si="48"/>
        <v>7.8682229372568644</v>
      </c>
      <c r="BA88">
        <f t="shared" si="49"/>
        <v>8.6532423018633757</v>
      </c>
    </row>
    <row r="89" spans="1:53" x14ac:dyDescent="0.2">
      <c r="A89" s="2">
        <v>85</v>
      </c>
      <c r="B89" s="2"/>
      <c r="C89" s="1">
        <v>160</v>
      </c>
      <c r="D89" s="2">
        <f t="shared" si="30"/>
        <v>1005.3096491487338</v>
      </c>
      <c r="E89" s="2"/>
      <c r="F89" s="2">
        <f>$D89*BASE!E$15/100/E$3</f>
        <v>0.18411194155921579</v>
      </c>
      <c r="G89" s="2">
        <f>$D89*BASE!F$15/100/F$3</f>
        <v>0.18411194155921579</v>
      </c>
      <c r="H89" s="2">
        <f>$D89*BASE!G$15/100/G$3</f>
        <v>0.18411194155921579</v>
      </c>
      <c r="I89" s="2">
        <f>(1-BESSELJ(2*F89,1)/F89)*BASE!K$13*E$2*E$3</f>
        <v>8.6746311637842119E-2</v>
      </c>
      <c r="J89" s="2">
        <f>(1-BESSELJ(2*G89,1)/G89)*BASE!L$13*F$2*F$3</f>
        <v>8.6746311637842119E-2</v>
      </c>
      <c r="K89" s="2">
        <f>(1-BESSELJ(2*H89,1)/H89)*BASE!M$13*G$2*G$3</f>
        <v>8.6746311637842119E-2</v>
      </c>
      <c r="L89" s="2" t="str">
        <f>IMPRODUCT(COMPLEX(1-BESSELJ(2*F89,1)/F89,(STRUVE(2*F89)/(2*F89^2))),PI()*(BASE!E$15/100)^2*E$2*E$3)</f>
        <v>0.0867463116378422+0.797155858500543i</v>
      </c>
      <c r="M89" s="2" t="str">
        <f>IMPRODUCT(COMPLEX(1-BESSELJ(2*G89,1)/G89,(STRUVE(2*G89)/(2*G89^2))),PI()*(BASE!F$15/100)^2*F$2*F$3)</f>
        <v>0.0867463116378422+0.797155858500543i</v>
      </c>
      <c r="N89" s="2" t="str">
        <f>IMPRODUCT(COMPLEX(1-BESSELJ(2*H89,1)/H89,(STRUVE(2*H89)/(2*H89^2))),PI()*(BASE!G$15/100)^2*G$2*G$3)</f>
        <v>0.0867463116378422+0.797155858500543i</v>
      </c>
      <c r="O89" s="2" t="str">
        <f>IMSUM(IMPRODUCT(IF($O$3=1,L89,COMPLEX(I89,$D89*BASE!K$15)),2),COMPLEX(BASE!E$36,$D89*BASE!K$14-BASE!K$10/$D89))</f>
        <v>0.973492623275684+5.26933203607874i</v>
      </c>
      <c r="P89" s="2" t="str">
        <f>IMSUM(IMPRODUCT(IF($O$3=1,M89,COMPLEX(J89,$D89*BASE!L$15)),2),COMPLEX(BASE!F$36,$D89*BASE!L$14-BASE!L$10/$D89))</f>
        <v>0.973492623275684+4.53821401625035i</v>
      </c>
      <c r="Q89" s="2" t="str">
        <f>IMSUM(IMPRODUCT(IF($O$3=1,N89,COMPLEX(K89,$D89*BASE!M$15)),2),COMPLEX(BASE!G$36,$D89*BASE!M$14-BASE!M$10/$D89))</f>
        <v>0.973492623275684+3.07597797659356i</v>
      </c>
      <c r="R89" s="2" t="str">
        <f>COMPLEX(BASE!E$19,FRES!$D89*BASE!K$36)</f>
        <v>7.2+0.279881865455021i</v>
      </c>
      <c r="S89" s="2" t="str">
        <f>COMPLEX(BASE!F$19,FRES!$D89*BASE!L$36)</f>
        <v>7.2+0.279881865455021i</v>
      </c>
      <c r="T89" s="2" t="str">
        <f>COMPLEX(BASE!G$19,FRES!$D89*BASE!M$36)</f>
        <v>7.2+0.279881865455021i</v>
      </c>
      <c r="U89" s="2" t="str">
        <f>IMDIV(BASE!K$21*BASE!E$38,IMPRODUCT(FRES!R89,IMSUM(FRES!O89,IMDIV(BASE!K$21^2,FRES!R89))))</f>
        <v>0.0768547757155555-0.196862663312498i</v>
      </c>
      <c r="V89" s="2" t="str">
        <f>IMDIV(BASE!L$21*BASE!F$38,IMPRODUCT(FRES!S89,IMSUM(FRES!P89,IMDIV(BASE!L$21^2,FRES!S89))))</f>
        <v>0.0997504360392984-0.21732944779118i</v>
      </c>
      <c r="W89" s="2" t="str">
        <f>IMDIV(BASE!M$21*BASE!G$38,IMPRODUCT(FRES!T89,IMSUM(FRES!Q89,IMDIV(BASE!M$21^2,FRES!T89))))</f>
        <v>0.181004308697911-0.261275010272645i</v>
      </c>
      <c r="X89" s="2" t="str">
        <f t="shared" si="31"/>
        <v>-0.000195822912352623-0.0000764488590959354i</v>
      </c>
      <c r="Y89" s="2" t="str">
        <f t="shared" si="51"/>
        <v>-0.00021618159934624-0.0000992235935701646i</v>
      </c>
      <c r="Z89" s="2" t="str">
        <f t="shared" si="51"/>
        <v>-0.000259895058695483-0.000180048315313775i</v>
      </c>
      <c r="AA89" s="44" t="str">
        <f>IMPRODUCT(COMPLEX(0,$D89),U89,E$2,BASE!E$15^2/10000,1/(2*BASE!$U$3))</f>
        <v>0.471297956373688+0.183993745298476i</v>
      </c>
      <c r="AB89" s="44" t="str">
        <f>IMPRODUCT(COMPLEX(0,$D89),V89,F$2,BASE!F$15^2/10000,1/(2*BASE!$U$3))</f>
        <v>0.520296347109831+0.238806972646098i</v>
      </c>
      <c r="AC89" s="44" t="str">
        <f>IMPRODUCT(COMPLEX(0,$D89),W89,G$2,BASE!G$15^2/10000,1/(2*BASE!$U$3))</f>
        <v>0.625503974806758+0.433332351339483i</v>
      </c>
      <c r="AD89" s="44">
        <f t="shared" si="32"/>
        <v>0.37220142031758358</v>
      </c>
      <c r="AE89" s="44">
        <f t="shared" si="33"/>
        <v>0.43029870429222122</v>
      </c>
      <c r="AF89" s="44">
        <f t="shared" si="34"/>
        <v>0.60585923623124605</v>
      </c>
      <c r="AG89" s="31">
        <f t="shared" si="35"/>
        <v>88.061383441687283</v>
      </c>
      <c r="AH89" s="31">
        <f t="shared" si="36"/>
        <v>89.134655608549096</v>
      </c>
      <c r="AI89" s="31">
        <f t="shared" si="37"/>
        <v>91.606426861122387</v>
      </c>
      <c r="AJ89" s="2" t="str">
        <f>IMSUM(R89,IMDIV(BASE!K$21^2,FRES!O89))</f>
        <v>7.51813082784754-1.44210032810349i</v>
      </c>
      <c r="AK89" s="2" t="str">
        <f>IMSUM(S89,IMDIV(BASE!L$21^2,FRES!P89))</f>
        <v>7.62401862647589-1.69680211531221i</v>
      </c>
      <c r="AL89" s="2" t="str">
        <f>IMSUM(T89,IMDIV(BASE!M$21^2,FRES!Q89))</f>
        <v>8.07754602820712-2.49293036924832i</v>
      </c>
      <c r="AM89" s="31">
        <f t="shared" si="50"/>
        <v>0.21133282933983136</v>
      </c>
      <c r="AN89" s="31">
        <f t="shared" si="50"/>
        <v>0.23912807942031694</v>
      </c>
      <c r="AO89" s="31">
        <f t="shared" si="50"/>
        <v>0.31784774776641</v>
      </c>
      <c r="AP89" s="31">
        <f t="shared" si="38"/>
        <v>0.29729124124108758</v>
      </c>
      <c r="AQ89" s="31">
        <f t="shared" si="39"/>
        <v>0.33639204930222555</v>
      </c>
      <c r="AR89" s="31">
        <f t="shared" si="40"/>
        <v>0.44713048963732521</v>
      </c>
      <c r="AS89" s="2">
        <f t="shared" si="41"/>
        <v>111.18475391738735</v>
      </c>
      <c r="AT89" s="2">
        <f t="shared" si="42"/>
        <v>111.3696833158829</v>
      </c>
      <c r="AU89" s="2">
        <f t="shared" si="43"/>
        <v>111.92850984528167</v>
      </c>
      <c r="AV89" s="2">
        <f t="shared" si="44"/>
        <v>111.18475391738735</v>
      </c>
      <c r="AW89" s="2">
        <f t="shared" si="45"/>
        <v>111.3696833158829</v>
      </c>
      <c r="AX89" s="2">
        <f t="shared" si="46"/>
        <v>111.92850984528167</v>
      </c>
      <c r="AY89">
        <f t="shared" si="47"/>
        <v>7.6551906900447451</v>
      </c>
      <c r="AZ89">
        <f t="shared" si="48"/>
        <v>7.8105567941971534</v>
      </c>
      <c r="BA89">
        <f t="shared" si="49"/>
        <v>8.4534875444236146</v>
      </c>
    </row>
    <row r="90" spans="1:53" x14ac:dyDescent="0.2">
      <c r="A90" s="2">
        <v>86</v>
      </c>
      <c r="B90" s="2"/>
      <c r="C90" s="1">
        <v>164.6883578629587</v>
      </c>
      <c r="D90" s="2">
        <f t="shared" si="30"/>
        <v>1034.7674703880757</v>
      </c>
      <c r="E90" s="2"/>
      <c r="F90" s="2">
        <f>$D90*BASE!E$15/100/E$3</f>
        <v>0.18950683323967663</v>
      </c>
      <c r="G90" s="2">
        <f>$D90*BASE!F$15/100/F$3</f>
        <v>0.18950683323967663</v>
      </c>
      <c r="H90" s="2">
        <f>$D90*BASE!G$15/100/G$3</f>
        <v>0.18950683323967663</v>
      </c>
      <c r="I90" s="2">
        <f>(1-BESSELJ(2*F90,1)/F90)*BASE!K$13*E$2*E$3</f>
        <v>9.187364674054746E-2</v>
      </c>
      <c r="J90" s="2">
        <f>(1-BESSELJ(2*G90,1)/G90)*BASE!L$13*F$2*F$3</f>
        <v>9.187364674054746E-2</v>
      </c>
      <c r="K90" s="2">
        <f>(1-BESSELJ(2*H90,1)/H90)*BASE!M$13*G$2*G$3</f>
        <v>9.187364674054746E-2</v>
      </c>
      <c r="L90" s="2" t="str">
        <f>IMPRODUCT(COMPLEX(1-BESSELJ(2*F90,1)/F90,(STRUVE(2*F90)/(2*F90^2))),PI()*(BASE!E$15/100)^2*E$2*E$3)</f>
        <v>0.0918736467405473+0.820072811556138i</v>
      </c>
      <c r="M90" s="2" t="str">
        <f>IMPRODUCT(COMPLEX(1-BESSELJ(2*G90,1)/G90,(STRUVE(2*G90)/(2*G90^2))),PI()*(BASE!F$15/100)^2*F$2*F$3)</f>
        <v>0.0918736467405473+0.820072811556138i</v>
      </c>
      <c r="N90" s="2" t="str">
        <f>IMPRODUCT(COMPLEX(1-BESSELJ(2*H90,1)/H90,(STRUVE(2*H90)/(2*H90^2))),PI()*(BASE!G$15/100)^2*G$2*G$3)</f>
        <v>0.0918736467405473+0.820072811556138i</v>
      </c>
      <c r="O90" s="2" t="str">
        <f>IMSUM(IMPRODUCT(IF($O$3=1,L90,COMPLEX(I90,$D90*BASE!K$15)),2),COMPLEX(BASE!E$36,$D90*BASE!K$14-BASE!K$10/$D90))</f>
        <v>0.983747293481095+5.46594369672074i</v>
      </c>
      <c r="P90" s="2" t="str">
        <f>IMSUM(IMPRODUCT(IF($O$3=1,M90,COMPLEX(J90,$D90*BASE!L$15)),2),COMPLEX(BASE!F$36,$D90*BASE!L$14-BASE!L$10/$D90))</f>
        <v>0.983747293481095+4.75563918770448i</v>
      </c>
      <c r="Q90" s="2" t="str">
        <f>IMSUM(IMPRODUCT(IF($O$3=1,N90,COMPLEX(K90,$D90*BASE!M$15)),2),COMPLEX(BASE!G$36,$D90*BASE!M$14-BASE!M$10/$D90))</f>
        <v>0.983747293481095+3.33503016967196i</v>
      </c>
      <c r="R90" s="2" t="str">
        <f>COMPLEX(BASE!E$19,FRES!$D90*BASE!K$36)</f>
        <v>7.2+0.288083030108806i</v>
      </c>
      <c r="S90" s="2" t="str">
        <f>COMPLEX(BASE!F$19,FRES!$D90*BASE!L$36)</f>
        <v>7.2+0.288083030108806i</v>
      </c>
      <c r="T90" s="2" t="str">
        <f>COMPLEX(BASE!G$19,FRES!$D90*BASE!M$36)</f>
        <v>7.2+0.288083030108806i</v>
      </c>
      <c r="U90" s="2" t="str">
        <f>IMDIV(BASE!K$21*BASE!E$38,IMPRODUCT(FRES!R90,IMSUM(FRES!O90,IMDIV(BASE!K$21^2,FRES!R90))))</f>
        <v>0.0720017943912329-0.191651435090964i</v>
      </c>
      <c r="V90" s="2" t="str">
        <f>IMDIV(BASE!L$21*BASE!F$38,IMPRODUCT(FRES!S90,IMSUM(FRES!P90,IMDIV(BASE!L$21^2,FRES!S90))))</f>
        <v>0.0921741821760026-0.210794038536476i</v>
      </c>
      <c r="W90" s="2" t="str">
        <f>IMDIV(BASE!M$21*BASE!G$38,IMPRODUCT(FRES!T90,IMSUM(FRES!Q90,IMDIV(BASE!M$21^2,FRES!T90))))</f>
        <v>0.161811923142669-0.253541845775381i</v>
      </c>
      <c r="X90" s="2" t="str">
        <f t="shared" si="31"/>
        <v>-0.000185212079598025-0.0000695825839637472i</v>
      </c>
      <c r="Y90" s="2" t="str">
        <f t="shared" si="51"/>
        <v>-0.00020371150482477-0.0000890771934891165i</v>
      </c>
      <c r="Z90" s="2" t="str">
        <f t="shared" si="51"/>
        <v>-0.000245023015344976-0.000156375154586163i</v>
      </c>
      <c r="AA90" s="44" t="str">
        <f>IMPRODUCT(COMPLEX(0,$D90),U90,E$2,BASE!E$15^2/10000,1/(2*BASE!$U$3))</f>
        <v>0.472266556770026+0.177426480017076i</v>
      </c>
      <c r="AB90" s="44" t="str">
        <f>IMPRODUCT(COMPLEX(0,$D90),V90,F$2,BASE!F$15^2/10000,1/(2*BASE!$U$3))</f>
        <v>0.519437669329319+0.227135182257794i</v>
      </c>
      <c r="AC90" s="44" t="str">
        <f>IMPRODUCT(COMPLEX(0,$D90),W90,G$2,BASE!G$15^2/10000,1/(2*BASE!$U$3))</f>
        <v>0.624776613045574+0.398736173045893i</v>
      </c>
      <c r="AD90" s="44">
        <f t="shared" si="32"/>
        <v>0.35937668416689206</v>
      </c>
      <c r="AE90" s="44">
        <f t="shared" si="33"/>
        <v>0.41221846311532023</v>
      </c>
      <c r="AF90" s="44">
        <f t="shared" si="34"/>
        <v>0.56803944137571116</v>
      </c>
      <c r="AG90" s="31">
        <f t="shared" si="35"/>
        <v>88.036548529332137</v>
      </c>
      <c r="AH90" s="31">
        <f t="shared" si="36"/>
        <v>89.049938309364833</v>
      </c>
      <c r="AI90" s="31">
        <f t="shared" si="37"/>
        <v>91.377783477424316</v>
      </c>
      <c r="AJ90" s="2" t="str">
        <f>IMSUM(R90,IMDIV(BASE!K$21^2,FRES!O90))</f>
        <v>7.4992737275173-1.37475594831296i</v>
      </c>
      <c r="AK90" s="2" t="str">
        <f>IMSUM(S90,IMDIV(BASE!L$21^2,FRES!P90))</f>
        <v>7.59140697493884-1.60405975970593i</v>
      </c>
      <c r="AL90" s="2" t="str">
        <f>IMSUM(T90,IMDIV(BASE!M$21^2,FRES!Q90))</f>
        <v>7.96350266162417-2.3002894391369i</v>
      </c>
      <c r="AM90" s="31">
        <f t="shared" si="50"/>
        <v>0.20473038603974586</v>
      </c>
      <c r="AN90" s="31">
        <f t="shared" si="50"/>
        <v>0.23006565702497242</v>
      </c>
      <c r="AO90" s="31">
        <f t="shared" si="50"/>
        <v>0.30077660485868263</v>
      </c>
      <c r="AP90" s="31">
        <f t="shared" si="38"/>
        <v>0.27980439746400376</v>
      </c>
      <c r="AQ90" s="31">
        <f t="shared" si="39"/>
        <v>0.31443003545421611</v>
      </c>
      <c r="AR90" s="31">
        <f t="shared" si="40"/>
        <v>0.41107047332687557</v>
      </c>
      <c r="AS90" s="2">
        <f t="shared" si="41"/>
        <v>111.14393151434271</v>
      </c>
      <c r="AT90" s="2">
        <f t="shared" si="42"/>
        <v>111.31213212077094</v>
      </c>
      <c r="AU90" s="2">
        <f t="shared" si="43"/>
        <v>111.80812569932206</v>
      </c>
      <c r="AV90" s="2">
        <f t="shared" si="44"/>
        <v>111.14393151434271</v>
      </c>
      <c r="AW90" s="2">
        <f t="shared" si="45"/>
        <v>111.31213212077094</v>
      </c>
      <c r="AX90" s="2">
        <f t="shared" si="46"/>
        <v>111.80812569932206</v>
      </c>
      <c r="AY90">
        <f t="shared" si="47"/>
        <v>7.6242416250833154</v>
      </c>
      <c r="AZ90">
        <f t="shared" si="48"/>
        <v>7.7590249111507505</v>
      </c>
      <c r="BA90">
        <f t="shared" si="49"/>
        <v>8.2890714887434775</v>
      </c>
    </row>
    <row r="91" spans="1:53" x14ac:dyDescent="0.2">
      <c r="A91" s="2">
        <v>87</v>
      </c>
      <c r="B91" s="2"/>
      <c r="C91" s="1">
        <v>169.51409509748726</v>
      </c>
      <c r="D91" s="2">
        <f t="shared" si="30"/>
        <v>1065.0884716763751</v>
      </c>
      <c r="E91" s="2"/>
      <c r="F91" s="2">
        <f>$D91*BASE!E$15/100/E$3</f>
        <v>0.19505980731282452</v>
      </c>
      <c r="G91" s="2">
        <f>$D91*BASE!F$15/100/F$3</f>
        <v>0.19505980731282452</v>
      </c>
      <c r="H91" s="2">
        <f>$D91*BASE!G$15/100/G$3</f>
        <v>0.19505980731282452</v>
      </c>
      <c r="I91" s="2">
        <f>(1-BESSELJ(2*F91,1)/F91)*BASE!K$13*E$2*E$3</f>
        <v>9.7302100757439752E-2</v>
      </c>
      <c r="J91" s="2">
        <f>(1-BESSELJ(2*G91,1)/G91)*BASE!L$13*F$2*F$3</f>
        <v>9.7302100757439752E-2</v>
      </c>
      <c r="K91" s="2">
        <f>(1-BESSELJ(2*H91,1)/H91)*BASE!M$13*G$2*G$3</f>
        <v>9.7302100757439752E-2</v>
      </c>
      <c r="L91" s="2" t="str">
        <f>IMPRODUCT(COMPLEX(1-BESSELJ(2*F91,1)/F91,(STRUVE(2*F91)/(2*F91^2))),PI()*(BASE!E$15/100)^2*E$2*E$3)</f>
        <v>0.0973021007574398+0.84362155240923i</v>
      </c>
      <c r="M91" s="2" t="str">
        <f>IMPRODUCT(COMPLEX(1-BESSELJ(2*G91,1)/G91,(STRUVE(2*G91)/(2*G91^2))),PI()*(BASE!F$15/100)^2*F$2*F$3)</f>
        <v>0.0973021007574398+0.84362155240923i</v>
      </c>
      <c r="N91" s="2" t="str">
        <f>IMPRODUCT(COMPLEX(1-BESSELJ(2*H91,1)/H91,(STRUVE(2*H91)/(2*H91^2))),PI()*(BASE!G$15/100)^2*G$2*G$3)</f>
        <v>0.0973021007574398+0.84362155240923i</v>
      </c>
      <c r="O91" s="2" t="str">
        <f>IMSUM(IMPRODUCT(IF($O$3=1,L91,COMPLEX(I91,$D91*BASE!K$15)),2),COMPLEX(BASE!E$36,$D91*BASE!K$14-BASE!K$10/$D91))</f>
        <v>0.99460420151488+5.66711492623474i</v>
      </c>
      <c r="P91" s="2" t="str">
        <f>IMSUM(IMPRODUCT(IF($O$3=1,M91,COMPLEX(J91,$D91*BASE!L$15)),2),COMPLEX(BASE!F$36,$D91*BASE!L$14-BASE!L$10/$D91))</f>
        <v>0.99460420151488+4.97703140778001i</v>
      </c>
      <c r="Q91" s="2" t="str">
        <f>IMSUM(IMPRODUCT(IF($O$3=1,N91,COMPLEX(K91,$D91*BASE!M$15)),2),COMPLEX(BASE!G$36,$D91*BASE!M$14-BASE!M$10/$D91))</f>
        <v>0.99460420151488+3.59686437087056i</v>
      </c>
      <c r="R91" s="2" t="str">
        <f>COMPLEX(BASE!E$19,FRES!$D91*BASE!K$36)</f>
        <v>7.2+0.296524507230028i</v>
      </c>
      <c r="S91" s="2" t="str">
        <f>COMPLEX(BASE!F$19,FRES!$D91*BASE!L$36)</f>
        <v>7.2+0.296524507230028i</v>
      </c>
      <c r="T91" s="2" t="str">
        <f>COMPLEX(BASE!G$19,FRES!$D91*BASE!M$36)</f>
        <v>7.2+0.296524507230028i</v>
      </c>
      <c r="U91" s="2" t="str">
        <f>IMDIV(BASE!K$21*BASE!E$38,IMPRODUCT(FRES!R91,IMSUM(FRES!O91,IMDIV(BASE!K$21^2,FRES!R91))))</f>
        <v>0.0674639692637489-0.186532880666466i</v>
      </c>
      <c r="V91" s="2" t="str">
        <f>IMDIV(BASE!L$21*BASE!F$38,IMPRODUCT(FRES!S91,IMSUM(FRES!P91,IMDIV(BASE!L$21^2,FRES!S91))))</f>
        <v>0.0852447879325983-0.204387190542004i</v>
      </c>
      <c r="W91" s="2" t="str">
        <f>IMDIV(BASE!M$21*BASE!G$38,IMPRODUCT(FRES!T91,IMSUM(FRES!Q91,IMDIV(BASE!M$21^2,FRES!T91))))</f>
        <v>0.144961995613983-0.245309376265679i</v>
      </c>
      <c r="X91" s="2" t="str">
        <f t="shared" si="31"/>
        <v>-0.000175133696051442-0.0000633411881339444i</v>
      </c>
      <c r="Y91" s="2" t="str">
        <f t="shared" si="51"/>
        <v>-0.000191896913709254-0.000080035405695856i</v>
      </c>
      <c r="Z91" s="2" t="str">
        <f t="shared" si="51"/>
        <v>-0.000230318309501161-0.000136103243504103i</v>
      </c>
      <c r="AA91" s="44" t="str">
        <f>IMPRODUCT(COMPLEX(0,$D91),U91,E$2,BASE!E$15^2/10000,1/(2*BASE!$U$3))</f>
        <v>0.473122313100825+0.171115725415192i</v>
      </c>
      <c r="AB91" s="44" t="str">
        <f>IMPRODUCT(COMPLEX(0,$D91),V91,F$2,BASE!F$15^2/10000,1/(2*BASE!$U$3))</f>
        <v>0.518408014779543+0.216215023873326i</v>
      </c>
      <c r="AC91" s="44" t="str">
        <f>IMPRODUCT(COMPLEX(0,$D91),W91,G$2,BASE!G$15^2/10000,1/(2*BASE!$U$3))</f>
        <v>0.622203115662298+0.367681850146483i</v>
      </c>
      <c r="AD91" s="44">
        <f t="shared" si="32"/>
        <v>0.34703614281295381</v>
      </c>
      <c r="AE91" s="44">
        <f t="shared" si="33"/>
        <v>0.3951390000702123</v>
      </c>
      <c r="AF91" s="44">
        <f t="shared" si="34"/>
        <v>0.5337276952739739</v>
      </c>
      <c r="AG91" s="31">
        <f t="shared" si="35"/>
        <v>88.012755890651221</v>
      </c>
      <c r="AH91" s="31">
        <f t="shared" si="36"/>
        <v>88.969335995195536</v>
      </c>
      <c r="AI91" s="31">
        <f t="shared" si="37"/>
        <v>91.158822018927196</v>
      </c>
      <c r="AJ91" s="2" t="str">
        <f>IMSUM(R91,IMDIV(BASE!K$21^2,FRES!O91))</f>
        <v>7.48191034829356-1.30976102850481i</v>
      </c>
      <c r="AK91" s="2" t="str">
        <f>IMSUM(S91,IMDIV(BASE!L$21^2,FRES!P91))</f>
        <v>7.5622955890154-1.51641427051034i</v>
      </c>
      <c r="AL91" s="2" t="str">
        <f>IMSUM(T91,IMDIV(BASE!M$21^2,FRES!Q91))</f>
        <v>7.87013596931383-2.1269402116928i</v>
      </c>
      <c r="AM91" s="31">
        <f t="shared" si="50"/>
        <v>0.19835801652202037</v>
      </c>
      <c r="AN91" s="31">
        <f t="shared" si="50"/>
        <v>0.22145156925912063</v>
      </c>
      <c r="AO91" s="31">
        <f t="shared" si="50"/>
        <v>0.28493976601423138</v>
      </c>
      <c r="AP91" s="31">
        <f t="shared" si="38"/>
        <v>0.26337774244175843</v>
      </c>
      <c r="AQ91" s="31">
        <f t="shared" si="39"/>
        <v>0.29404112520542819</v>
      </c>
      <c r="AR91" s="31">
        <f t="shared" si="40"/>
        <v>0.3783401025104523</v>
      </c>
      <c r="AS91" s="2">
        <f t="shared" si="41"/>
        <v>111.10465035120453</v>
      </c>
      <c r="AT91" s="2">
        <f t="shared" si="42"/>
        <v>111.25776650139126</v>
      </c>
      <c r="AU91" s="2">
        <f t="shared" si="43"/>
        <v>111.69890801935796</v>
      </c>
      <c r="AV91" s="2">
        <f t="shared" si="44"/>
        <v>111.10465035120453</v>
      </c>
      <c r="AW91" s="2">
        <f t="shared" si="45"/>
        <v>111.25776650139126</v>
      </c>
      <c r="AX91" s="2">
        <f t="shared" si="46"/>
        <v>111.69890801935796</v>
      </c>
      <c r="AY91">
        <f t="shared" si="47"/>
        <v>7.5956866978366238</v>
      </c>
      <c r="AZ91">
        <f t="shared" si="48"/>
        <v>7.712835199552055</v>
      </c>
      <c r="BA91">
        <f t="shared" si="49"/>
        <v>8.1524790609729969</v>
      </c>
    </row>
    <row r="92" spans="1:53" x14ac:dyDescent="0.2">
      <c r="A92" s="2">
        <v>88</v>
      </c>
      <c r="B92" s="2"/>
      <c r="C92" s="1">
        <v>174.48123722644124</v>
      </c>
      <c r="D92" s="2">
        <f t="shared" si="30"/>
        <v>1096.2979461196915</v>
      </c>
      <c r="E92" s="2"/>
      <c r="F92" s="2">
        <f>$D92*BASE!E$15/100/E$3</f>
        <v>0.20077549594633881</v>
      </c>
      <c r="G92" s="2">
        <f>$D92*BASE!F$15/100/F$3</f>
        <v>0.20077549594633881</v>
      </c>
      <c r="H92" s="2">
        <f>$D92*BASE!G$15/100/G$3</f>
        <v>0.20077549594633881</v>
      </c>
      <c r="I92" s="2">
        <f>(1-BESSELJ(2*F92,1)/F92)*BASE!K$13*E$2*E$3</f>
        <v>0.10304911994182728</v>
      </c>
      <c r="J92" s="2">
        <f>(1-BESSELJ(2*G92,1)/G92)*BASE!L$13*F$2*F$3</f>
        <v>0.10304911994182728</v>
      </c>
      <c r="K92" s="2">
        <f>(1-BESSELJ(2*H92,1)/H92)*BASE!M$13*G$2*G$3</f>
        <v>0.10304911994182728</v>
      </c>
      <c r="L92" s="2" t="str">
        <f>IMPRODUCT(COMPLEX(1-BESSELJ(2*F92,1)/F92,(STRUVE(2*F92)/(2*F92^2))),PI()*(BASE!E$15/100)^2*E$2*E$3)</f>
        <v>0.103049119941827+0.86781703338297i</v>
      </c>
      <c r="M92" s="2" t="str">
        <f>IMPRODUCT(COMPLEX(1-BESSELJ(2*G92,1)/G92,(STRUVE(2*G92)/(2*G92^2))),PI()*(BASE!F$15/100)^2*F$2*F$3)</f>
        <v>0.103049119941827+0.86781703338297i</v>
      </c>
      <c r="N92" s="2" t="str">
        <f>IMPRODUCT(COMPLEX(1-BESSELJ(2*H92,1)/H92,(STRUVE(2*H92)/(2*H92^2))),PI()*(BASE!G$15/100)^2*G$2*G$3)</f>
        <v>0.103049119941827+0.86781703338297i</v>
      </c>
      <c r="O92" s="2" t="str">
        <f>IMSUM(IMPRODUCT(IF($O$3=1,L92,COMPLEX(I92,$D92*BASE!K$15)),2),COMPLEX(BASE!E$36,$D92*BASE!K$14-BASE!K$10/$D92))</f>
        <v>1.00609823988365+5.8730135371938i</v>
      </c>
      <c r="P92" s="2" t="str">
        <f>IMSUM(IMPRODUCT(IF($O$3=1,M92,COMPLEX(J92,$D92*BASE!L$15)),2),COMPLEX(BASE!F$36,$D92*BASE!L$14-BASE!L$10/$D92))</f>
        <v>1.00609823988365+5.20257535695137i</v>
      </c>
      <c r="Q92" s="2" t="str">
        <f>IMSUM(IMPRODUCT(IF($O$3=1,N92,COMPLEX(K92,$D92*BASE!M$15)),2),COMPLEX(BASE!G$36,$D92*BASE!M$14-BASE!M$10/$D92))</f>
        <v>1.00609823988365+3.86169899646651i</v>
      </c>
      <c r="R92" s="2" t="str">
        <f>COMPLEX(BASE!E$19,FRES!$D92*BASE!K$36)</f>
        <v>7.2+0.305213338511477i</v>
      </c>
      <c r="S92" s="2" t="str">
        <f>COMPLEX(BASE!F$19,FRES!$D92*BASE!L$36)</f>
        <v>7.2+0.305213338511477i</v>
      </c>
      <c r="T92" s="2" t="str">
        <f>COMPLEX(BASE!G$19,FRES!$D92*BASE!M$36)</f>
        <v>7.2+0.305213338511477i</v>
      </c>
      <c r="U92" s="2" t="str">
        <f>IMDIV(BASE!K$21*BASE!E$38,IMPRODUCT(FRES!R92,IMSUM(FRES!O92,IMDIV(BASE!K$21^2,FRES!R92))))</f>
        <v>0.063219442987982-0.181512059423804i</v>
      </c>
      <c r="V92" s="2" t="str">
        <f>IMDIV(BASE!L$21*BASE!F$38,IMPRODUCT(FRES!S92,IMSUM(FRES!P92,IMDIV(BASE!L$21^2,FRES!S92))))</f>
        <v>0.0788996695339735-0.198125826066113i</v>
      </c>
      <c r="W92" s="2" t="str">
        <f>IMDIV(BASE!M$21*BASE!G$38,IMPRODUCT(FRES!T92,IMSUM(FRES!Q92,IMDIV(BASE!M$21^2,FRES!T92))))</f>
        <v>0.130161102854415-0.236848953357103i</v>
      </c>
      <c r="X92" s="2" t="str">
        <f t="shared" si="31"/>
        <v>-0.000165568183417893-0.0000576662970242215i</v>
      </c>
      <c r="Y92" s="2" t="str">
        <f t="shared" si="51"/>
        <v>-0.000180722609914004-0.0000719691848490971i</v>
      </c>
      <c r="Z92" s="2" t="str">
        <f t="shared" si="51"/>
        <v>-0.000216044328273552-0.000118727854334778i</v>
      </c>
      <c r="AA92" s="44" t="str">
        <f>IMPRODUCT(COMPLEX(0,$D92),U92,E$2,BASE!E$15^2/10000,1/(2*BASE!$U$3))</f>
        <v>0.473877876919725+0.165048512579786i</v>
      </c>
      <c r="AB92" s="44" t="str">
        <f>IMPRODUCT(COMPLEX(0,$D92),V92,F$2,BASE!F$15^2/10000,1/(2*BASE!$U$3))</f>
        <v>0.517251835041786+0.205985255233813i</v>
      </c>
      <c r="AC92" s="44" t="str">
        <f>IMPRODUCT(COMPLEX(0,$D92),W92,G$2,BASE!G$15^2/10000,1/(2*BASE!$U$3))</f>
        <v>0.618347230061805+0.339814705832659i</v>
      </c>
      <c r="AD92" s="44">
        <f t="shared" si="32"/>
        <v>0.33515360892326423</v>
      </c>
      <c r="AE92" s="44">
        <f t="shared" si="33"/>
        <v>0.37897967941470845</v>
      </c>
      <c r="AF92" s="44">
        <f t="shared" si="34"/>
        <v>0.50250012207751216</v>
      </c>
      <c r="AG92" s="31">
        <f t="shared" si="35"/>
        <v>87.989978968365094</v>
      </c>
      <c r="AH92" s="31">
        <f t="shared" si="36"/>
        <v>88.892728226831906</v>
      </c>
      <c r="AI92" s="31">
        <f t="shared" si="37"/>
        <v>90.950187448065407</v>
      </c>
      <c r="AJ92" s="2" t="str">
        <f>IMSUM(R92,IMDIV(BASE!K$21^2,FRES!O92))</f>
        <v>7.46589898113599-1.24694951580216i</v>
      </c>
      <c r="AK92" s="2" t="str">
        <f>IMSUM(S92,IMDIV(BASE!L$21^2,FRES!P92))</f>
        <v>7.53621596445359-1.43337323478593i</v>
      </c>
      <c r="AL92" s="2" t="str">
        <f>IMSUM(T92,IMDIV(BASE!M$21^2,FRES!Q92))</f>
        <v>7.7928190967671-1.9701995588776i</v>
      </c>
      <c r="AM92" s="31">
        <f t="shared" si="50"/>
        <v>0.19220646630116597</v>
      </c>
      <c r="AN92" s="31">
        <f t="shared" si="50"/>
        <v>0.21325806152863222</v>
      </c>
      <c r="AO92" s="31">
        <f t="shared" si="50"/>
        <v>0.27025791274749522</v>
      </c>
      <c r="AP92" s="31">
        <f t="shared" si="38"/>
        <v>0.24794445012053329</v>
      </c>
      <c r="AQ92" s="31">
        <f t="shared" si="39"/>
        <v>0.27510080080571475</v>
      </c>
      <c r="AR92" s="31">
        <f t="shared" si="40"/>
        <v>0.34863004797094177</v>
      </c>
      <c r="AS92" s="2">
        <f t="shared" si="41"/>
        <v>111.06682707110451</v>
      </c>
      <c r="AT92" s="2">
        <f t="shared" si="42"/>
        <v>111.20632978620465</v>
      </c>
      <c r="AU92" s="2">
        <f t="shared" si="43"/>
        <v>111.59950756665833</v>
      </c>
      <c r="AV92" s="2">
        <f t="shared" si="44"/>
        <v>111.06682707110451</v>
      </c>
      <c r="AW92" s="2">
        <f t="shared" si="45"/>
        <v>111.20632978620465</v>
      </c>
      <c r="AX92" s="2">
        <f t="shared" si="46"/>
        <v>111.59950756665833</v>
      </c>
      <c r="AY92">
        <f t="shared" si="47"/>
        <v>7.5693150741323141</v>
      </c>
      <c r="AZ92">
        <f t="shared" si="48"/>
        <v>7.6713173505654062</v>
      </c>
      <c r="BA92">
        <f t="shared" si="49"/>
        <v>8.0380169057261561</v>
      </c>
    </row>
    <row r="93" spans="1:53" x14ac:dyDescent="0.2">
      <c r="A93" s="2">
        <v>89</v>
      </c>
      <c r="B93" s="2"/>
      <c r="C93" s="1">
        <v>179.59392772949963</v>
      </c>
      <c r="D93" s="2">
        <f t="shared" si="30"/>
        <v>1128.4219279686645</v>
      </c>
      <c r="E93" s="2"/>
      <c r="F93" s="2">
        <f>$D93*BASE!E$15/100/E$3</f>
        <v>0.20665866704077282</v>
      </c>
      <c r="G93" s="2">
        <f>$D93*BASE!F$15/100/F$3</f>
        <v>0.20665866704077282</v>
      </c>
      <c r="H93" s="2">
        <f>$D93*BASE!G$15/100/G$3</f>
        <v>0.20665866704077282</v>
      </c>
      <c r="I93" s="2">
        <f>(1-BESSELJ(2*F93,1)/F93)*BASE!K$13*E$2*E$3</f>
        <v>0.10913313214676813</v>
      </c>
      <c r="J93" s="2">
        <f>(1-BESSELJ(2*G93,1)/G93)*BASE!L$13*F$2*F$3</f>
        <v>0.10913313214676813</v>
      </c>
      <c r="K93" s="2">
        <f>(1-BESSELJ(2*H93,1)/H93)*BASE!M$13*G$2*G$3</f>
        <v>0.10913313214676813</v>
      </c>
      <c r="L93" s="2" t="str">
        <f>IMPRODUCT(COMPLEX(1-BESSELJ(2*F93,1)/F93,(STRUVE(2*F93)/(2*F93^2))),PI()*(BASE!E$15/100)^2*E$2*E$3)</f>
        <v>0.109133132146768+0.892674328164709i</v>
      </c>
      <c r="M93" s="2" t="str">
        <f>IMPRODUCT(COMPLEX(1-BESSELJ(2*G93,1)/G93,(STRUVE(2*G93)/(2*G93^2))),PI()*(BASE!F$15/100)^2*F$2*F$3)</f>
        <v>0.109133132146768+0.892674328164709i</v>
      </c>
      <c r="N93" s="2" t="str">
        <f>IMPRODUCT(COMPLEX(1-BESSELJ(2*H93,1)/H93,(STRUVE(2*H93)/(2*H93^2))),PI()*(BASE!G$15/100)^2*G$2*G$3)</f>
        <v>0.109133132146768+0.892674328164709i</v>
      </c>
      <c r="O93" s="2" t="str">
        <f>IMSUM(IMPRODUCT(IF($O$3=1,L93,COMPLEX(I93,$D93*BASE!K$15)),2),COMPLEX(BASE!E$36,$D93*BASE!K$14-BASE!K$10/$D93))</f>
        <v>1.01826626429354+6.08381128564765i</v>
      </c>
      <c r="P93" s="2" t="str">
        <f>IMSUM(IMPRODUCT(IF($O$3=1,M93,COMPLEX(J93,$D93*BASE!L$15)),2),COMPLEX(BASE!F$36,$D93*BASE!L$14-BASE!L$10/$D93))</f>
        <v>1.01826626429354+5.43245917897323i</v>
      </c>
      <c r="Q93" s="2" t="str">
        <f>IMSUM(IMPRODUCT(IF($O$3=1,N93,COMPLEX(K93,$D93*BASE!M$15)),2),COMPLEX(BASE!G$36,$D93*BASE!M$14-BASE!M$10/$D93))</f>
        <v>1.01826626429354+4.12975496562439i</v>
      </c>
      <c r="R93" s="2" t="str">
        <f>COMPLEX(BASE!E$19,FRES!$D93*BASE!K$36)</f>
        <v>7.2+0.314156771983291i</v>
      </c>
      <c r="S93" s="2" t="str">
        <f>COMPLEX(BASE!F$19,FRES!$D93*BASE!L$36)</f>
        <v>7.2+0.314156771983291i</v>
      </c>
      <c r="T93" s="2" t="str">
        <f>COMPLEX(BASE!G$19,FRES!$D93*BASE!M$36)</f>
        <v>7.2+0.314156771983291i</v>
      </c>
      <c r="U93" s="2" t="str">
        <f>IMDIV(BASE!K$21*BASE!E$38,IMPRODUCT(FRES!R93,IMSUM(FRES!O93,IMDIV(BASE!K$21^2,FRES!R93))))</f>
        <v>0.0592479272699235-0.17659279315126i</v>
      </c>
      <c r="V93" s="2" t="str">
        <f>IMDIV(BASE!L$21*BASE!F$38,IMPRODUCT(FRES!S93,IMSUM(FRES!P93,IMDIV(BASE!L$21^2,FRES!S93))))</f>
        <v>0.0730826459092414-0.192021629254576i</v>
      </c>
      <c r="W93" s="2" t="str">
        <f>IMDIV(BASE!M$21*BASE!G$38,IMPRODUCT(FRES!T93,IMSUM(FRES!Q93,IMDIV(BASE!M$21^2,FRES!T93))))</f>
        <v>0.11714238348745-0.228351408602155i</v>
      </c>
      <c r="X93" s="2" t="str">
        <f t="shared" si="31"/>
        <v>-0.000156495357608971-0.0000525051186984458i</v>
      </c>
      <c r="Y93" s="2" t="str">
        <f t="shared" si="51"/>
        <v>-0.000170168289444929-0.0000647653542507826i</v>
      </c>
      <c r="Z93" s="2" t="str">
        <f t="shared" si="51"/>
        <v>-0.00020236349803413-0.000103810800361107i</v>
      </c>
      <c r="AA93" s="44" t="str">
        <f>IMPRODUCT(COMPLEX(0,$D93),U93,E$2,BASE!E$15^2/10000,1/(2*BASE!$U$3))</f>
        <v>0.474544388321373+0.159212450881461i</v>
      </c>
      <c r="AB93" s="44" t="str">
        <f>IMPRODUCT(COMPLEX(0,$D93),V93,F$2,BASE!F$15^2/10000,1/(2*BASE!$U$3))</f>
        <v>0.516005126670347+0.196389438555415i</v>
      </c>
      <c r="AC93" s="44" t="str">
        <f>IMPRODUCT(COMPLEX(0,$D93),W93,G$2,BASE!G$15^2/10000,1/(2*BASE!$U$3))</f>
        <v>0.613631380894552+0.314787821895681i</v>
      </c>
      <c r="AD93" s="44">
        <f t="shared" si="32"/>
        <v>0.32370460497201731</v>
      </c>
      <c r="AE93" s="44">
        <f t="shared" si="33"/>
        <v>0.36366762144926928</v>
      </c>
      <c r="AF93" s="44">
        <f t="shared" si="34"/>
        <v>0.47398689028657859</v>
      </c>
      <c r="AG93" s="31">
        <f t="shared" si="35"/>
        <v>87.968187822596761</v>
      </c>
      <c r="AH93" s="31">
        <f t="shared" si="36"/>
        <v>88.81997860541162</v>
      </c>
      <c r="AI93" s="31">
        <f t="shared" si="37"/>
        <v>90.752136716716606</v>
      </c>
      <c r="AJ93" s="2" t="str">
        <f>IMSUM(R93,IMDIV(BASE!K$21^2,FRES!O93))</f>
        <v>7.45111399308082-1.18616804350007i</v>
      </c>
      <c r="AK93" s="2" t="str">
        <f>IMSUM(S93,IMDIV(BASE!L$21^2,FRES!P93))</f>
        <v>7.51277477128503-1.35449929254563i</v>
      </c>
      <c r="AL93" s="2" t="str">
        <f>IMSUM(T93,IMDIV(BASE!M$21^2,FRES!Q93))</f>
        <v>7.72813009207346-1.82776616773938i</v>
      </c>
      <c r="AM93" s="31">
        <f t="shared" si="50"/>
        <v>0.18626682871285977</v>
      </c>
      <c r="AN93" s="31">
        <f t="shared" si="50"/>
        <v>0.20545894780874691</v>
      </c>
      <c r="AO93" s="31">
        <f t="shared" si="50"/>
        <v>0.25664509311441969</v>
      </c>
      <c r="AP93" s="31">
        <f t="shared" si="38"/>
        <v>0.23344200325861503</v>
      </c>
      <c r="AQ93" s="31">
        <f t="shared" si="39"/>
        <v>0.25749484594392374</v>
      </c>
      <c r="AR93" s="31">
        <f t="shared" si="40"/>
        <v>0.3216447344764809</v>
      </c>
      <c r="AS93" s="2">
        <f t="shared" si="41"/>
        <v>111.03038375965812</v>
      </c>
      <c r="AT93" s="2">
        <f t="shared" si="42"/>
        <v>111.15758999192246</v>
      </c>
      <c r="AU93" s="2">
        <f t="shared" si="43"/>
        <v>111.50874713099729</v>
      </c>
      <c r="AV93" s="2">
        <f t="shared" si="44"/>
        <v>111.03038375965812</v>
      </c>
      <c r="AW93" s="2">
        <f t="shared" si="45"/>
        <v>111.15758999192246</v>
      </c>
      <c r="AX93" s="2">
        <f t="shared" si="46"/>
        <v>111.50874713099729</v>
      </c>
      <c r="AY93">
        <f t="shared" si="47"/>
        <v>7.5449383274686594</v>
      </c>
      <c r="AZ93">
        <f t="shared" si="48"/>
        <v>7.6339015645712545</v>
      </c>
      <c r="BA93">
        <f t="shared" si="49"/>
        <v>7.941330107982167</v>
      </c>
    </row>
    <row r="94" spans="1:53" x14ac:dyDescent="0.2">
      <c r="A94" s="2">
        <v>90</v>
      </c>
      <c r="B94" s="2"/>
      <c r="C94" s="1">
        <v>184.85643149956371</v>
      </c>
      <c r="D94" s="2">
        <f t="shared" si="30"/>
        <v>1161.4872143357084</v>
      </c>
      <c r="E94" s="2"/>
      <c r="F94" s="2">
        <f>$D94*BASE!E$15/100/E$3</f>
        <v>0.21271422820683034</v>
      </c>
      <c r="G94" s="2">
        <f>$D94*BASE!F$15/100/F$3</f>
        <v>0.21271422820683034</v>
      </c>
      <c r="H94" s="2">
        <f>$D94*BASE!G$15/100/G$3</f>
        <v>0.21271422820683034</v>
      </c>
      <c r="I94" s="2">
        <f>(1-BESSELJ(2*F94,1)/F94)*BASE!K$13*E$2*E$3</f>
        <v>0.11557359844013247</v>
      </c>
      <c r="J94" s="2">
        <f>(1-BESSELJ(2*G94,1)/G94)*BASE!L$13*F$2*F$3</f>
        <v>0.11557359844013247</v>
      </c>
      <c r="K94" s="2">
        <f>(1-BESSELJ(2*H94,1)/H94)*BASE!M$13*G$2*G$3</f>
        <v>0.11557359844013247</v>
      </c>
      <c r="L94" s="2" t="str">
        <f>IMPRODUCT(COMPLEX(1-BESSELJ(2*F94,1)/F94,(STRUVE(2*F94)/(2*F94^2))),PI()*(BASE!E$15/100)^2*E$2*E$3)</f>
        <v>0.115573598440132+0.918208607537534i</v>
      </c>
      <c r="M94" s="2" t="str">
        <f>IMPRODUCT(COMPLEX(1-BESSELJ(2*G94,1)/G94,(STRUVE(2*G94)/(2*G94^2))),PI()*(BASE!F$15/100)^2*F$2*F$3)</f>
        <v>0.115573598440132+0.918208607537534i</v>
      </c>
      <c r="N94" s="2" t="str">
        <f>IMPRODUCT(COMPLEX(1-BESSELJ(2*H94,1)/H94,(STRUVE(2*H94)/(2*H94^2))),PI()*(BASE!G$15/100)^2*G$2*G$3)</f>
        <v>0.115573598440132+0.918208607537534i</v>
      </c>
      <c r="O94" s="2" t="str">
        <f>IMSUM(IMPRODUCT(IF($O$3=1,L94,COMPLEX(I94,$D94*BASE!K$15)),2),COMPLEX(BASE!E$36,$D94*BASE!K$14-BASE!K$10/$D94))</f>
        <v>1.03114719688026+6.29968401439772i</v>
      </c>
      <c r="P94" s="2" t="str">
        <f>IMSUM(IMPRODUCT(IF($O$3=1,M94,COMPLEX(J94,$D94*BASE!L$15)),2),COMPLEX(BASE!F$36,$D94*BASE!L$14-BASE!L$10/$D94))</f>
        <v>1.03114719688026+5.66687463782583i</v>
      </c>
      <c r="Q94" s="2" t="str">
        <f>IMSUM(IMPRODUCT(IF($O$3=1,N94,COMPLEX(K94,$D94*BASE!M$15)),2),COMPLEX(BASE!G$36,$D94*BASE!M$14-BASE!M$10/$D94))</f>
        <v>1.03114719688026+4.40125588468205i</v>
      </c>
      <c r="R94" s="2" t="str">
        <f>COMPLEX(BASE!E$19,FRES!$D94*BASE!K$36)</f>
        <v>7.2+0.323362268059101i</v>
      </c>
      <c r="S94" s="2" t="str">
        <f>COMPLEX(BASE!F$19,FRES!$D94*BASE!L$36)</f>
        <v>7.2+0.323362268059101i</v>
      </c>
      <c r="T94" s="2" t="str">
        <f>COMPLEX(BASE!G$19,FRES!$D94*BASE!M$36)</f>
        <v>7.2+0.323362268059101i</v>
      </c>
      <c r="U94" s="2" t="str">
        <f>IMDIV(BASE!K$21*BASE!E$38,IMPRODUCT(FRES!R94,IMSUM(FRES!O94,IMDIV(BASE!K$21^2,FRES!R94))))</f>
        <v>0.0555306006921041-0.17177785807071i</v>
      </c>
      <c r="V94" s="2" t="str">
        <f>IMDIV(BASE!L$21*BASE!F$38,IMPRODUCT(FRES!S94,IMSUM(FRES!P94,IMDIV(BASE!L$21^2,FRES!S94))))</f>
        <v>0.0677433493303029-0.186082187306273i</v>
      </c>
      <c r="W94" s="2" t="str">
        <f>IMDIV(BASE!M$21*BASE!G$38,IMPRODUCT(FRES!T94,IMSUM(FRES!Q94,IMDIV(BASE!M$21^2,FRES!T94))))</f>
        <v>0.105669024446935-0.219948261921608i</v>
      </c>
      <c r="X94" s="2" t="str">
        <f t="shared" si="31"/>
        <v>-0.000147894747312354-0.0000478099112988202i</v>
      </c>
      <c r="Y94" s="2" t="str">
        <f t="shared" si="51"/>
        <v>-0.000160210276109409-0.000058324662117824i</v>
      </c>
      <c r="Z94" s="2" t="str">
        <f t="shared" si="51"/>
        <v>-0.000189367785720657-0.0000909773462356797i</v>
      </c>
      <c r="AA94" s="44" t="str">
        <f>IMPRODUCT(COMPLEX(0,$D94),U94,E$2,BASE!E$15^2/10000,1/(2*BASE!$U$3))</f>
        <v>0.475131655235344+0.153595734161452i</v>
      </c>
      <c r="AB94" s="44" t="str">
        <f>IMPRODUCT(COMPLEX(0,$D94),V94,F$2,BASE!F$15^2/10000,1/(2*BASE!$U$3))</f>
        <v>0.514696938578944+0.187375777413895i</v>
      </c>
      <c r="AC94" s="44" t="str">
        <f>IMPRODUCT(COMPLEX(0,$D94),W94,G$2,BASE!G$15^2/10000,1/(2*BASE!$U$3))</f>
        <v>0.608369337740449+0.292276892123718i</v>
      </c>
      <c r="AD94" s="44">
        <f t="shared" si="32"/>
        <v>0.3126662335335868</v>
      </c>
      <c r="AE94" s="44">
        <f t="shared" si="33"/>
        <v>0.34913689582190288</v>
      </c>
      <c r="AF94" s="44">
        <f t="shared" si="34"/>
        <v>0.44786674033639157</v>
      </c>
      <c r="AG94" s="31">
        <f t="shared" si="35"/>
        <v>87.947349933775669</v>
      </c>
      <c r="AH94" s="31">
        <f t="shared" si="36"/>
        <v>88.750940087486399</v>
      </c>
      <c r="AI94" s="31">
        <f t="shared" si="37"/>
        <v>90.564656040125143</v>
      </c>
      <c r="AJ94" s="2" t="str">
        <f>IMSUM(R94,IMDIV(BASE!K$21^2,FRES!O94))</f>
        <v>7.43744369485303-1.12727470531459i</v>
      </c>
      <c r="AK94" s="2" t="str">
        <f>IMSUM(S94,IMDIV(BASE!L$21^2,FRES!P94))</f>
        <v>7.49163994109451-1.27940306996996i</v>
      </c>
      <c r="AL94" s="2" t="str">
        <f>IMSUM(T94,IMDIV(BASE!M$21^2,FRES!Q94))</f>
        <v>7.67350053065011-1.69768477859826i</v>
      </c>
      <c r="AM94" s="31">
        <f t="shared" si="50"/>
        <v>0.18053055180934582</v>
      </c>
      <c r="AN94" s="31">
        <f t="shared" si="50"/>
        <v>0.19802964881848958</v>
      </c>
      <c r="AO94" s="31">
        <f t="shared" si="50"/>
        <v>0.24401471400287159</v>
      </c>
      <c r="AP94" s="31">
        <f t="shared" si="38"/>
        <v>0.2198119373509369</v>
      </c>
      <c r="AQ94" s="31">
        <f t="shared" si="39"/>
        <v>0.24111863794493948</v>
      </c>
      <c r="AR94" s="31">
        <f t="shared" si="40"/>
        <v>0.29710952794157042</v>
      </c>
      <c r="AS94" s="2">
        <f t="shared" si="41"/>
        <v>110.9952475320959</v>
      </c>
      <c r="AT94" s="2">
        <f t="shared" si="42"/>
        <v>111.11133725571632</v>
      </c>
      <c r="AU94" s="2">
        <f t="shared" si="43"/>
        <v>111.42560411141982</v>
      </c>
      <c r="AV94" s="2">
        <f t="shared" si="44"/>
        <v>110.9952475320959</v>
      </c>
      <c r="AW94" s="2">
        <f t="shared" si="45"/>
        <v>111.11133725571632</v>
      </c>
      <c r="AX94" s="2">
        <f t="shared" si="46"/>
        <v>111.42560411141982</v>
      </c>
      <c r="AY94">
        <f t="shared" si="47"/>
        <v>7.5223877176965024</v>
      </c>
      <c r="AZ94">
        <f t="shared" si="48"/>
        <v>7.6001013955375036</v>
      </c>
      <c r="BA94">
        <f t="shared" si="49"/>
        <v>7.8590549050997058</v>
      </c>
    </row>
    <row r="95" spans="1:53" x14ac:dyDescent="0.2">
      <c r="A95" s="2">
        <v>91</v>
      </c>
      <c r="B95" s="2"/>
      <c r="C95" s="1">
        <v>190.27313840043533</v>
      </c>
      <c r="D95" s="2">
        <f t="shared" si="30"/>
        <v>1195.5213875485631</v>
      </c>
      <c r="E95" s="2"/>
      <c r="F95" s="2">
        <f>$D95*BASE!E$15/100/E$3</f>
        <v>0.21894723085918449</v>
      </c>
      <c r="G95" s="2">
        <f>$D95*BASE!F$15/100/F$3</f>
        <v>0.21894723085918449</v>
      </c>
      <c r="H95" s="2">
        <f>$D95*BASE!G$15/100/G$3</f>
        <v>0.21894723085918449</v>
      </c>
      <c r="I95" s="2">
        <f>(1-BESSELJ(2*F95,1)/F95)*BASE!K$13*E$2*E$3</f>
        <v>0.12239106697691615</v>
      </c>
      <c r="J95" s="2">
        <f>(1-BESSELJ(2*G95,1)/G95)*BASE!L$13*F$2*F$3</f>
        <v>0.12239106697691615</v>
      </c>
      <c r="K95" s="2">
        <f>(1-BESSELJ(2*H95,1)/H95)*BASE!M$13*G$2*G$3</f>
        <v>0.12239106697691615</v>
      </c>
      <c r="L95" s="2" t="str">
        <f>IMPRODUCT(COMPLEX(1-BESSELJ(2*F95,1)/F95,(STRUVE(2*F95)/(2*F95^2))),PI()*(BASE!E$15/100)^2*E$2*E$3)</f>
        <v>0.122391066976916+0.944435112012495i</v>
      </c>
      <c r="M95" s="2" t="str">
        <f>IMPRODUCT(COMPLEX(1-BESSELJ(2*G95,1)/G95,(STRUVE(2*G95)/(2*G95^2))),PI()*(BASE!F$15/100)^2*F$2*F$3)</f>
        <v>0.122391066976916+0.944435112012495i</v>
      </c>
      <c r="N95" s="2" t="str">
        <f>IMPRODUCT(COMPLEX(1-BESSELJ(2*H95,1)/H95,(STRUVE(2*H95)/(2*H95^2))),PI()*(BASE!G$15/100)^2*G$2*G$3)</f>
        <v>0.122391066976916+0.944435112012495i</v>
      </c>
      <c r="O95" s="2" t="str">
        <f>IMSUM(IMPRODUCT(IF($O$3=1,L95,COMPLEX(I95,$D95*BASE!K$15)),2),COMPLEX(BASE!E$36,$D95*BASE!K$14-BASE!K$10/$D95))</f>
        <v>1.04478213395383+6.52081179968132i</v>
      </c>
      <c r="P95" s="2" t="str">
        <f>IMSUM(IMPRODUCT(IF($O$3=1,M95,COMPLEX(J95,$D95*BASE!L$15)),2),COMPLEX(BASE!F$36,$D95*BASE!L$14-BASE!L$10/$D95))</f>
        <v>1.04478213395383+5.90601727768023i</v>
      </c>
      <c r="Q95" s="2" t="str">
        <f>IMSUM(IMPRODUCT(IF($O$3=1,N95,COMPLEX(K95,$D95*BASE!M$15)),2),COMPLEX(BASE!G$36,$D95*BASE!M$14-BASE!M$10/$D95))</f>
        <v>1.04478213395383+4.67642823367805i</v>
      </c>
      <c r="R95" s="2" t="str">
        <f>COMPLEX(BASE!E$19,FRES!$D95*BASE!K$36)</f>
        <v>7.2+0.332837505759345i</v>
      </c>
      <c r="S95" s="2" t="str">
        <f>COMPLEX(BASE!F$19,FRES!$D95*BASE!L$36)</f>
        <v>7.2+0.332837505759345i</v>
      </c>
      <c r="T95" s="2" t="str">
        <f>COMPLEX(BASE!G$19,FRES!$D95*BASE!M$36)</f>
        <v>7.2+0.332837505759345i</v>
      </c>
      <c r="U95" s="2" t="str">
        <f>IMDIV(BASE!K$21*BASE!E$38,IMPRODUCT(FRES!R95,IMSUM(FRES!O95,IMDIV(BASE!K$21^2,FRES!R95))))</f>
        <v>0.0520500088640927-0.167069148909465i</v>
      </c>
      <c r="V95" s="2" t="str">
        <f>IMDIV(BASE!L$21*BASE!F$38,IMPRODUCT(FRES!S95,IMSUM(FRES!P95,IMDIV(BASE!L$21^2,FRES!S95))))</f>
        <v>0.0628366544352215-0.180311899310227i</v>
      </c>
      <c r="W95" s="2" t="str">
        <f>IMDIV(BASE!M$21*BASE!G$38,IMPRODUCT(FRES!T95,IMSUM(FRES!Q95,IMDIV(BASE!M$21^2,FRES!T95))))</f>
        <v>0.0955341017301678-0.211727845930209i</v>
      </c>
      <c r="X95" s="2" t="str">
        <f t="shared" si="31"/>
        <v>-0.000139745846999896-0.0000435374970336769i</v>
      </c>
      <c r="Y95" s="2" t="str">
        <f t="shared" si="51"/>
        <v>-0.000150822813534068-0.0000525600420784352i</v>
      </c>
      <c r="Z95" s="2" t="str">
        <f t="shared" si="51"/>
        <v>-0.000177100843310182-0.0000799099896707514i</v>
      </c>
      <c r="AA95" s="44" t="str">
        <f>IMPRODUCT(COMPLEX(0,$D95),U95,E$2,BASE!E$15^2/10000,1/(2*BASE!$U$3))</f>
        <v>0.475648311552514+0.14818713684784i</v>
      </c>
      <c r="AB95" s="44" t="str">
        <f>IMPRODUCT(COMPLEX(0,$D95),V95,F$2,BASE!F$15^2/10000,1/(2*BASE!$U$3))</f>
        <v>0.513350615715488+0.178896874622366i</v>
      </c>
      <c r="AC95" s="44" t="str">
        <f>IMPRODUCT(COMPLEX(0,$D95),W95,G$2,BASE!G$15^2/10000,1/(2*BASE!$U$3))</f>
        <v>0.602792275430388+0.271986985510202i</v>
      </c>
      <c r="AD95" s="44">
        <f t="shared" si="32"/>
        <v>0.30201705631521147</v>
      </c>
      <c r="AE95" s="44">
        <f t="shared" si="33"/>
        <v>0.33532779126364981</v>
      </c>
      <c r="AF95" s="44">
        <f t="shared" si="34"/>
        <v>0.42386119998754912</v>
      </c>
      <c r="AG95" s="31">
        <f t="shared" si="35"/>
        <v>87.927430873337769</v>
      </c>
      <c r="AH95" s="31">
        <f t="shared" si="36"/>
        <v>88.685459123135104</v>
      </c>
      <c r="AI95" s="31">
        <f t="shared" si="37"/>
        <v>90.387546885678631</v>
      </c>
      <c r="AJ95" s="2" t="str">
        <f>IMSUM(R95,IMDIV(BASE!K$21^2,FRES!O95))</f>
        <v>7.42478852889211-1.07013795103332i</v>
      </c>
      <c r="AK95" s="2" t="str">
        <f>IMSUM(S95,IMDIV(BASE!L$21^2,FRES!P95))</f>
        <v>7.47252963890868-1.20773703487089i</v>
      </c>
      <c r="AL95" s="2" t="str">
        <f>IMSUM(T95,IMDIV(BASE!M$21^2,FRES!Q95))</f>
        <v>7.62697592368266-1.57829994550436i</v>
      </c>
      <c r="AM95" s="31">
        <f t="shared" si="50"/>
        <v>0.17498943951017479</v>
      </c>
      <c r="AN95" s="31">
        <f t="shared" si="50"/>
        <v>0.1909471816327041</v>
      </c>
      <c r="AO95" s="31">
        <f t="shared" si="50"/>
        <v>0.23228311461584195</v>
      </c>
      <c r="AP95" s="31">
        <f t="shared" si="38"/>
        <v>0.2069995913120399</v>
      </c>
      <c r="AQ95" s="31">
        <f t="shared" si="39"/>
        <v>0.22587642243323725</v>
      </c>
      <c r="AR95" s="31">
        <f t="shared" si="40"/>
        <v>0.27477378022787119</v>
      </c>
      <c r="AS95" s="2">
        <f t="shared" si="41"/>
        <v>110.96135014821259</v>
      </c>
      <c r="AT95" s="2">
        <f t="shared" si="42"/>
        <v>111.06738151071394</v>
      </c>
      <c r="AU95" s="2">
        <f t="shared" si="43"/>
        <v>111.34919210325762</v>
      </c>
      <c r="AV95" s="2">
        <f t="shared" si="44"/>
        <v>110.96135014821259</v>
      </c>
      <c r="AW95" s="2">
        <f t="shared" si="45"/>
        <v>111.06738151071394</v>
      </c>
      <c r="AX95" s="2">
        <f t="shared" si="46"/>
        <v>111.34919210325762</v>
      </c>
      <c r="AY95">
        <f t="shared" si="47"/>
        <v>7.5015118431559946</v>
      </c>
      <c r="AZ95">
        <f t="shared" si="48"/>
        <v>7.569499848059146</v>
      </c>
      <c r="BA95">
        <f t="shared" si="49"/>
        <v>7.7885680621288813</v>
      </c>
    </row>
    <row r="96" spans="1:53" x14ac:dyDescent="0.2">
      <c r="A96" s="2">
        <v>92</v>
      </c>
      <c r="B96" s="2"/>
      <c r="C96" s="1">
        <v>195.84856692874482</v>
      </c>
      <c r="D96" s="2">
        <f t="shared" si="30"/>
        <v>1230.5528381588672</v>
      </c>
      <c r="E96" s="2"/>
      <c r="F96" s="2">
        <f>$D96*BASE!E$15/100/E$3</f>
        <v>0.22536287443025765</v>
      </c>
      <c r="G96" s="2">
        <f>$D96*BASE!F$15/100/F$3</f>
        <v>0.22536287443025765</v>
      </c>
      <c r="H96" s="2">
        <f>$D96*BASE!G$15/100/G$3</f>
        <v>0.22536287443025765</v>
      </c>
      <c r="I96" s="2">
        <f>(1-BESSELJ(2*F96,1)/F96)*BASE!K$13*E$2*E$3</f>
        <v>0.12960722916645823</v>
      </c>
      <c r="J96" s="2">
        <f>(1-BESSELJ(2*G96,1)/G96)*BASE!L$13*F$2*F$3</f>
        <v>0.12960722916645823</v>
      </c>
      <c r="K96" s="2">
        <f>(1-BESSELJ(2*H96,1)/H96)*BASE!M$13*G$2*G$3</f>
        <v>0.12960722916645823</v>
      </c>
      <c r="L96" s="2" t="str">
        <f>IMPRODUCT(COMPLEX(1-BESSELJ(2*F96,1)/F96,(STRUVE(2*F96)/(2*F96^2))),PI()*(BASE!E$15/100)^2*E$2*E$3)</f>
        <v>0.129607229166458+0.971369121074517i</v>
      </c>
      <c r="M96" s="2" t="str">
        <f>IMPRODUCT(COMPLEX(1-BESSELJ(2*G96,1)/G96,(STRUVE(2*G96)/(2*G96^2))),PI()*(BASE!F$15/100)^2*F$2*F$3)</f>
        <v>0.129607229166458+0.971369121074517i</v>
      </c>
      <c r="N96" s="2" t="str">
        <f>IMPRODUCT(COMPLEX(1-BESSELJ(2*H96,1)/H96,(STRUVE(2*H96)/(2*H96^2))),PI()*(BASE!G$15/100)^2*G$2*G$3)</f>
        <v>0.129607229166458+0.971369121074517i</v>
      </c>
      <c r="O96" s="2" t="str">
        <f>IMSUM(IMPRODUCT(IF($O$3=1,L96,COMPLEX(I96,$D96*BASE!K$15)),2),COMPLEX(BASE!E$36,$D96*BASE!K$14-BASE!K$10/$D96))</f>
        <v>1.05921445833292+6.74737910138728i</v>
      </c>
      <c r="P96" s="2" t="str">
        <f>IMSUM(IMPRODUCT(IF($O$3=1,M96,COMPLEX(J96,$D96*BASE!L$15)),2),COMPLEX(BASE!F$36,$D96*BASE!L$14-BASE!L$10/$D96))</f>
        <v>1.05921445833292+6.15008658601696i</v>
      </c>
      <c r="Q96" s="2" t="str">
        <f>IMSUM(IMPRODUCT(IF($O$3=1,N96,COMPLEX(K96,$D96*BASE!M$15)),2),COMPLEX(BASE!G$36,$D96*BASE!M$14-BASE!M$10/$D96))</f>
        <v>1.05921445833292+4.95550155527631i</v>
      </c>
      <c r="R96" s="2" t="str">
        <f>COMPLEX(BASE!E$19,FRES!$D96*BASE!K$36)</f>
        <v>7.2+0.342590389116935i</v>
      </c>
      <c r="S96" s="2" t="str">
        <f>COMPLEX(BASE!F$19,FRES!$D96*BASE!L$36)</f>
        <v>7.2+0.342590389116935i</v>
      </c>
      <c r="T96" s="2" t="str">
        <f>COMPLEX(BASE!G$19,FRES!$D96*BASE!M$36)</f>
        <v>7.2+0.342590389116935i</v>
      </c>
      <c r="U96" s="2" t="str">
        <f>IMDIV(BASE!K$21*BASE!E$38,IMPRODUCT(FRES!R96,IMSUM(FRES!O96,IMDIV(BASE!K$21^2,FRES!R96))))</f>
        <v>0.0487899681881931-0.162467818967865i</v>
      </c>
      <c r="V96" s="2" t="str">
        <f>IMDIV(BASE!L$21*BASE!F$38,IMPRODUCT(FRES!S96,IMSUM(FRES!P96,IMDIV(BASE!L$21^2,FRES!S96))))</f>
        <v>0.0583221401757548-0.174712698507337i</v>
      </c>
      <c r="W96" s="2" t="str">
        <f>IMDIV(BASE!M$21*BASE!G$38,IMPRODUCT(FRES!T96,IMSUM(FRES!Q96,IMDIV(BASE!M$21^2,FRES!T96))))</f>
        <v>0.0865585518299751-0.203747340087199i</v>
      </c>
      <c r="X96" s="2" t="str">
        <f t="shared" si="31"/>
        <v>-0.000132028315997342-0.0000396488201686583i</v>
      </c>
      <c r="Y96" s="2" t="str">
        <f t="shared" si="51"/>
        <v>-0.000141979030147733-0.0000473950718467443i</v>
      </c>
      <c r="Z96" s="2" t="str">
        <f t="shared" si="51"/>
        <v>-0.000165573824844484-0.0000703411906793717i</v>
      </c>
      <c r="AA96" s="44" t="str">
        <f>IMPRODUCT(COMPLEX(0,$D96),U96,E$2,BASE!E$15^2/10000,1/(2*BASE!$U$3))</f>
        <v>0.476101956392159+0.142976002597194i</v>
      </c>
      <c r="AB96" s="44" t="str">
        <f>IMPRODUCT(COMPLEX(0,$D96),V96,F$2,BASE!F$15^2/10000,1/(2*BASE!$U$3))</f>
        <v>0.511984823175039+0.170909446652612i</v>
      </c>
      <c r="AC96" s="44" t="str">
        <f>IMPRODUCT(COMPLEX(0,$D96),W96,G$2,BASE!G$15^2/10000,1/(2*BASE!$U$3))</f>
        <v>0.59706905553032+0.253654515278958i</v>
      </c>
      <c r="AD96" s="44">
        <f t="shared" si="32"/>
        <v>0.29173698165458073</v>
      </c>
      <c r="AE96" s="44">
        <f t="shared" si="33"/>
        <v>0.32218615838868997</v>
      </c>
      <c r="AF96" s="44">
        <f t="shared" si="34"/>
        <v>0.40172901422341795</v>
      </c>
      <c r="AG96" s="31">
        <f t="shared" si="35"/>
        <v>87.908394861754743</v>
      </c>
      <c r="AH96" s="31">
        <f t="shared" si="36"/>
        <v>88.623378857298846</v>
      </c>
      <c r="AI96" s="31">
        <f t="shared" si="37"/>
        <v>90.220488371971356</v>
      </c>
      <c r="AJ96" s="2" t="str">
        <f>IMSUM(R96,IMDIV(BASE!K$21^2,FRES!O96))</f>
        <v>7.41305952447969-1.01463559237917i</v>
      </c>
      <c r="AK96" s="2" t="str">
        <f>IMSUM(S96,IMDIV(BASE!L$21^2,FRES!P96))</f>
        <v>7.45520346304157-1.139190172326i</v>
      </c>
      <c r="AL96" s="2" t="str">
        <f>IMSUM(T96,IMDIV(BASE!M$21^2,FRES!Q96))</f>
        <v>7.5870498568778-1.4682102024329i</v>
      </c>
      <c r="AM96" s="31">
        <f t="shared" si="50"/>
        <v>0.16963564836431003</v>
      </c>
      <c r="AN96" s="31">
        <f t="shared" si="50"/>
        <v>0.18419011660345957</v>
      </c>
      <c r="AO96" s="31">
        <f t="shared" si="50"/>
        <v>0.22137154624637562</v>
      </c>
      <c r="AP96" s="31">
        <f t="shared" si="38"/>
        <v>0.19495386718842281</v>
      </c>
      <c r="AQ96" s="31">
        <f t="shared" si="39"/>
        <v>0.21168059824674024</v>
      </c>
      <c r="AR96" s="31">
        <f t="shared" si="40"/>
        <v>0.25441137781091311</v>
      </c>
      <c r="AS96" s="2">
        <f t="shared" si="41"/>
        <v>110.92862765426072</v>
      </c>
      <c r="AT96" s="2">
        <f t="shared" si="42"/>
        <v>111.02555039406697</v>
      </c>
      <c r="AU96" s="2">
        <f t="shared" si="43"/>
        <v>111.27874316794183</v>
      </c>
      <c r="AV96" s="2">
        <f t="shared" si="44"/>
        <v>110.92862765426072</v>
      </c>
      <c r="AW96" s="2">
        <f t="shared" si="45"/>
        <v>111.02555039406697</v>
      </c>
      <c r="AX96" s="2">
        <f t="shared" si="46"/>
        <v>111.27874316794183</v>
      </c>
      <c r="AY96">
        <f t="shared" si="47"/>
        <v>7.4821746102855462</v>
      </c>
      <c r="AZ96">
        <f t="shared" si="48"/>
        <v>7.5417380572432471</v>
      </c>
      <c r="BA96">
        <f t="shared" si="49"/>
        <v>7.7278047807432033</v>
      </c>
    </row>
    <row r="97" spans="1:53" x14ac:dyDescent="0.2">
      <c r="A97" s="2">
        <v>93</v>
      </c>
      <c r="B97" s="2"/>
      <c r="C97" s="1">
        <v>201.58736798317972</v>
      </c>
      <c r="D97" s="2">
        <f t="shared" si="30"/>
        <v>1266.6107886249195</v>
      </c>
      <c r="E97" s="2"/>
      <c r="F97" s="2">
        <f>$D97*BASE!E$15/100/E$3</f>
        <v>0.23196651070747071</v>
      </c>
      <c r="G97" s="2">
        <f>$D97*BASE!F$15/100/F$3</f>
        <v>0.23196651070747071</v>
      </c>
      <c r="H97" s="2">
        <f>$D97*BASE!G$15/100/G$3</f>
        <v>0.23196651070747071</v>
      </c>
      <c r="I97" s="2">
        <f>(1-BESSELJ(2*F97,1)/F97)*BASE!K$13*E$2*E$3</f>
        <v>0.13724497816311029</v>
      </c>
      <c r="J97" s="2">
        <f>(1-BESSELJ(2*G97,1)/G97)*BASE!L$13*F$2*F$3</f>
        <v>0.13724497816311029</v>
      </c>
      <c r="K97" s="2">
        <f>(1-BESSELJ(2*H97,1)/H97)*BASE!M$13*G$2*G$3</f>
        <v>0.13724497816311029</v>
      </c>
      <c r="L97" s="2" t="str">
        <f>IMPRODUCT(COMPLEX(1-BESSELJ(2*F97,1)/F97,(STRUVE(2*F97)/(2*F97^2))),PI()*(BASE!E$15/100)^2*E$2*E$3)</f>
        <v>0.13724497816311+0.999025918731898i</v>
      </c>
      <c r="M97" s="2" t="str">
        <f>IMPRODUCT(COMPLEX(1-BESSELJ(2*G97,1)/G97,(STRUVE(2*G97)/(2*G97^2))),PI()*(BASE!F$15/100)^2*F$2*F$3)</f>
        <v>0.13724497816311+0.999025918731898i</v>
      </c>
      <c r="N97" s="2" t="str">
        <f>IMPRODUCT(COMPLEX(1-BESSELJ(2*H97,1)/H97,(STRUVE(2*H97)/(2*H97^2))),PI()*(BASE!G$15/100)^2*G$2*G$3)</f>
        <v>0.13724497816311+0.999025918731898i</v>
      </c>
      <c r="O97" s="2" t="str">
        <f>IMSUM(IMPRODUCT(IF($O$3=1,L97,COMPLEX(I97,$D97*BASE!K$15)),2),COMPLEX(BASE!E$36,$D97*BASE!K$14-BASE!K$10/$D97))</f>
        <v>1.07448995632622+6.97957491692821i</v>
      </c>
      <c r="P97" s="2" t="str">
        <f>IMSUM(IMPRODUCT(IF($O$3=1,M97,COMPLEX(J97,$D97*BASE!L$15)),2),COMPLEX(BASE!F$36,$D97*BASE!L$14-BASE!L$10/$D97))</f>
        <v>1.07448995632622+6.39928616003396i</v>
      </c>
      <c r="Q97" s="2" t="str">
        <f>IMSUM(IMPRODUCT(IF($O$3=1,N97,COMPLEX(K97,$D97*BASE!M$15)),2),COMPLEX(BASE!G$36,$D97*BASE!M$14-BASE!M$10/$D97))</f>
        <v>1.07448995632622+5.23870864624546i</v>
      </c>
      <c r="R97" s="2" t="str">
        <f>COMPLEX(BASE!E$19,FRES!$D97*BASE!K$36)</f>
        <v>7.2+0.352629053770625i</v>
      </c>
      <c r="S97" s="2" t="str">
        <f>COMPLEX(BASE!F$19,FRES!$D97*BASE!L$36)</f>
        <v>7.2+0.352629053770625i</v>
      </c>
      <c r="T97" s="2" t="str">
        <f>COMPLEX(BASE!G$19,FRES!$D97*BASE!M$36)</f>
        <v>7.2+0.352629053770625i</v>
      </c>
      <c r="U97" s="2" t="str">
        <f>IMDIV(BASE!K$21*BASE!E$38,IMPRODUCT(FRES!R97,IMSUM(FRES!O97,IMDIV(BASE!K$21^2,FRES!R97))))</f>
        <v>0.0457354740813583-0.157974399610606i</v>
      </c>
      <c r="V97" s="2" t="str">
        <f>IMDIV(BASE!L$21*BASE!F$38,IMPRODUCT(FRES!S97,IMSUM(FRES!P97,IMDIV(BASE!L$21^2,FRES!S97))))</f>
        <v>0.0541635922805435-0.169284625201975i</v>
      </c>
      <c r="W97" s="2" t="str">
        <f>IMDIV(BASE!M$21*BASE!G$38,IMPRODUCT(FRES!T97,IMSUM(FRES!Q97,IMDIV(BASE!M$21^2,FRES!T97))))</f>
        <v>0.0785883269751408-0.196041642971745i</v>
      </c>
      <c r="X97" s="2" t="str">
        <f t="shared" si="31"/>
        <v>-0.000124722133294087-0.0000361085461233205i</v>
      </c>
      <c r="Y97" s="2" t="str">
        <f t="shared" si="51"/>
        <v>-0.00013365165267995-0.0000427626171883042i</v>
      </c>
      <c r="Z97" s="2" t="str">
        <f t="shared" si="51"/>
        <v>-0.000154776545985823-0.0000620461531521133i</v>
      </c>
      <c r="AA97" s="44" t="str">
        <f>IMPRODUCT(COMPLEX(0,$D97),U97,E$2,BASE!E$15^2/10000,1/(2*BASE!$U$3))</f>
        <v>0.476499276628967+0.137952227511343i</v>
      </c>
      <c r="AB97" s="44" t="str">
        <f>IMPRODUCT(COMPLEX(0,$D97),V97,F$2,BASE!F$15^2/10000,1/(2*BASE!$U$3))</f>
        <v>0.510614388483052+0.163374018859525i</v>
      </c>
      <c r="AC97" s="44" t="str">
        <f>IMPRODUCT(COMPLEX(0,$D97),W97,G$2,BASE!G$15^2/10000,1/(2*BASE!$U$3))</f>
        <v>0.591321766662496+0.237046515431866i</v>
      </c>
      <c r="AD97" s="44">
        <f t="shared" si="32"/>
        <v>0.28180716011557067</v>
      </c>
      <c r="AE97" s="44">
        <f t="shared" si="33"/>
        <v>0.30966282073220142</v>
      </c>
      <c r="AF97" s="44">
        <f t="shared" si="34"/>
        <v>0.38126104582020709</v>
      </c>
      <c r="AG97" s="31">
        <f t="shared" si="35"/>
        <v>87.890205230645918</v>
      </c>
      <c r="AH97" s="31">
        <f t="shared" si="36"/>
        <v>88.564541587006886</v>
      </c>
      <c r="AI97" s="31">
        <f t="shared" si="37"/>
        <v>90.063082151427437</v>
      </c>
      <c r="AJ97" s="2" t="str">
        <f>IMSUM(R97,IMDIV(BASE!K$21^2,FRES!O97))</f>
        <v>7.40217697631851-0.960653908424535i</v>
      </c>
      <c r="AK97" s="2" t="str">
        <f>IMSUM(S97,IMDIV(BASE!L$21^2,FRES!P97))</f>
        <v>7.4394553778791-1.07348337900318i</v>
      </c>
      <c r="AL97" s="2" t="str">
        <f>IMSUM(T97,IMDIV(BASE!M$21^2,FRES!Q97))</f>
        <v>7.5525474545754-1.36622684397147i</v>
      </c>
      <c r="AM97" s="31">
        <f t="shared" si="50"/>
        <v>0.16446168101347508</v>
      </c>
      <c r="AN97" s="31">
        <f t="shared" si="50"/>
        <v>0.17773851315487618</v>
      </c>
      <c r="AO97" s="31">
        <f t="shared" si="50"/>
        <v>0.21120712799480224</v>
      </c>
      <c r="AP97" s="31">
        <f t="shared" si="38"/>
        <v>0.18362700039246935</v>
      </c>
      <c r="AQ97" s="31">
        <f t="shared" si="39"/>
        <v>0.19845103019574092</v>
      </c>
      <c r="AR97" s="31">
        <f t="shared" si="40"/>
        <v>0.23581986476239478</v>
      </c>
      <c r="AS97" s="2">
        <f t="shared" si="41"/>
        <v>110.89702005062165</v>
      </c>
      <c r="AT97" s="2">
        <f t="shared" si="42"/>
        <v>110.98568737222618</v>
      </c>
      <c r="AU97" s="2">
        <f t="shared" si="43"/>
        <v>111.21359160101343</v>
      </c>
      <c r="AV97" s="2">
        <f t="shared" si="44"/>
        <v>110.89702005062165</v>
      </c>
      <c r="AW97" s="2">
        <f t="shared" si="45"/>
        <v>110.98568737222618</v>
      </c>
      <c r="AX97" s="2">
        <f t="shared" si="46"/>
        <v>111.21359160101343</v>
      </c>
      <c r="AY97">
        <f t="shared" si="47"/>
        <v>7.4642534737581894</v>
      </c>
      <c r="AZ97">
        <f t="shared" si="48"/>
        <v>7.5165060290303991</v>
      </c>
      <c r="BA97">
        <f t="shared" si="49"/>
        <v>7.6751253307552965</v>
      </c>
    </row>
    <row r="98" spans="1:53" x14ac:dyDescent="0.2">
      <c r="A98" s="2">
        <v>94</v>
      </c>
      <c r="B98" s="2"/>
      <c r="C98" s="1">
        <v>207.49432874416158</v>
      </c>
      <c r="D98" s="2">
        <f t="shared" si="30"/>
        <v>1303.7253176884069</v>
      </c>
      <c r="E98" s="2"/>
      <c r="F98" s="2">
        <f>$D98*BASE!E$15/100/E$3</f>
        <v>0.23876364829758612</v>
      </c>
      <c r="G98" s="2">
        <f>$D98*BASE!F$15/100/F$3</f>
        <v>0.23876364829758612</v>
      </c>
      <c r="H98" s="2">
        <f>$D98*BASE!G$15/100/G$3</f>
        <v>0.23876364829758612</v>
      </c>
      <c r="I98" s="2">
        <f>(1-BESSELJ(2*F98,1)/F98)*BASE!K$13*E$2*E$3</f>
        <v>0.14532846969810689</v>
      </c>
      <c r="J98" s="2">
        <f>(1-BESSELJ(2*G98,1)/G98)*BASE!L$13*F$2*F$3</f>
        <v>0.14532846969810689</v>
      </c>
      <c r="K98" s="2">
        <f>(1-BESSELJ(2*H98,1)/H98)*BASE!M$13*G$2*G$3</f>
        <v>0.14532846969810689</v>
      </c>
      <c r="L98" s="2" t="str">
        <f>IMPRODUCT(COMPLEX(1-BESSELJ(2*F98,1)/F98,(STRUVE(2*F98)/(2*F98^2))),PI()*(BASE!E$15/100)^2*E$2*E$3)</f>
        <v>0.145328469698107+1.02742075503449i</v>
      </c>
      <c r="M98" s="2" t="str">
        <f>IMPRODUCT(COMPLEX(1-BESSELJ(2*G98,1)/G98,(STRUVE(2*G98)/(2*G98^2))),PI()*(BASE!F$15/100)^2*F$2*F$3)</f>
        <v>0.145328469698107+1.02742075503449i</v>
      </c>
      <c r="N98" s="2" t="str">
        <f>IMPRODUCT(COMPLEX(1-BESSELJ(2*H98,1)/H98,(STRUVE(2*H98)/(2*H98^2))),PI()*(BASE!G$15/100)^2*G$2*G$3)</f>
        <v>0.145328469698107+1.02742075503449i</v>
      </c>
      <c r="O98" s="2" t="str">
        <f>IMSUM(IMPRODUCT(IF($O$3=1,L98,COMPLEX(I98,$D98*BASE!K$15)),2),COMPLEX(BASE!E$36,$D98*BASE!K$14-BASE!K$10/$D98))</f>
        <v>1.09065693939621+7.21759293889804i</v>
      </c>
      <c r="P98" s="2" t="str">
        <f>IMSUM(IMPRODUCT(IF($O$3=1,M98,COMPLEX(J98,$D98*BASE!L$15)),2),COMPLEX(BASE!F$36,$D98*BASE!L$14-BASE!L$10/$D98))</f>
        <v>1.09065693939621+6.65382387648296i</v>
      </c>
      <c r="Q98" s="2" t="str">
        <f>IMSUM(IMPRODUCT(IF($O$3=1,N98,COMPLEX(K98,$D98*BASE!M$15)),2),COMPLEX(BASE!G$36,$D98*BASE!M$14-BASE!M$10/$D98))</f>
        <v>1.09065693939621+5.52628575165279i</v>
      </c>
      <c r="R98" s="2" t="str">
        <f>COMPLEX(BASE!E$19,FRES!$D98*BASE!K$36)</f>
        <v>7.2+0.362961873751583i</v>
      </c>
      <c r="S98" s="2" t="str">
        <f>COMPLEX(BASE!F$19,FRES!$D98*BASE!L$36)</f>
        <v>7.2+0.362961873751583i</v>
      </c>
      <c r="T98" s="2" t="str">
        <f>COMPLEX(BASE!G$19,FRES!$D98*BASE!M$36)</f>
        <v>7.2+0.362961873751583i</v>
      </c>
      <c r="U98" s="2" t="str">
        <f>IMDIV(BASE!K$21*BASE!E$38,IMPRODUCT(FRES!R98,IMSUM(FRES!O98,IMDIV(BASE!K$21^2,FRES!R98))))</f>
        <v>0.0428726141577851-0.153588902142291i</v>
      </c>
      <c r="V98" s="2" t="str">
        <f>IMDIV(BASE!L$21*BASE!F$38,IMPRODUCT(FRES!S98,IMSUM(FRES!P98,IMDIV(BASE!L$21^2,FRES!S98))))</f>
        <v>0.0503285492722719-0.164026280396091i</v>
      </c>
      <c r="W98" s="2" t="str">
        <f>IMDIV(BASE!M$21*BASE!G$38,IMPRODUCT(FRES!T98,IMSUM(FRES!Q98,IMDIV(BASE!M$21^2,FRES!T98))))</f>
        <v>0.0714913306079447-0.188629859484721i</v>
      </c>
      <c r="X98" s="2" t="str">
        <f t="shared" si="31"/>
        <v>-0.000117807716133498-0.0000328846986217933i</v>
      </c>
      <c r="Y98" s="2" t="str">
        <f t="shared" si="51"/>
        <v>-0.00012581352695284-0.0000386036449468571i</v>
      </c>
      <c r="Z98" s="2" t="str">
        <f t="shared" si="51"/>
        <v>-0.000144685277585292-0.000054836191058024i</v>
      </c>
      <c r="AA98" s="44" t="str">
        <f>IMPRODUCT(COMPLEX(0,$D98),U98,E$2,BASE!E$15^2/10000,1/(2*BASE!$U$3))</f>
        <v>0.476846154604851+0.133106239538437i</v>
      </c>
      <c r="AB98" s="44" t="str">
        <f>IMPRODUCT(COMPLEX(0,$D98),V98,F$2,BASE!F$15^2/10000,1/(2*BASE!$U$3))</f>
        <v>0.509250993854694+0.156254617700763i</v>
      </c>
      <c r="AC98" s="44" t="str">
        <f>IMPRODUCT(COMPLEX(0,$D98),W98,G$2,BASE!G$15^2/10000,1/(2*BASE!$U$3))</f>
        <v>0.585637516020602+0.22195852442776i</v>
      </c>
      <c r="AD98" s="44">
        <f t="shared" si="32"/>
        <v>0.27220988775688026</v>
      </c>
      <c r="AE98" s="44">
        <f t="shared" si="33"/>
        <v>0.29771304849490549</v>
      </c>
      <c r="AF98" s="44">
        <f t="shared" si="34"/>
        <v>0.36227574515762906</v>
      </c>
      <c r="AG98" s="31">
        <f t="shared" si="35"/>
        <v>87.872824803324846</v>
      </c>
      <c r="AH98" s="31">
        <f t="shared" si="36"/>
        <v>88.508790628634998</v>
      </c>
      <c r="AI98" s="31">
        <f t="shared" si="37"/>
        <v>89.914884418411759</v>
      </c>
      <c r="AJ98" s="2" t="str">
        <f>IMSUM(R98,IMDIV(BASE!K$21^2,FRES!O98))</f>
        <v>7.39206931068985-0.908086840596227i</v>
      </c>
      <c r="AK98" s="2" t="str">
        <f>IMSUM(S98,IMDIV(BASE!L$21^2,FRES!P98))</f>
        <v>7.42510800372078-1.01036548138718i</v>
      </c>
      <c r="AL98" s="2" t="str">
        <f>IMSUM(T98,IMDIV(BASE!M$21^2,FRES!Q98))</f>
        <v>7.52254232502614-1.27133851045878i</v>
      </c>
      <c r="AM98" s="31">
        <f t="shared" si="50"/>
        <v>0.15946037722894224</v>
      </c>
      <c r="AN98" s="31">
        <f t="shared" si="50"/>
        <v>0.17157384279787102</v>
      </c>
      <c r="AO98" s="31">
        <f t="shared" si="50"/>
        <v>0.20172316238181484</v>
      </c>
      <c r="AP98" s="31">
        <f t="shared" si="38"/>
        <v>0.17297434135753786</v>
      </c>
      <c r="AQ98" s="31">
        <f t="shared" si="39"/>
        <v>0.18611440012796432</v>
      </c>
      <c r="AR98" s="31">
        <f t="shared" si="40"/>
        <v>0.21881881728811672</v>
      </c>
      <c r="AS98" s="2">
        <f t="shared" si="41"/>
        <v>110.86647098389994</v>
      </c>
      <c r="AT98" s="2">
        <f t="shared" si="42"/>
        <v>110.94765006581842</v>
      </c>
      <c r="AU98" s="2">
        <f t="shared" si="43"/>
        <v>111.15315951208272</v>
      </c>
      <c r="AV98" s="2">
        <f t="shared" si="44"/>
        <v>110.86647098389994</v>
      </c>
      <c r="AW98" s="2">
        <f t="shared" si="45"/>
        <v>110.94765006581842</v>
      </c>
      <c r="AX98" s="2">
        <f t="shared" si="46"/>
        <v>111.15315951208272</v>
      </c>
      <c r="AY98">
        <f t="shared" si="47"/>
        <v>7.4476379076930668</v>
      </c>
      <c r="AZ98">
        <f t="shared" si="48"/>
        <v>7.4935350318055587</v>
      </c>
      <c r="BA98">
        <f t="shared" si="49"/>
        <v>7.6292165154742619</v>
      </c>
    </row>
    <row r="99" spans="1:53" x14ac:dyDescent="0.2">
      <c r="A99" s="2">
        <v>95</v>
      </c>
      <c r="B99" s="2"/>
      <c r="C99" s="1">
        <v>213.57437666720543</v>
      </c>
      <c r="D99" s="2">
        <f t="shared" si="30"/>
        <v>1341.9273854654239</v>
      </c>
      <c r="E99" s="2"/>
      <c r="F99" s="2">
        <f>$D99*BASE!E$15/100/E$3</f>
        <v>0.24575995722186542</v>
      </c>
      <c r="G99" s="2">
        <f>$D99*BASE!F$15/100/F$3</f>
        <v>0.24575995722186542</v>
      </c>
      <c r="H99" s="2">
        <f>$D99*BASE!G$15/100/G$3</f>
        <v>0.24575995722186542</v>
      </c>
      <c r="I99" s="2">
        <f>(1-BESSELJ(2*F99,1)/F99)*BASE!K$13*E$2*E$3</f>
        <v>0.15388318525734282</v>
      </c>
      <c r="J99" s="2">
        <f>(1-BESSELJ(2*G99,1)/G99)*BASE!L$13*F$2*F$3</f>
        <v>0.15388318525734282</v>
      </c>
      <c r="K99" s="2">
        <f>(1-BESSELJ(2*H99,1)/H99)*BASE!M$13*G$2*G$3</f>
        <v>0.15388318525734282</v>
      </c>
      <c r="L99" s="2" t="str">
        <f>IMPRODUCT(COMPLEX(1-BESSELJ(2*F99,1)/F99,(STRUVE(2*F99)/(2*F99^2))),PI()*(BASE!E$15/100)^2*E$2*E$3)</f>
        <v>0.153883185257343+1.05656880319956i</v>
      </c>
      <c r="M99" s="2" t="str">
        <f>IMPRODUCT(COMPLEX(1-BESSELJ(2*G99,1)/G99,(STRUVE(2*G99)/(2*G99^2))),PI()*(BASE!F$15/100)^2*F$2*F$3)</f>
        <v>0.153883185257343+1.05656880319956i</v>
      </c>
      <c r="N99" s="2" t="str">
        <f>IMPRODUCT(COMPLEX(1-BESSELJ(2*H99,1)/H99,(STRUVE(2*H99)/(2*H99^2))),PI()*(BASE!G$15/100)^2*G$2*G$3)</f>
        <v>0.153883185257343+1.05656880319956i</v>
      </c>
      <c r="O99" s="2" t="str">
        <f>IMSUM(IMPRODUCT(IF($O$3=1,L99,COMPLEX(I99,$D99*BASE!K$15)),2),COMPLEX(BASE!E$36,$D99*BASE!K$14-BASE!K$10/$D99))</f>
        <v>1.10776637051469+7.46163171664596i</v>
      </c>
      <c r="P99" s="2" t="str">
        <f>IMSUM(IMPRODUCT(IF($O$3=1,M99,COMPLEX(J99,$D99*BASE!L$15)),2),COMPLEX(BASE!F$36,$D99*BASE!L$14-BASE!L$10/$D99))</f>
        <v>1.10776637051469+6.91391206507549i</v>
      </c>
      <c r="Q99" s="2" t="str">
        <f>IMSUM(IMPRODUCT(IF($O$3=1,N99,COMPLEX(K99,$D99*BASE!M$15)),2),COMPLEX(BASE!G$36,$D99*BASE!M$14-BASE!M$10/$D99))</f>
        <v>1.10776637051469+5.81847276193454i</v>
      </c>
      <c r="R99" s="2" t="str">
        <f>COMPLEX(BASE!E$19,FRES!$D99*BASE!K$36)</f>
        <v>7.2+0.373597468468817i</v>
      </c>
      <c r="S99" s="2" t="str">
        <f>COMPLEX(BASE!F$19,FRES!$D99*BASE!L$36)</f>
        <v>7.2+0.373597468468817i</v>
      </c>
      <c r="T99" s="2" t="str">
        <f>COMPLEX(BASE!G$19,FRES!$D99*BASE!M$36)</f>
        <v>7.2+0.373597468468817i</v>
      </c>
      <c r="U99" s="2" t="str">
        <f>IMDIV(BASE!K$21*BASE!E$38,IMPRODUCT(FRES!R99,IMSUM(FRES!O99,IMDIV(BASE!K$21^2,FRES!R99))))</f>
        <v>0.0401884866274769-0.149310904616284i</v>
      </c>
      <c r="V99" s="2" t="str">
        <f>IMDIV(BASE!L$21*BASE!F$38,IMPRODUCT(FRES!S99,IMSUM(FRES!P99,IMDIV(BASE!L$21^2,FRES!S99))))</f>
        <v>0.04678789217799-0.158935184317931i</v>
      </c>
      <c r="W99" s="2" t="str">
        <f>IMDIV(BASE!M$21*BASE!G$38,IMPRODUCT(FRES!T99,IMSUM(FRES!Q99,IMDIV(BASE!M$21^2,FRES!T99))))</f>
        <v>0.0651544509177895-0.181520016554033i</v>
      </c>
      <c r="X99" s="2" t="str">
        <f t="shared" si="31"/>
        <v>-0.000111266009050481-0.0000299483318268658i</v>
      </c>
      <c r="Y99" s="2" t="str">
        <f t="shared" si="51"/>
        <v>-0.000118437991533206-0.000034866187757069i</v>
      </c>
      <c r="Z99" s="2" t="str">
        <f t="shared" si="51"/>
        <v>-0.000135268136353799-0.0000485528886462005i</v>
      </c>
      <c r="AA99" s="44" t="str">
        <f>IMPRODUCT(COMPLEX(0,$D99),U99,E$2,BASE!E$15^2/10000,1/(2*BASE!$U$3))</f>
        <v>0.477147762759226+0.128428975313357i</v>
      </c>
      <c r="AB99" s="44" t="str">
        <f>IMPRODUCT(COMPLEX(0,$D99),V99,F$2,BASE!F$15^2/10000,1/(2*BASE!$U$3))</f>
        <v>0.507903744980428+0.149518470431349i</v>
      </c>
      <c r="AC99" s="44" t="str">
        <f>IMPRODUCT(COMPLEX(0,$D99),W99,G$2,BASE!G$15^2/10000,1/(2*BASE!$U$3))</f>
        <v>0.580077322666817+0.208211855451036i</v>
      </c>
      <c r="AD99" s="44">
        <f t="shared" si="32"/>
        <v>0.26292851661500966</v>
      </c>
      <c r="AE99" s="44">
        <f t="shared" si="33"/>
        <v>0.28629608924933442</v>
      </c>
      <c r="AF99" s="44">
        <f t="shared" si="34"/>
        <v>0.34461520052142725</v>
      </c>
      <c r="AG99" s="31">
        <f t="shared" si="35"/>
        <v>87.856216206057169</v>
      </c>
      <c r="AH99" s="31">
        <f t="shared" si="36"/>
        <v>88.455971718267406</v>
      </c>
      <c r="AI99" s="31">
        <f t="shared" si="37"/>
        <v>89.775428520569278</v>
      </c>
      <c r="AJ99" s="2" t="str">
        <f>IMSUM(R99,IMDIV(BASE!K$21^2,FRES!O99))</f>
        <v>7.38267210960163-0.856835268098943i</v>
      </c>
      <c r="AK99" s="2" t="str">
        <f>IMSUM(S99,IMDIV(BASE!L$21^2,FRES!P99))</f>
        <v>7.41200797624686-0.949609792448823i</v>
      </c>
      <c r="AL99" s="2" t="str">
        <f>IMSUM(T99,IMDIV(BASE!M$21^2,FRES!Q99))</f>
        <v>7.49629656039675-1.18268146543888i</v>
      </c>
      <c r="AM99" s="31">
        <f t="shared" si="50"/>
        <v>0.15462490321659036</v>
      </c>
      <c r="AN99" s="31">
        <f t="shared" si="50"/>
        <v>0.16567890532181193</v>
      </c>
      <c r="AO99" s="31">
        <f t="shared" si="50"/>
        <v>0.19285906482241133</v>
      </c>
      <c r="AP99" s="31">
        <f t="shared" si="38"/>
        <v>0.16295414906797426</v>
      </c>
      <c r="AQ99" s="31">
        <f t="shared" si="39"/>
        <v>0.17460360183645107</v>
      </c>
      <c r="AR99" s="31">
        <f t="shared" si="40"/>
        <v>0.20324788662379892</v>
      </c>
      <c r="AS99" s="2">
        <f t="shared" si="41"/>
        <v>110.83692746198197</v>
      </c>
      <c r="AT99" s="2">
        <f t="shared" si="42"/>
        <v>110.91130875583821</v>
      </c>
      <c r="AU99" s="2">
        <f t="shared" si="43"/>
        <v>111.09694425255179</v>
      </c>
      <c r="AV99" s="2">
        <f t="shared" si="44"/>
        <v>110.83692746198197</v>
      </c>
      <c r="AW99" s="2">
        <f t="shared" si="45"/>
        <v>110.91130875583821</v>
      </c>
      <c r="AX99" s="2">
        <f t="shared" si="46"/>
        <v>111.09694425255179</v>
      </c>
      <c r="AY99">
        <f t="shared" si="47"/>
        <v>7.4322280747127225</v>
      </c>
      <c r="AZ99">
        <f t="shared" si="48"/>
        <v>7.4725913174655672</v>
      </c>
      <c r="BA99">
        <f t="shared" si="49"/>
        <v>7.5890182217536406</v>
      </c>
    </row>
    <row r="100" spans="1:53" x14ac:dyDescent="0.2">
      <c r="A100" s="2">
        <v>96</v>
      </c>
      <c r="B100" s="2"/>
      <c r="C100" s="1">
        <v>219.83258359329429</v>
      </c>
      <c r="D100" s="2">
        <f t="shared" si="30"/>
        <v>1381.2488592727148</v>
      </c>
      <c r="E100" s="2"/>
      <c r="F100" s="2">
        <f>$D100*BASE!E$15/100/E$3</f>
        <v>0.25296127364587506</v>
      </c>
      <c r="G100" s="2">
        <f>$D100*BASE!F$15/100/F$3</f>
        <v>0.25296127364587506</v>
      </c>
      <c r="H100" s="2">
        <f>$D100*BASE!G$15/100/G$3</f>
        <v>0.25296127364587506</v>
      </c>
      <c r="I100" s="2">
        <f>(1-BESSELJ(2*F100,1)/F100)*BASE!K$13*E$2*E$3</f>
        <v>0.16293599759456087</v>
      </c>
      <c r="J100" s="2">
        <f>(1-BESSELJ(2*G100,1)/G100)*BASE!L$13*F$2*F$3</f>
        <v>0.16293599759456087</v>
      </c>
      <c r="K100" s="2">
        <f>(1-BESSELJ(2*H100,1)/H100)*BASE!M$13*G$2*G$3</f>
        <v>0.16293599759456087</v>
      </c>
      <c r="L100" s="2" t="str">
        <f>IMPRODUCT(COMPLEX(1-BESSELJ(2*F100,1)/F100,(STRUVE(2*F100)/(2*F100^2))),PI()*(BASE!E$15/100)^2*E$2*E$3)</f>
        <v>0.162935997594561+1.08648511195621i</v>
      </c>
      <c r="M100" s="2" t="str">
        <f>IMPRODUCT(COMPLEX(1-BESSELJ(2*G100,1)/G100,(STRUVE(2*G100)/(2*G100^2))),PI()*(BASE!F$15/100)^2*F$2*F$3)</f>
        <v>0.162935997594561+1.08648511195621i</v>
      </c>
      <c r="N100" s="2" t="str">
        <f>IMPRODUCT(COMPLEX(1-BESSELJ(2*H100,1)/H100,(STRUVE(2*H100)/(2*H100^2))),PI()*(BASE!G$15/100)^2*G$2*G$3)</f>
        <v>0.162935997594561+1.08648511195621i</v>
      </c>
      <c r="O100" s="2" t="str">
        <f>IMSUM(IMPRODUCT(IF($O$3=1,L100,COMPLEX(I100,$D100*BASE!K$15)),2),COMPLEX(BASE!E$36,$D100*BASE!K$14-BASE!K$10/$D100))</f>
        <v>1.12587199518912+7.71189482190207i</v>
      </c>
      <c r="P100" s="2" t="str">
        <f>IMSUM(IMPRODUCT(IF($O$3=1,M100,COMPLEX(J100,$D100*BASE!L$15)),2),COMPLEX(BASE!F$36,$D100*BASE!L$14-BASE!L$10/$D100))</f>
        <v>1.12587199518912+7.17976768560383i</v>
      </c>
      <c r="Q100" s="2" t="str">
        <f>IMSUM(IMPRODUCT(IF($O$3=1,N100,COMPLEX(K100,$D100*BASE!M$15)),2),COMPLEX(BASE!G$36,$D100*BASE!M$14-BASE!M$10/$D100))</f>
        <v>1.12587199518912+6.11551341300735i</v>
      </c>
      <c r="R100" s="2" t="str">
        <f>COMPLEX(BASE!E$19,FRES!$D100*BASE!K$36)</f>
        <v>7.2+0.3845447098993i</v>
      </c>
      <c r="S100" s="2" t="str">
        <f>COMPLEX(BASE!F$19,FRES!$D100*BASE!L$36)</f>
        <v>7.2+0.3845447098993i</v>
      </c>
      <c r="T100" s="2" t="str">
        <f>COMPLEX(BASE!G$19,FRES!$D100*BASE!M$36)</f>
        <v>7.2+0.3845447098993i</v>
      </c>
      <c r="U100" s="2" t="str">
        <f>IMDIV(BASE!K$21*BASE!E$38,IMPRODUCT(FRES!R100,IMSUM(FRES!O100,IMDIV(BASE!K$21^2,FRES!R100))))</f>
        <v>0.0376711239842419-0.145139625766365i</v>
      </c>
      <c r="V100" s="2" t="str">
        <f>IMDIV(BASE!L$21*BASE!F$38,IMPRODUCT(FRES!S100,IMSUM(FRES!P100,IMDIV(BASE!L$21^2,FRES!S100))))</f>
        <v>0.0435154763016741-0.154008059205835i</v>
      </c>
      <c r="W100" s="2" t="str">
        <f>IMDIV(BASE!M$21*BASE!G$38,IMPRODUCT(FRES!T100,IMSUM(FRES!Q100,IMDIV(BASE!M$21^2,FRES!T100))))</f>
        <v>0.0594808455408108-0.174712475943402i</v>
      </c>
      <c r="X100" s="2" t="str">
        <f t="shared" si="31"/>
        <v>-0.000105078548874087-0.0000272732344583274i</v>
      </c>
      <c r="Y100" s="2" t="str">
        <f t="shared" si="51"/>
        <v>-0.000111499139472178-0.000031504443250427i</v>
      </c>
      <c r="Z100" s="2" t="str">
        <f t="shared" si="51"/>
        <v>-0.000126488774829031-0.0000430630911594962i</v>
      </c>
      <c r="AA100" s="44" t="str">
        <f>IMPRODUCT(COMPLEX(0,$D100),U100,E$2,BASE!E$15^2/10000,1/(2*BASE!$U$3))</f>
        <v>0.477408646729177+0.12391185540904i</v>
      </c>
      <c r="AB100" s="44" t="str">
        <f>IMPRODUCT(COMPLEX(0,$D100),V100,F$2,BASE!F$15^2/10000,1/(2*BASE!$U$3))</f>
        <v>0.506579638349071+0.143135718748506i</v>
      </c>
      <c r="AC100" s="44" t="str">
        <f>IMPRODUCT(COMPLEX(0,$D100),W100,G$2,BASE!G$15^2/10000,1/(2*BASE!$U$3))</f>
        <v>0.574682801243469+0.195650704113407i</v>
      </c>
      <c r="AD100" s="44">
        <f t="shared" si="32"/>
        <v>0.25394737192847139</v>
      </c>
      <c r="AE100" s="44">
        <f t="shared" si="33"/>
        <v>0.27537474995677064</v>
      </c>
      <c r="AF100" s="44">
        <f t="shared" si="34"/>
        <v>0.32814173517624007</v>
      </c>
      <c r="AG100" s="31">
        <f t="shared" si="35"/>
        <v>87.840342120522081</v>
      </c>
      <c r="AH100" s="31">
        <f t="shared" si="36"/>
        <v>88.405934043302892</v>
      </c>
      <c r="AI100" s="31">
        <f t="shared" si="37"/>
        <v>89.644240746145186</v>
      </c>
      <c r="AJ100" s="2" t="str">
        <f>IMSUM(R100,IMDIV(BASE!K$21^2,FRES!O100))</f>
        <v>7.37392726843744-0.80680635539203i</v>
      </c>
      <c r="AK100" s="2" t="str">
        <f>IMSUM(S100,IMDIV(BASE!L$21^2,FRES!P100))</f>
        <v>7.40002215431753-0.89101113136013i</v>
      </c>
      <c r="AL100" s="2" t="str">
        <f>IMSUM(T100,IMDIV(BASE!M$21^2,FRES!Q100))</f>
        <v>7.47321683398943-1.09951495235482i</v>
      </c>
      <c r="AM100" s="31">
        <f t="shared" si="50"/>
        <v>0.14994873974074144</v>
      </c>
      <c r="AN100" s="31">
        <f t="shared" si="50"/>
        <v>0.16003774235507554</v>
      </c>
      <c r="AO100" s="31">
        <f t="shared" si="50"/>
        <v>0.18456007216221934</v>
      </c>
      <c r="AP100" s="31">
        <f t="shared" si="38"/>
        <v>0.1535273965864255</v>
      </c>
      <c r="AQ100" s="31">
        <f t="shared" si="39"/>
        <v>0.16385718200649965</v>
      </c>
      <c r="AR100" s="31">
        <f t="shared" si="40"/>
        <v>0.18896475850253339</v>
      </c>
      <c r="AS100" s="2">
        <f t="shared" si="41"/>
        <v>110.80833959055225</v>
      </c>
      <c r="AT100" s="2">
        <f t="shared" si="42"/>
        <v>110.8765450531663</v>
      </c>
      <c r="AU100" s="2">
        <f t="shared" si="43"/>
        <v>111.044507583761</v>
      </c>
      <c r="AV100" s="2">
        <f t="shared" si="44"/>
        <v>110.80833959055225</v>
      </c>
      <c r="AW100" s="2">
        <f t="shared" si="45"/>
        <v>110.8765450531663</v>
      </c>
      <c r="AX100" s="2">
        <f t="shared" si="46"/>
        <v>111.044507583761</v>
      </c>
      <c r="AY100">
        <f t="shared" si="47"/>
        <v>7.4179336647954877</v>
      </c>
      <c r="AZ100">
        <f t="shared" si="48"/>
        <v>7.4534709176730489</v>
      </c>
      <c r="BA100">
        <f t="shared" si="49"/>
        <v>7.5536681803131138</v>
      </c>
    </row>
    <row r="101" spans="1:53" x14ac:dyDescent="0.2">
      <c r="A101" s="2">
        <v>97</v>
      </c>
      <c r="B101" s="2"/>
      <c r="C101" s="1">
        <v>226.27416997969519</v>
      </c>
      <c r="D101" s="2">
        <f t="shared" si="30"/>
        <v>1421.7225402106769</v>
      </c>
      <c r="E101" s="2"/>
      <c r="F101" s="2">
        <f>$D101*BASE!E$15/100/E$3</f>
        <v>0.26037360474788562</v>
      </c>
      <c r="G101" s="2">
        <f>$D101*BASE!F$15/100/F$3</f>
        <v>0.26037360474788562</v>
      </c>
      <c r="H101" s="2">
        <f>$D101*BASE!G$15/100/G$3</f>
        <v>0.26037360474788562</v>
      </c>
      <c r="I101" s="2">
        <f>(1-BESSELJ(2*F101,1)/F101)*BASE!K$13*E$2*E$3</f>
        <v>0.17251523855142975</v>
      </c>
      <c r="J101" s="2">
        <f>(1-BESSELJ(2*G101,1)/G101)*BASE!L$13*F$2*F$3</f>
        <v>0.17251523855142975</v>
      </c>
      <c r="K101" s="2">
        <f>(1-BESSELJ(2*H101,1)/H101)*BASE!M$13*G$2*G$3</f>
        <v>0.17251523855142975</v>
      </c>
      <c r="L101" s="2" t="str">
        <f>IMPRODUCT(COMPLEX(1-BESSELJ(2*F101,1)/F101,(STRUVE(2*F101)/(2*F101^2))),PI()*(BASE!E$15/100)^2*E$2*E$3)</f>
        <v>0.17251523855143+1.11718455268975i</v>
      </c>
      <c r="M101" s="2" t="str">
        <f>IMPRODUCT(COMPLEX(1-BESSELJ(2*G101,1)/G101,(STRUVE(2*G101)/(2*G101^2))),PI()*(BASE!F$15/100)^2*F$2*F$3)</f>
        <v>0.17251523855143+1.11718455268975i</v>
      </c>
      <c r="N101" s="2" t="str">
        <f>IMPRODUCT(COMPLEX(1-BESSELJ(2*H101,1)/H101,(STRUVE(2*H101)/(2*H101^2))),PI()*(BASE!G$15/100)^2*G$2*G$3)</f>
        <v>0.17251523855143+1.11718455268975i</v>
      </c>
      <c r="O101" s="2" t="str">
        <f>IMSUM(IMPRODUCT(IF($O$3=1,L101,COMPLEX(I101,$D101*BASE!K$15)),2),COMPLEX(BASE!E$36,$D101*BASE!K$14-BASE!K$10/$D101))</f>
        <v>1.14503047710286+7.96859101859213i</v>
      </c>
      <c r="P101" s="2" t="str">
        <f>IMSUM(IMPRODUCT(IF($O$3=1,M101,COMPLEX(J101,$D101*BASE!L$15)),2),COMPLEX(BASE!F$36,$D101*BASE!L$14-BASE!L$10/$D101))</f>
        <v>1.14503047710286+7.45161250892379i</v>
      </c>
      <c r="Q101" s="2" t="str">
        <f>IMSUM(IMPRODUCT(IF($O$3=1,N101,COMPLEX(K101,$D101*BASE!M$15)),2),COMPLEX(BASE!G$36,$D101*BASE!M$14-BASE!M$10/$D101))</f>
        <v>1.14503047710286+6.41765548958711i</v>
      </c>
      <c r="R101" s="2" t="str">
        <f>COMPLEX(BASE!E$19,FRES!$D101*BASE!K$36)</f>
        <v>7.2+0.395812729988772i</v>
      </c>
      <c r="S101" s="2" t="str">
        <f>COMPLEX(BASE!F$19,FRES!$D101*BASE!L$36)</f>
        <v>7.2+0.395812729988772i</v>
      </c>
      <c r="T101" s="2" t="str">
        <f>COMPLEX(BASE!G$19,FRES!$D101*BASE!M$36)</f>
        <v>7.2+0.395812729988772i</v>
      </c>
      <c r="U101" s="2" t="str">
        <f>IMDIV(BASE!K$21*BASE!E$38,IMPRODUCT(FRES!R101,IMSUM(FRES!O101,IMDIV(BASE!K$21^2,FRES!R101))))</f>
        <v>0.0353094219264737-0.141073987938394i</v>
      </c>
      <c r="V101" s="2" t="str">
        <f>IMDIV(BASE!L$21*BASE!F$38,IMPRODUCT(FRES!S101,IMSUM(FRES!P101,IMDIV(BASE!L$21^2,FRES!S101))))</f>
        <v>0.0404878024180593-0.149241051815907i</v>
      </c>
      <c r="W101" s="2" t="str">
        <f>IMDIV(BASE!M$21*BASE!G$38,IMPRODUCT(FRES!T101,IMSUM(FRES!Q101,IMDIV(BASE!M$21^2,FRES!T101))))</f>
        <v>0.0543875364430522-0.16820239473491i</v>
      </c>
      <c r="X101" s="2" t="str">
        <f t="shared" ref="X101:X132" si="52">IMDIV(U101,COMPLEX(0,$D101))</f>
        <v>-0.0000992275102549114-0.0000248356630269373i</v>
      </c>
      <c r="Y101" s="2" t="str">
        <f t="shared" si="51"/>
        <v>-0.000104971995304929-0.0000284779915018155i</v>
      </c>
      <c r="Z101" s="2" t="str">
        <f t="shared" si="51"/>
        <v>-0.000118308875309795-0.0000382546769181789i</v>
      </c>
      <c r="AA101" s="44" t="str">
        <f>IMPRODUCT(COMPLEX(0,$D101),U101,E$2,BASE!E$15^2/10000,1/(2*BASE!$U$3))</f>
        <v>0.477632798300715+0.119546758743979i</v>
      </c>
      <c r="AB101" s="44" t="str">
        <f>IMPRODUCT(COMPLEX(0,$D101),V101,F$2,BASE!F$15^2/10000,1/(2*BASE!$U$3))</f>
        <v>0.505283945267799+0.137079150087038i</v>
      </c>
      <c r="AC101" s="44" t="str">
        <f>IMPRODUCT(COMPLEX(0,$D101),W101,G$2,BASE!G$15^2/10000,1/(2*BASE!$U$3))</f>
        <v>0.569481175460922+0.184139341373983i</v>
      </c>
      <c r="AD101" s="44">
        <f t="shared" si="32"/>
        <v>0.24525167562911776</v>
      </c>
      <c r="AE101" s="44">
        <f t="shared" si="33"/>
        <v>0.26491502492117658</v>
      </c>
      <c r="AF101" s="44">
        <f t="shared" si="34"/>
        <v>0.31273499722978287</v>
      </c>
      <c r="AG101" s="31">
        <f t="shared" si="35"/>
        <v>87.825165486437754</v>
      </c>
      <c r="AH101" s="31">
        <f t="shared" si="36"/>
        <v>88.358530983482012</v>
      </c>
      <c r="AI101" s="31">
        <f t="shared" si="37"/>
        <v>89.520851175343125</v>
      </c>
      <c r="AJ101" s="2" t="str">
        <f>IMSUM(R101,IMDIV(BASE!K$21^2,FRES!O101))</f>
        <v>7.3657822667671-0.757912964147038i</v>
      </c>
      <c r="AK101" s="2" t="str">
        <f>IMSUM(S101,IMDIV(BASE!L$21^2,FRES!P101))</f>
        <v>7.38903450461226-0.834383240646858i</v>
      </c>
      <c r="AL101" s="2" t="str">
        <f>IMSUM(T101,IMDIV(BASE!M$21^2,FRES!Q101))</f>
        <v>7.45282188719596-1.02120088204733i</v>
      </c>
      <c r="AM101" s="31">
        <f t="shared" si="50"/>
        <v>0.14542566950034605</v>
      </c>
      <c r="AN101" s="31">
        <f t="shared" si="50"/>
        <v>0.15463555118976371</v>
      </c>
      <c r="AO101" s="31">
        <f t="shared" si="50"/>
        <v>0.17677683591156057</v>
      </c>
      <c r="AP101" s="31">
        <f t="shared" si="38"/>
        <v>0.1446575884589269</v>
      </c>
      <c r="AQ101" s="31">
        <f t="shared" si="39"/>
        <v>0.15381882718494191</v>
      </c>
      <c r="AR101" s="31">
        <f t="shared" si="40"/>
        <v>0.17584317037168587</v>
      </c>
      <c r="AS101" s="2">
        <f t="shared" si="41"/>
        <v>110.78066032955888</v>
      </c>
      <c r="AT101" s="2">
        <f t="shared" si="42"/>
        <v>110.84325071431036</v>
      </c>
      <c r="AU101" s="2">
        <f t="shared" si="43"/>
        <v>110.99546641373901</v>
      </c>
      <c r="AV101" s="2">
        <f t="shared" si="44"/>
        <v>110.78066032955888</v>
      </c>
      <c r="AW101" s="2">
        <f t="shared" si="45"/>
        <v>110.84325071431036</v>
      </c>
      <c r="AX101" s="2">
        <f t="shared" si="46"/>
        <v>110.99546641373901</v>
      </c>
      <c r="AY101">
        <f t="shared" si="47"/>
        <v>7.4046728801914554</v>
      </c>
      <c r="AZ101">
        <f t="shared" si="48"/>
        <v>7.4359953135153942</v>
      </c>
      <c r="BA101">
        <f t="shared" si="49"/>
        <v>7.5224600579704912</v>
      </c>
    </row>
    <row r="102" spans="1:53" x14ac:dyDescent="0.2">
      <c r="A102" s="2">
        <v>98</v>
      </c>
      <c r="B102" s="2"/>
      <c r="C102" s="1">
        <v>232.90450925474997</v>
      </c>
      <c r="D102" s="2">
        <f t="shared" si="30"/>
        <v>1463.3821905253169</v>
      </c>
      <c r="E102" s="2"/>
      <c r="F102" s="2">
        <f>$D102*BASE!E$15/100/E$3</f>
        <v>0.26800313372992723</v>
      </c>
      <c r="G102" s="2">
        <f>$D102*BASE!F$15/100/F$3</f>
        <v>0.26800313372992723</v>
      </c>
      <c r="H102" s="2">
        <f>$D102*BASE!G$15/100/G$3</f>
        <v>0.26800313372992723</v>
      </c>
      <c r="I102" s="2">
        <f>(1-BESSELJ(2*F102,1)/F102)*BASE!K$13*E$2*E$3</f>
        <v>0.18265076913515826</v>
      </c>
      <c r="J102" s="2">
        <f>(1-BESSELJ(2*G102,1)/G102)*BASE!L$13*F$2*F$3</f>
        <v>0.18265076913515826</v>
      </c>
      <c r="K102" s="2">
        <f>(1-BESSELJ(2*H102,1)/H102)*BASE!M$13*G$2*G$3</f>
        <v>0.18265076913515826</v>
      </c>
      <c r="L102" s="2" t="str">
        <f>IMPRODUCT(COMPLEX(1-BESSELJ(2*F102,1)/F102,(STRUVE(2*F102)/(2*F102^2))),PI()*(BASE!E$15/100)^2*E$2*E$3)</f>
        <v>0.182650769135158+1.14868176093596i</v>
      </c>
      <c r="M102" s="2" t="str">
        <f>IMPRODUCT(COMPLEX(1-BESSELJ(2*G102,1)/G102,(STRUVE(2*G102)/(2*G102^2))),PI()*(BASE!F$15/100)^2*F$2*F$3)</f>
        <v>0.182650769135158+1.14868176093596i</v>
      </c>
      <c r="N102" s="2" t="str">
        <f>IMPRODUCT(COMPLEX(1-BESSELJ(2*H102,1)/H102,(STRUVE(2*H102)/(2*H102^2))),PI()*(BASE!G$15/100)^2*G$2*G$3)</f>
        <v>0.182650769135158+1.14868176093596i</v>
      </c>
      <c r="O102" s="2" t="str">
        <f>IMSUM(IMPRODUCT(IF($O$3=1,L102,COMPLEX(I102,$D102*BASE!K$15)),2),COMPLEX(BASE!E$36,$D102*BASE!K$14-BASE!K$10/$D102))</f>
        <v>1.16530153827032+8.23193443698407i</v>
      </c>
      <c r="P102" s="2" t="str">
        <f>IMSUM(IMPRODUCT(IF($O$3=1,M102,COMPLEX(J102,$D102*BASE!L$15)),2),COMPLEX(BASE!F$36,$D102*BASE!L$14-BASE!L$10/$D102))</f>
        <v>1.16530153827032+7.72967330195129i</v>
      </c>
      <c r="Q102" s="2" t="str">
        <f>IMSUM(IMPRODUCT(IF($O$3=1,N102,COMPLEX(K102,$D102*BASE!M$15)),2),COMPLEX(BASE!G$36,$D102*BASE!M$14-BASE!M$10/$D102))</f>
        <v>1.16530153827032+6.72515103188573i</v>
      </c>
      <c r="R102" s="2" t="str">
        <f>COMPLEX(BASE!E$19,FRES!$D102*BASE!K$36)</f>
        <v>7.2+0.40741092826941i</v>
      </c>
      <c r="S102" s="2" t="str">
        <f>COMPLEX(BASE!F$19,FRES!$D102*BASE!L$36)</f>
        <v>7.2+0.40741092826941i</v>
      </c>
      <c r="T102" s="2" t="str">
        <f>COMPLEX(BASE!G$19,FRES!$D102*BASE!M$36)</f>
        <v>7.2+0.40741092826941i</v>
      </c>
      <c r="U102" s="2" t="str">
        <f>IMDIV(BASE!K$21*BASE!E$38,IMPRODUCT(FRES!R102,IMSUM(FRES!O102,IMDIV(BASE!K$21^2,FRES!R102))))</f>
        <v>0.033093073363254-0.13711267062903i</v>
      </c>
      <c r="V102" s="2" t="str">
        <f>IMDIV(BASE!L$21*BASE!F$38,IMPRODUCT(FRES!S102,IMSUM(FRES!P102,IMDIV(BASE!L$21^2,FRES!S102))))</f>
        <v>0.0376837242401018-0.144629907993077i</v>
      </c>
      <c r="W102" s="2" t="str">
        <f>IMDIV(BASE!M$21*BASE!G$38,IMPRODUCT(FRES!T102,IMSUM(FRES!Q102,IMDIV(BASE!M$21^2,FRES!T102))))</f>
        <v>0.049803322610025-0.16198149240818i</v>
      </c>
      <c r="X102" s="2" t="str">
        <f t="shared" si="52"/>
        <v>-0.0000936957354796082-0.000022614101481838i</v>
      </c>
      <c r="Y102" s="2" t="str">
        <f t="shared" si="51"/>
        <v>-0.0000988326282289647-0.0000257511157946881i</v>
      </c>
      <c r="Z102" s="2" t="str">
        <f t="shared" si="51"/>
        <v>-0.000110689807117328-0.0000340330249558024i</v>
      </c>
      <c r="AA102" s="44" t="str">
        <f>IMPRODUCT(COMPLEX(0,$D102),U102,E$2,BASE!E$15^2/10000,1/(2*BASE!$U$3))</f>
        <v>0.477823719435862+0.115325996710956i</v>
      </c>
      <c r="AB102" s="44" t="str">
        <f>IMPRODUCT(COMPLEX(0,$D102),V102,F$2,BASE!F$15^2/10000,1/(2*BASE!$U$3))</f>
        <v>0.504020527511239+0.131323948370301i</v>
      </c>
      <c r="AC102" s="44" t="str">
        <f>IMPRODUCT(COMPLEX(0,$D102),W102,G$2,BASE!G$15^2/10000,1/(2*BASE!$U$3))</f>
        <v>0.564489035383585+0.173559516714335i</v>
      </c>
      <c r="AD102" s="44">
        <f t="shared" si="32"/>
        <v>0.23682747563471673</v>
      </c>
      <c r="AE102" s="44">
        <f t="shared" si="33"/>
        <v>0.25488576468391017</v>
      </c>
      <c r="AF102" s="44">
        <f t="shared" si="34"/>
        <v>0.2982894819484177</v>
      </c>
      <c r="AG102" s="31">
        <f t="shared" si="35"/>
        <v>87.810649661997857</v>
      </c>
      <c r="AH102" s="31">
        <f t="shared" si="36"/>
        <v>88.313620623576014</v>
      </c>
      <c r="AI102" s="31">
        <f t="shared" si="37"/>
        <v>89.404800974376116</v>
      </c>
      <c r="AJ102" s="2" t="str">
        <f>IMSUM(R102,IMDIV(BASE!K$21^2,FRES!O102))</f>
        <v>7.35818953536964-0.71007312286534i</v>
      </c>
      <c r="AK102" s="2" t="str">
        <f>IMSUM(S102,IMDIV(BASE!L$21^2,FRES!P102))</f>
        <v>7.37894352937125-0.77955654419352i</v>
      </c>
      <c r="AL102" s="2" t="str">
        <f>IMSUM(T102,IMDIV(BASE!M$21^2,FRES!Q102))</f>
        <v>7.43471817781013-0.94718712541989i</v>
      </c>
      <c r="AM102" s="31">
        <f t="shared" si="50"/>
        <v>0.14104976409640171</v>
      </c>
      <c r="AN102" s="31">
        <f t="shared" si="50"/>
        <v>0.14945860081872156</v>
      </c>
      <c r="AO102" s="31">
        <f t="shared" si="50"/>
        <v>0.16946496636703265</v>
      </c>
      <c r="AP102" s="31">
        <f t="shared" si="38"/>
        <v>0.13631058970524321</v>
      </c>
      <c r="AQ102" s="31">
        <f t="shared" si="39"/>
        <v>0.14443689533714152</v>
      </c>
      <c r="AR102" s="31">
        <f t="shared" si="40"/>
        <v>0.16377106085822091</v>
      </c>
      <c r="AS102" s="2">
        <f t="shared" si="41"/>
        <v>110.75384526814481</v>
      </c>
      <c r="AT102" s="2">
        <f t="shared" si="42"/>
        <v>110.81132658746404</v>
      </c>
      <c r="AU102" s="2">
        <f t="shared" si="43"/>
        <v>110.94948491048822</v>
      </c>
      <c r="AV102" s="2">
        <f t="shared" si="44"/>
        <v>110.75384526814481</v>
      </c>
      <c r="AW102" s="2">
        <f t="shared" si="45"/>
        <v>110.81132658746404</v>
      </c>
      <c r="AX102" s="2">
        <f t="shared" si="46"/>
        <v>110.94948491048822</v>
      </c>
      <c r="AY102">
        <f t="shared" si="47"/>
        <v>7.3923715462792456</v>
      </c>
      <c r="AZ102">
        <f t="shared" si="48"/>
        <v>7.4200078177347493</v>
      </c>
      <c r="BA102">
        <f t="shared" si="49"/>
        <v>7.4948113941594006</v>
      </c>
    </row>
    <row r="103" spans="1:53" x14ac:dyDescent="0.2">
      <c r="A103" s="2">
        <v>99</v>
      </c>
      <c r="B103" s="2"/>
      <c r="C103" s="1">
        <v>239.72913230026904</v>
      </c>
      <c r="D103" s="2">
        <f t="shared" si="30"/>
        <v>1506.2625617719616</v>
      </c>
      <c r="E103" s="2"/>
      <c r="F103" s="2">
        <f>$D103*BASE!E$15/100/E$3</f>
        <v>0.27585622497567902</v>
      </c>
      <c r="G103" s="2">
        <f>$D103*BASE!F$15/100/F$3</f>
        <v>0.27585622497567902</v>
      </c>
      <c r="H103" s="2">
        <f>$D103*BASE!G$15/100/G$3</f>
        <v>0.27585622497567902</v>
      </c>
      <c r="I103" s="2">
        <f>(1-BESSELJ(2*F103,1)/F103)*BASE!K$13*E$2*E$3</f>
        <v>0.19337405177983505</v>
      </c>
      <c r="J103" s="2">
        <f>(1-BESSELJ(2*G103,1)/G103)*BASE!L$13*F$2*F$3</f>
        <v>0.19337405177983505</v>
      </c>
      <c r="K103" s="2">
        <f>(1-BESSELJ(2*H103,1)/H103)*BASE!M$13*G$2*G$3</f>
        <v>0.19337405177983505</v>
      </c>
      <c r="L103" s="2" t="str">
        <f>IMPRODUCT(COMPLEX(1-BESSELJ(2*F103,1)/F103,(STRUVE(2*F103)/(2*F103^2))),PI()*(BASE!E$15/100)^2*E$2*E$3)</f>
        <v>0.193374051779835+1.18099107174212i</v>
      </c>
      <c r="M103" s="2" t="str">
        <f>IMPRODUCT(COMPLEX(1-BESSELJ(2*G103,1)/G103,(STRUVE(2*G103)/(2*G103^2))),PI()*(BASE!F$15/100)^2*F$2*F$3)</f>
        <v>0.193374051779835+1.18099107174212i</v>
      </c>
      <c r="N103" s="2" t="str">
        <f>IMPRODUCT(COMPLEX(1-BESSELJ(2*H103,1)/H103,(STRUVE(2*H103)/(2*H103^2))),PI()*(BASE!G$15/100)^2*G$2*G$3)</f>
        <v>0.193374051779835+1.18099107174212i</v>
      </c>
      <c r="O103" s="2" t="str">
        <f>IMSUM(IMPRODUCT(IF($O$3=1,L103,COMPLEX(I103,$D103*BASE!K$15)),2),COMPLEX(BASE!E$36,$D103*BASE!K$14-BASE!K$10/$D103))</f>
        <v>1.18674810355967+8.5021447523105i</v>
      </c>
      <c r="P103" s="2" t="str">
        <f>IMSUM(IMPRODUCT(IF($O$3=1,M103,COMPLEX(J103,$D103*BASE!L$15)),2),COMPLEX(BASE!F$36,$D103*BASE!L$14-BASE!L$10/$D103))</f>
        <v>1.18674810355967+8.01418201682609i</v>
      </c>
      <c r="Q103" s="2" t="str">
        <f>IMSUM(IMPRODUCT(IF($O$3=1,N103,COMPLEX(K103,$D103*BASE!M$15)),2),COMPLEX(BASE!G$36,$D103*BASE!M$14-BASE!M$10/$D103))</f>
        <v>1.18674810355967+7.03825654585727i</v>
      </c>
      <c r="R103" s="2" t="str">
        <f>COMPLEX(BASE!E$19,FRES!$D103*BASE!K$36)</f>
        <v>7.2+0.419348979700705i</v>
      </c>
      <c r="S103" s="2" t="str">
        <f>COMPLEX(BASE!F$19,FRES!$D103*BASE!L$36)</f>
        <v>7.2+0.419348979700705i</v>
      </c>
      <c r="T103" s="2" t="str">
        <f>COMPLEX(BASE!G$19,FRES!$D103*BASE!M$36)</f>
        <v>7.2+0.419348979700705i</v>
      </c>
      <c r="U103" s="2" t="str">
        <f>IMDIV(BASE!K$21*BASE!E$38,IMPRODUCT(FRES!R103,IMSUM(FRES!O103,IMDIV(BASE!K$21^2,FRES!R103))))</f>
        <v>0.0310125072973835-0.13325415600582i</v>
      </c>
      <c r="V103" s="2" t="str">
        <f>IMDIV(BASE!L$21*BASE!F$38,IMPRODUCT(FRES!S103,IMSUM(FRES!P103,IMDIV(BASE!L$21^2,FRES!S103))))</f>
        <v>0.0350841888319882-0.140170109139068i</v>
      </c>
      <c r="W103" s="2" t="str">
        <f>IMDIV(BASE!M$21*BASE!G$38,IMPRODUCT(FRES!T103,IMSUM(FRES!Q103,IMDIV(BASE!M$21^2,FRES!T103))))</f>
        <v>0.0456669919863133-0.156039314242303i</v>
      </c>
      <c r="X103" s="2" t="str">
        <f t="shared" si="52"/>
        <v>-0.000088466751672471-0.0000205890447551857i</v>
      </c>
      <c r="Y103" s="2" t="str">
        <f t="shared" si="51"/>
        <v>-0.0000930582175355753-0.0000232922132717123i</v>
      </c>
      <c r="Z103" s="2" t="str">
        <f t="shared" si="51"/>
        <v>-0.000103593701524878-0.0000303180820829742i</v>
      </c>
      <c r="AA103" s="44" t="str">
        <f>IMPRODUCT(COMPLEX(0,$D103),U103,E$2,BASE!E$15^2/10000,1/(2*BASE!$U$3))</f>
        <v>0.477984478458115+0.111242287449338i</v>
      </c>
      <c r="AB103" s="44" t="str">
        <f>IMPRODUCT(COMPLEX(0,$D103),V103,F$2,BASE!F$15^2/10000,1/(2*BASE!$U$3))</f>
        <v>0.502792096850835+0.12584746475188i</v>
      </c>
      <c r="AC103" s="44" t="str">
        <f>IMPRODUCT(COMPLEX(0,$D103),W103,G$2,BASE!G$15^2/10000,1/(2*BASE!$U$3))</f>
        <v>0.559715152402539+0.163808124276256i</v>
      </c>
      <c r="AD103" s="44">
        <f t="shared" si="32"/>
        <v>0.22866158049211369</v>
      </c>
      <c r="AE103" s="44">
        <f t="shared" si="33"/>
        <v>0.24525838128641453</v>
      </c>
      <c r="AF103" s="44">
        <f t="shared" si="34"/>
        <v>0.28471242723723433</v>
      </c>
      <c r="AG103" s="31">
        <f t="shared" si="35"/>
        <v>87.796758548643155</v>
      </c>
      <c r="AH103" s="31">
        <f t="shared" si="36"/>
        <v>88.271066087260891</v>
      </c>
      <c r="AI103" s="31">
        <f t="shared" si="37"/>
        <v>89.295647135805197</v>
      </c>
      <c r="AJ103" s="2" t="str">
        <f>IMSUM(R103,IMDIV(BASE!K$21^2,FRES!O103))</f>
        <v>7.35110590529942-0.663209548036565i</v>
      </c>
      <c r="AK103" s="2" t="str">
        <f>IMSUM(S103,IMDIV(BASE!L$21^2,FRES!P103))</f>
        <v>7.36966013231025-0.726376197575555i</v>
      </c>
      <c r="AL103" s="2" t="str">
        <f>IMSUM(T103,IMDIV(BASE!M$21^2,FRES!Q103))</f>
        <v>7.41858144673237-0.876993768733005i</v>
      </c>
      <c r="AM103" s="31">
        <f t="shared" si="50"/>
        <v>0.13681537085318185</v>
      </c>
      <c r="AN103" s="31">
        <f t="shared" si="50"/>
        <v>0.14449415144585206</v>
      </c>
      <c r="AO103" s="31">
        <f t="shared" si="50"/>
        <v>0.16258456798320736</v>
      </c>
      <c r="AP103" s="31">
        <f t="shared" si="38"/>
        <v>0.12845446598238375</v>
      </c>
      <c r="AQ103" s="31">
        <f t="shared" si="39"/>
        <v>0.13566398969507998</v>
      </c>
      <c r="AR103" s="31">
        <f t="shared" si="40"/>
        <v>0.15264888533373228</v>
      </c>
      <c r="AS103" s="2">
        <f t="shared" si="41"/>
        <v>110.7278524166105</v>
      </c>
      <c r="AT103" s="2">
        <f t="shared" si="42"/>
        <v>110.78068167432899</v>
      </c>
      <c r="AU103" s="2">
        <f t="shared" si="43"/>
        <v>110.90626780308995</v>
      </c>
      <c r="AV103" s="2">
        <f t="shared" si="44"/>
        <v>110.7278524166105</v>
      </c>
      <c r="AW103" s="2">
        <f t="shared" si="45"/>
        <v>110.78068167432899</v>
      </c>
      <c r="AX103" s="2">
        <f t="shared" si="46"/>
        <v>110.90626780308995</v>
      </c>
      <c r="AY103">
        <f t="shared" si="47"/>
        <v>7.3809623312637802</v>
      </c>
      <c r="AZ103">
        <f t="shared" si="48"/>
        <v>7.4053705407742738</v>
      </c>
      <c r="BA103">
        <f t="shared" si="49"/>
        <v>7.4702388684832748</v>
      </c>
    </row>
    <row r="104" spans="1:53" x14ac:dyDescent="0.2">
      <c r="A104" s="2">
        <v>100</v>
      </c>
      <c r="B104" s="2"/>
      <c r="C104" s="1">
        <v>246.75373206527055</v>
      </c>
      <c r="D104" s="2">
        <f t="shared" si="30"/>
        <v>1550.3994238042362</v>
      </c>
      <c r="E104" s="2"/>
      <c r="F104" s="2">
        <f>$D104*BASE!E$15/100/E$3</f>
        <v>0.28393942935949673</v>
      </c>
      <c r="G104" s="2">
        <f>$D104*BASE!F$15/100/F$3</f>
        <v>0.28393942935949673</v>
      </c>
      <c r="H104" s="2">
        <f>$D104*BASE!G$15/100/G$3</f>
        <v>0.28393942935949673</v>
      </c>
      <c r="I104" s="2">
        <f>(1-BESSELJ(2*F104,1)/F104)*BASE!K$13*E$2*E$3</f>
        <v>0.2047182246897773</v>
      </c>
      <c r="J104" s="2">
        <f>(1-BESSELJ(2*G104,1)/G104)*BASE!L$13*F$2*F$3</f>
        <v>0.2047182246897773</v>
      </c>
      <c r="K104" s="2">
        <f>(1-BESSELJ(2*H104,1)/H104)*BASE!M$13*G$2*G$3</f>
        <v>0.2047182246897773</v>
      </c>
      <c r="L104" s="2" t="str">
        <f>IMPRODUCT(COMPLEX(1-BESSELJ(2*F104,1)/F104,(STRUVE(2*F104)/(2*F104^2))),PI()*(BASE!E$15/100)^2*E$2*E$3)</f>
        <v>0.204718224689777+1.21412644837691i</v>
      </c>
      <c r="M104" s="2" t="str">
        <f>IMPRODUCT(COMPLEX(1-BESSELJ(2*G104,1)/G104,(STRUVE(2*G104)/(2*G104^2))),PI()*(BASE!F$15/100)^2*F$2*F$3)</f>
        <v>0.204718224689777+1.21412644837691i</v>
      </c>
      <c r="N104" s="2" t="str">
        <f>IMPRODUCT(COMPLEX(1-BESSELJ(2*H104,1)/H104,(STRUVE(2*H104)/(2*H104^2))),PI()*(BASE!G$15/100)^2*G$2*G$3)</f>
        <v>0.204718224689777+1.21412644837691i</v>
      </c>
      <c r="O104" s="2" t="str">
        <f>IMSUM(IMPRODUCT(IF($O$3=1,L104,COMPLEX(I104,$D104*BASE!K$15)),2),COMPLEX(BASE!E$36,$D104*BASE!K$14-BASE!K$10/$D104))</f>
        <v>1.20943644937955+8.77944736801702i</v>
      </c>
      <c r="P104" s="2" t="str">
        <f>IMSUM(IMPRODUCT(IF($O$3=1,M104,COMPLEX(J104,$D104*BASE!L$15)),2),COMPLEX(BASE!F$36,$D104*BASE!L$14-BASE!L$10/$D104))</f>
        <v>1.20943644937955+8.30537598440123i</v>
      </c>
      <c r="Q104" s="2" t="str">
        <f>IMSUM(IMPRODUCT(IF($O$3=1,N104,COMPLEX(K104,$D104*BASE!M$15)),2),COMPLEX(BASE!G$36,$D104*BASE!M$14-BASE!M$10/$D104))</f>
        <v>1.20943644937955+7.35723321716965i</v>
      </c>
      <c r="R104" s="2" t="str">
        <f>COMPLEX(BASE!E$19,FRES!$D104*BASE!K$36)</f>
        <v>7.2+0.431636842740102i</v>
      </c>
      <c r="S104" s="2" t="str">
        <f>COMPLEX(BASE!F$19,FRES!$D104*BASE!L$36)</f>
        <v>7.2+0.431636842740102i</v>
      </c>
      <c r="T104" s="2" t="str">
        <f>COMPLEX(BASE!G$19,FRES!$D104*BASE!M$36)</f>
        <v>7.2+0.431636842740102i</v>
      </c>
      <c r="U104" s="2" t="str">
        <f>IMDIV(BASE!K$21*BASE!E$38,IMPRODUCT(FRES!R104,IMSUM(FRES!O104,IMDIV(BASE!K$21^2,FRES!R104))))</f>
        <v>0.0290588323383046-0.129496767582938i</v>
      </c>
      <c r="V104" s="2" t="str">
        <f>IMDIV(BASE!L$21*BASE!F$38,IMPRODUCT(FRES!S104,IMSUM(FRES!P104,IMDIV(BASE!L$21^2,FRES!S104))))</f>
        <v>0.0326720066642081-0.135856978409427i</v>
      </c>
      <c r="W104" s="2" t="str">
        <f>IMDIV(BASE!M$21*BASE!G$38,IMPRODUCT(FRES!T104,IMSUM(FRES!Q104,IMDIV(BASE!M$21^2,FRES!T104))))</f>
        <v>0.0419258024360023-0.150364129410705i</v>
      </c>
      <c r="X104" s="2" t="str">
        <f t="shared" si="52"/>
        <v>-0.0000835247779344433-0.0000187428038814685i</v>
      </c>
      <c r="Y104" s="2" t="str">
        <f t="shared" si="51"/>
        <v>-0.0000876270826236974-0.000021073283543953i</v>
      </c>
      <c r="Z104" s="2" t="str">
        <f t="shared" si="51"/>
        <v>-0.0000969841236407029-0.0000270419362857658i</v>
      </c>
      <c r="AA104" s="44" t="str">
        <f>IMPRODUCT(COMPLEX(0,$D104),U104,E$2,BASE!E$15^2/10000,1/(2*BASE!$U$3))</f>
        <v>0.478117759350718+0.10728873057036i</v>
      </c>
      <c r="AB104" s="44" t="str">
        <f>IMPRODUCT(COMPLEX(0,$D104),V104,F$2,BASE!F$15^2/10000,1/(2*BASE!$U$3))</f>
        <v>0.501600428502375+0.120629008054415i</v>
      </c>
      <c r="AC104" s="44" t="str">
        <f>IMPRODUCT(COMPLEX(0,$D104),W104,G$2,BASE!G$15^2/10000,1/(2*BASE!$U$3))</f>
        <v>0.555162588089495+0.154795143491469i</v>
      </c>
      <c r="AD104" s="44">
        <f t="shared" si="32"/>
        <v>0.22074149893952005</v>
      </c>
      <c r="AE104" s="44">
        <f t="shared" si="33"/>
        <v>0.23600658576208144</v>
      </c>
      <c r="AF104" s="44">
        <f t="shared" si="34"/>
        <v>0.27192202767124452</v>
      </c>
      <c r="AG104" s="31">
        <f t="shared" si="35"/>
        <v>87.783456685730727</v>
      </c>
      <c r="AH104" s="31">
        <f t="shared" si="36"/>
        <v>88.230735731563186</v>
      </c>
      <c r="AI104" s="31">
        <f t="shared" si="37"/>
        <v>89.192965394360954</v>
      </c>
      <c r="AJ104" s="2" t="str">
        <f>IMSUM(R104,IMDIV(BASE!K$21^2,FRES!O104))</f>
        <v>7.34449212711259-0.617249211362718i</v>
      </c>
      <c r="AK104" s="2" t="str">
        <f>IMSUM(S104,IMDIV(BASE!L$21^2,FRES!P104))</f>
        <v>7.36110583990294-0.674700389251818i</v>
      </c>
      <c r="AL104" s="2" t="str">
        <f>IMSUM(T104,IMDIV(BASE!M$21^2,FRES!Q104))</f>
        <v>7.40414262525867-0.810201787444868i</v>
      </c>
      <c r="AM104" s="31">
        <f t="shared" si="50"/>
        <v>0.13271709969440695</v>
      </c>
      <c r="AN104" s="31">
        <f t="shared" si="50"/>
        <v>0.13973037823610718</v>
      </c>
      <c r="AO104" s="31">
        <f t="shared" si="50"/>
        <v>0.15609978963259988</v>
      </c>
      <c r="AP104" s="31">
        <f t="shared" si="38"/>
        <v>0.12105933443016492</v>
      </c>
      <c r="AQ104" s="31">
        <f t="shared" si="39"/>
        <v>0.12745657212136322</v>
      </c>
      <c r="AR104" s="31">
        <f t="shared" si="40"/>
        <v>0.14238810734354582</v>
      </c>
      <c r="AS104" s="2">
        <f t="shared" si="41"/>
        <v>110.70264201403478</v>
      </c>
      <c r="AT104" s="2">
        <f t="shared" si="42"/>
        <v>110.75123229452554</v>
      </c>
      <c r="AU104" s="2">
        <f t="shared" si="43"/>
        <v>110.86555469678899</v>
      </c>
      <c r="AV104" s="2">
        <f t="shared" si="44"/>
        <v>110.70264201403478</v>
      </c>
      <c r="AW104" s="2">
        <f t="shared" si="45"/>
        <v>110.75123229452554</v>
      </c>
      <c r="AX104" s="2">
        <f t="shared" si="46"/>
        <v>110.86555469678899</v>
      </c>
      <c r="AY104">
        <f t="shared" si="47"/>
        <v>7.3703840601522739</v>
      </c>
      <c r="AZ104">
        <f t="shared" si="48"/>
        <v>7.3919618371248186</v>
      </c>
      <c r="BA104">
        <f t="shared" si="49"/>
        <v>7.4483390733472401</v>
      </c>
    </row>
    <row r="105" spans="1:53" x14ac:dyDescent="0.2">
      <c r="A105" s="2">
        <v>101</v>
      </c>
      <c r="B105" s="2"/>
      <c r="C105" s="1">
        <v>253.98416831491187</v>
      </c>
      <c r="D105" s="2">
        <f t="shared" si="30"/>
        <v>1595.8295946124813</v>
      </c>
      <c r="E105" s="2"/>
      <c r="F105" s="2">
        <f>$D105*BASE!E$15/100/E$3</f>
        <v>0.29225948971100674</v>
      </c>
      <c r="G105" s="2">
        <f>$D105*BASE!F$15/100/F$3</f>
        <v>0.29225948971100674</v>
      </c>
      <c r="H105" s="2">
        <f>$D105*BASE!G$15/100/G$3</f>
        <v>0.29225948971100674</v>
      </c>
      <c r="I105" s="2">
        <f>(1-BESSELJ(2*F105,1)/F105)*BASE!K$13*E$2*E$3</f>
        <v>0.21671817813067981</v>
      </c>
      <c r="J105" s="2">
        <f>(1-BESSELJ(2*G105,1)/G105)*BASE!L$13*F$2*F$3</f>
        <v>0.21671817813067981</v>
      </c>
      <c r="K105" s="2">
        <f>(1-BESSELJ(2*H105,1)/H105)*BASE!M$13*G$2*G$3</f>
        <v>0.21671817813067981</v>
      </c>
      <c r="L105" s="2" t="str">
        <f>IMPRODUCT(COMPLEX(1-BESSELJ(2*F105,1)/F105,(STRUVE(2*F105)/(2*F105^2))),PI()*(BASE!E$15/100)^2*E$2*E$3)</f>
        <v>0.21671817813068+1.24810140383481i</v>
      </c>
      <c r="M105" s="2" t="str">
        <f>IMPRODUCT(COMPLEX(1-BESSELJ(2*G105,1)/G105,(STRUVE(2*G105)/(2*G105^2))),PI()*(BASE!F$15/100)^2*F$2*F$3)</f>
        <v>0.21671817813068+1.24810140383481i</v>
      </c>
      <c r="N105" s="2" t="str">
        <f>IMPRODUCT(COMPLEX(1-BESSELJ(2*H105,1)/H105,(STRUVE(2*H105)/(2*H105^2))),PI()*(BASE!G$15/100)^2*G$2*G$3)</f>
        <v>0.21671817813068+1.24810140383481i</v>
      </c>
      <c r="O105" s="2" t="str">
        <f>IMSUM(IMPRODUCT(IF($O$3=1,L105,COMPLEX(I105,$D105*BASE!K$15)),2),COMPLEX(BASE!E$36,$D105*BASE!K$14-BASE!K$10/$D105))</f>
        <v>1.23343635626136+9.06407360378872i</v>
      </c>
      <c r="P105" s="2" t="str">
        <f>IMSUM(IMPRODUCT(IF($O$3=1,M105,COMPLEX(J105,$D105*BASE!L$15)),2),COMPLEX(BASE!F$36,$D105*BASE!L$14-BASE!L$10/$D105))</f>
        <v>1.23343635626136+8.60349811221909i</v>
      </c>
      <c r="Q105" s="2" t="str">
        <f>IMSUM(IMPRODUCT(IF($O$3=1,N105,COMPLEX(K105,$D105*BASE!M$15)),2),COMPLEX(BASE!G$36,$D105*BASE!M$14-BASE!M$10/$D105))</f>
        <v>1.23343635626136+7.68234712907984i</v>
      </c>
      <c r="R105" s="2" t="str">
        <f>COMPLEX(BASE!E$19,FRES!$D105*BASE!K$36)</f>
        <v>7.2+0.444284767650122i</v>
      </c>
      <c r="S105" s="2" t="str">
        <f>COMPLEX(BASE!F$19,FRES!$D105*BASE!L$36)</f>
        <v>7.2+0.444284767650122i</v>
      </c>
      <c r="T105" s="2" t="str">
        <f>COMPLEX(BASE!G$19,FRES!$D105*BASE!M$36)</f>
        <v>7.2+0.444284767650122i</v>
      </c>
      <c r="U105" s="2" t="str">
        <f>IMDIV(BASE!K$21*BASE!E$38,IMPRODUCT(FRES!R105,IMSUM(FRES!O105,IMDIV(BASE!K$21^2,FRES!R105))))</f>
        <v>0.027223784575894-0.125838703055338i</v>
      </c>
      <c r="V105" s="2" t="str">
        <f>IMDIV(BASE!L$21*BASE!F$38,IMPRODUCT(FRES!S105,IMSUM(FRES!P105,IMDIV(BASE!L$21^2,FRES!S105))))</f>
        <v>0.0304316481549774-0.13168576287653i</v>
      </c>
      <c r="W105" s="2" t="str">
        <f>IMDIV(BASE!M$21*BASE!G$38,IMPRODUCT(FRES!T105,IMSUM(FRES!Q105,IMDIV(BASE!M$21^2,FRES!T105))))</f>
        <v>0.0385341978874991-0.144943564425731i</v>
      </c>
      <c r="X105" s="2" t="str">
        <f t="shared" si="52"/>
        <v>-0.0000788547245145531-0.0000170593305624871i</v>
      </c>
      <c r="Y105" s="2" t="str">
        <f t="shared" si="51"/>
        <v>-0.0000825186870334408-0.0000190694847731328i</v>
      </c>
      <c r="Z105" s="2" t="str">
        <f t="shared" si="51"/>
        <v>-0.0000908264672588229-0.0000241468124275866i</v>
      </c>
      <c r="AA105" s="44" t="str">
        <f>IMPRODUCT(COMPLEX(0,$D105),U105,E$2,BASE!E$15^2/10000,1/(2*BASE!$U$3))</f>
        <v>0.478225905007474+0.103458782556033i</v>
      </c>
      <c r="AB105" s="44" t="str">
        <f>IMPRODUCT(COMPLEX(0,$D105),V105,F$2,BASE!F$15^2/10000,1/(2*BASE!$U$3))</f>
        <v>0.500446536710844+0.115649654092376i</v>
      </c>
      <c r="AC105" s="44" t="str">
        <f>IMPRODUCT(COMPLEX(0,$D105),W105,G$2,BASE!G$15^2/10000,1/(2*BASE!$U$3))</f>
        <v>0.550830273910424+0.14644184349534i</v>
      </c>
      <c r="AD105" s="44">
        <f t="shared" si="32"/>
        <v>0.21305538397845197</v>
      </c>
      <c r="AE105" s="44">
        <f t="shared" si="33"/>
        <v>0.22710615414143123</v>
      </c>
      <c r="AF105" s="44">
        <f t="shared" si="34"/>
        <v>0.25984591860209344</v>
      </c>
      <c r="AG105" s="31">
        <f t="shared" si="35"/>
        <v>87.770709319840918</v>
      </c>
      <c r="AH105" s="31">
        <f t="shared" si="36"/>
        <v>88.192503233190095</v>
      </c>
      <c r="AI105" s="31">
        <f t="shared" si="37"/>
        <v>89.096351847420635</v>
      </c>
      <c r="AJ105" s="2" t="str">
        <f>IMSUM(R105,IMDIV(BASE!K$21^2,FRES!O105))</f>
        <v>7.33831245025846-0.572122948158568i</v>
      </c>
      <c r="AK105" s="2" t="str">
        <f>IMSUM(S105,IMDIV(BASE!L$21^2,FRES!P105))</f>
        <v>7.35321131231786-0.624398857253498i</v>
      </c>
      <c r="AL105" s="2" t="str">
        <f>IMSUM(T105,IMDIV(BASE!M$21^2,FRES!Q105))</f>
        <v>7.39117695985727-0.746443688869038i</v>
      </c>
      <c r="AM105" s="31">
        <f t="shared" si="50"/>
        <v>0.12874981022620663</v>
      </c>
      <c r="AN105" s="31">
        <f t="shared" si="50"/>
        <v>0.13515629971925847</v>
      </c>
      <c r="AO105" s="31">
        <f t="shared" si="50"/>
        <v>0.14997840269608478</v>
      </c>
      <c r="AP105" s="31">
        <f t="shared" si="38"/>
        <v>0.11409722465955312</v>
      </c>
      <c r="AQ105" s="31">
        <f t="shared" si="39"/>
        <v>0.11977461299654192</v>
      </c>
      <c r="AR105" s="31">
        <f t="shared" si="40"/>
        <v>0.13290986197518287</v>
      </c>
      <c r="AS105" s="2">
        <f t="shared" si="41"/>
        <v>110.67817635025025</v>
      </c>
      <c r="AT105" s="2">
        <f t="shared" si="42"/>
        <v>110.72290134076397</v>
      </c>
      <c r="AU105" s="2">
        <f t="shared" si="43"/>
        <v>110.82711524775554</v>
      </c>
      <c r="AV105" s="2">
        <f t="shared" si="44"/>
        <v>110.67817635025025</v>
      </c>
      <c r="AW105" s="2">
        <f t="shared" si="45"/>
        <v>110.72290134076397</v>
      </c>
      <c r="AX105" s="2">
        <f t="shared" si="46"/>
        <v>110.82711524775554</v>
      </c>
      <c r="AY105">
        <f t="shared" si="47"/>
        <v>7.3605811105800578</v>
      </c>
      <c r="AZ105">
        <f t="shared" si="48"/>
        <v>7.3796741483983448</v>
      </c>
      <c r="BA105">
        <f t="shared" si="49"/>
        <v>7.4287734541159196</v>
      </c>
    </row>
    <row r="106" spans="1:53" x14ac:dyDescent="0.2">
      <c r="A106" s="2">
        <v>102</v>
      </c>
      <c r="B106" s="2"/>
      <c r="C106" s="1">
        <v>261.42647251857591</v>
      </c>
      <c r="D106" s="2">
        <f t="shared" si="30"/>
        <v>1642.590971036504</v>
      </c>
      <c r="E106" s="2"/>
      <c r="F106" s="2">
        <f>$D106*BASE!E$15/100/E$3</f>
        <v>0.30082334643982483</v>
      </c>
      <c r="G106" s="2">
        <f>$D106*BASE!F$15/100/F$3</f>
        <v>0.30082334643982483</v>
      </c>
      <c r="H106" s="2">
        <f>$D106*BASE!G$15/100/G$3</f>
        <v>0.30082334643982483</v>
      </c>
      <c r="I106" s="2">
        <f>(1-BESSELJ(2*F106,1)/F106)*BASE!K$13*E$2*E$3</f>
        <v>0.22941063249736571</v>
      </c>
      <c r="J106" s="2">
        <f>(1-BESSELJ(2*G106,1)/G106)*BASE!L$13*F$2*F$3</f>
        <v>0.22941063249736571</v>
      </c>
      <c r="K106" s="2">
        <f>(1-BESSELJ(2*H106,1)/H106)*BASE!M$13*G$2*G$3</f>
        <v>0.22941063249736571</v>
      </c>
      <c r="L106" s="2" t="str">
        <f>IMPRODUCT(COMPLEX(1-BESSELJ(2*F106,1)/F106,(STRUVE(2*F106)/(2*F106^2))),PI()*(BASE!E$15/100)^2*E$2*E$3)</f>
        <v>0.229410632497366+1.28292891454239i</v>
      </c>
      <c r="M106" s="2" t="str">
        <f>IMPRODUCT(COMPLEX(1-BESSELJ(2*G106,1)/G106,(STRUVE(2*G106)/(2*G106^2))),PI()*(BASE!F$15/100)^2*F$2*F$3)</f>
        <v>0.229410632497366+1.28292891454239i</v>
      </c>
      <c r="N106" s="2" t="str">
        <f>IMPRODUCT(COMPLEX(1-BESSELJ(2*H106,1)/H106,(STRUVE(2*H106)/(2*H106^2))),PI()*(BASE!G$15/100)^2*G$2*G$3)</f>
        <v>0.229410632497366+1.28292891454239i</v>
      </c>
      <c r="O106" s="2" t="str">
        <f>IMSUM(IMPRODUCT(IF($O$3=1,L106,COMPLEX(I106,$D106*BASE!K$15)),2),COMPLEX(BASE!E$36,$D106*BASE!K$14-BASE!K$10/$D106))</f>
        <v>1.25882126499473+9.35626088851198i</v>
      </c>
      <c r="P106" s="2" t="str">
        <f>IMSUM(IMPRODUCT(IF($O$3=1,M106,COMPLEX(J106,$D106*BASE!L$15)),2),COMPLEX(BASE!F$36,$D106*BASE!L$14-BASE!L$10/$D106))</f>
        <v>1.25882126499473+8.90879708713957i</v>
      </c>
      <c r="Q106" s="2" t="str">
        <f>IMSUM(IMPRODUCT(IF($O$3=1,N106,COMPLEX(K106,$D106*BASE!M$15)),2),COMPLEX(BASE!G$36,$D106*BASE!M$14-BASE!M$10/$D106))</f>
        <v>1.25882126499473+8.01386948439474i</v>
      </c>
      <c r="R106" s="2" t="str">
        <f>COMPLEX(BASE!E$19,FRES!$D106*BASE!K$36)</f>
        <v>7.2+0.457303305048905i</v>
      </c>
      <c r="S106" s="2" t="str">
        <f>COMPLEX(BASE!F$19,FRES!$D106*BASE!L$36)</f>
        <v>7.2+0.457303305048905i</v>
      </c>
      <c r="T106" s="2" t="str">
        <f>COMPLEX(BASE!G$19,FRES!$D106*BASE!M$36)</f>
        <v>7.2+0.457303305048905i</v>
      </c>
      <c r="U106" s="2" t="str">
        <f>IMDIV(BASE!K$21*BASE!E$38,IMPRODUCT(FRES!R106,IMSUM(FRES!O106,IMDIV(BASE!K$21^2,FRES!R106))))</f>
        <v>0.0254996795362868-0.122278062147339i</v>
      </c>
      <c r="V106" s="2" t="str">
        <f>IMDIV(BASE!L$21*BASE!F$38,IMPRODUCT(FRES!S106,IMSUM(FRES!P106,IMDIV(BASE!L$21^2,FRES!S106))))</f>
        <v>0.0283490637584798-0.127651696625132i</v>
      </c>
      <c r="W106" s="2" t="str">
        <f>IMDIV(BASE!M$21*BASE!G$38,IMPRODUCT(FRES!T106,IMSUM(FRES!Q106,IMDIV(BASE!M$21^2,FRES!T106))))</f>
        <v>0.0354527264797436-0.139765045069989i</v>
      </c>
      <c r="X106" s="2" t="str">
        <f t="shared" si="52"/>
        <v>-0.0000744421857318378-0.0000155240592368507i</v>
      </c>
      <c r="Y106" s="2" t="str">
        <f t="shared" si="51"/>
        <v>-0.0000777136237054693-0.0000172587480744467i</v>
      </c>
      <c r="Z106" s="2" t="str">
        <f t="shared" si="51"/>
        <v>-0.0000850881610421827-0.0000215834173600579i</v>
      </c>
      <c r="AA106" s="44" t="str">
        <f>IMPRODUCT(COMPLEX(0,$D106),U106,E$2,BASE!E$15^2/10000,1/(2*BASE!$U$3))</f>
        <v>0.478310955174135+0.0997462329828157i</v>
      </c>
      <c r="AB106" s="44" t="str">
        <f>IMPRODUCT(COMPLEX(0,$D106),V106,F$2,BASE!F$15^2/10000,1/(2*BASE!$U$3))</f>
        <v>0.499330819201198+0.110892072760134i</v>
      </c>
      <c r="AC106" s="44" t="str">
        <f>IMPRODUCT(COMPLEX(0,$D106),W106,G$2,BASE!G$15^2/10000,1/(2*BASE!$U$3))</f>
        <v>0.546714194135904+0.138679229685703i</v>
      </c>
      <c r="AD106" s="44">
        <f t="shared" si="32"/>
        <v>0.20559198106906487</v>
      </c>
      <c r="AE106" s="44">
        <f t="shared" si="33"/>
        <v>0.21853471865423887</v>
      </c>
      <c r="AF106" s="44">
        <f t="shared" si="34"/>
        <v>0.2484198882878349</v>
      </c>
      <c r="AG106" s="31">
        <f t="shared" si="35"/>
        <v>87.758482452766003</v>
      </c>
      <c r="AH106" s="31">
        <f t="shared" si="36"/>
        <v>88.156247591621479</v>
      </c>
      <c r="AI106" s="31">
        <f t="shared" si="37"/>
        <v>89.005423663778885</v>
      </c>
      <c r="AJ106" s="2" t="str">
        <f>IMSUM(R106,IMDIV(BASE!K$21^2,FRES!O106))</f>
        <v>7.33253425420241-0.527765102567584i</v>
      </c>
      <c r="AK106" s="2" t="str">
        <f>IMSUM(S106,IMDIV(BASE!L$21^2,FRES!P106))</f>
        <v>7.34591509158095-0.575351591237345i</v>
      </c>
      <c r="AL106" s="2" t="str">
        <f>IMSUM(T106,IMDIV(BASE!M$21^2,FRES!Q106))</f>
        <v>7.3794955459909-0.685395756844735i</v>
      </c>
      <c r="AM106" s="31">
        <f t="shared" si="50"/>
        <v>0.12490859913937799</v>
      </c>
      <c r="AN106" s="31">
        <f t="shared" si="50"/>
        <v>0.1307617110138021</v>
      </c>
      <c r="AO106" s="31">
        <f t="shared" si="50"/>
        <v>0.14419141319185261</v>
      </c>
      <c r="AP106" s="31">
        <f t="shared" si="38"/>
        <v>0.10754194931953472</v>
      </c>
      <c r="AQ106" s="31">
        <f t="shared" si="39"/>
        <v>0.11258127459335764</v>
      </c>
      <c r="AR106" s="31">
        <f t="shared" si="40"/>
        <v>0.12414377998497443</v>
      </c>
      <c r="AS106" s="2">
        <f t="shared" si="41"/>
        <v>110.65441960094394</v>
      </c>
      <c r="AT106" s="2">
        <f t="shared" si="42"/>
        <v>110.69561761422038</v>
      </c>
      <c r="AU106" s="2">
        <f t="shared" si="43"/>
        <v>110.7907450636669</v>
      </c>
      <c r="AV106" s="2">
        <f t="shared" si="44"/>
        <v>110.65441960094394</v>
      </c>
      <c r="AW106" s="2">
        <f t="shared" si="45"/>
        <v>110.69561761422038</v>
      </c>
      <c r="AX106" s="2">
        <f t="shared" si="46"/>
        <v>110.7907450636669</v>
      </c>
      <c r="AY106">
        <f t="shared" si="47"/>
        <v>7.3515028798566</v>
      </c>
      <c r="AZ106">
        <f t="shared" si="48"/>
        <v>7.3684121753778191</v>
      </c>
      <c r="BA106">
        <f t="shared" si="49"/>
        <v>7.4112564290274214</v>
      </c>
    </row>
    <row r="107" spans="1:53" x14ac:dyDescent="0.2">
      <c r="A107" s="2">
        <v>103</v>
      </c>
      <c r="B107" s="2"/>
      <c r="C107" s="1">
        <v>269.08685288118863</v>
      </c>
      <c r="D107" s="2">
        <f t="shared" si="30"/>
        <v>1690.7225603782792</v>
      </c>
      <c r="E107" s="2"/>
      <c r="F107" s="2">
        <f>$D107*BASE!E$15/100/E$3</f>
        <v>0.30963814332509182</v>
      </c>
      <c r="G107" s="2">
        <f>$D107*BASE!F$15/100/F$3</f>
        <v>0.30963814332509182</v>
      </c>
      <c r="H107" s="2">
        <f>$D107*BASE!G$15/100/G$3</f>
        <v>0.30963814332509182</v>
      </c>
      <c r="I107" s="2">
        <f>(1-BESSELJ(2*F107,1)/F107)*BASE!K$13*E$2*E$3</f>
        <v>0.24283421794446619</v>
      </c>
      <c r="J107" s="2">
        <f>(1-BESSELJ(2*G107,1)/G107)*BASE!L$13*F$2*F$3</f>
        <v>0.24283421794446619</v>
      </c>
      <c r="K107" s="2">
        <f>(1-BESSELJ(2*H107,1)/H107)*BASE!M$13*G$2*G$3</f>
        <v>0.24283421794446619</v>
      </c>
      <c r="L107" s="2" t="str">
        <f>IMPRODUCT(COMPLEX(1-BESSELJ(2*F107,1)/F107,(STRUVE(2*F107)/(2*F107^2))),PI()*(BASE!E$15/100)^2*E$2*E$3)</f>
        <v>0.242834217944466+1.31862132563441i</v>
      </c>
      <c r="M107" s="2" t="str">
        <f>IMPRODUCT(COMPLEX(1-BESSELJ(2*G107,1)/G107,(STRUVE(2*G107)/(2*G107^2))),PI()*(BASE!F$15/100)^2*F$2*F$3)</f>
        <v>0.242834217944466+1.31862132563441i</v>
      </c>
      <c r="N107" s="2" t="str">
        <f>IMPRODUCT(COMPLEX(1-BESSELJ(2*H107,1)/H107,(STRUVE(2*H107)/(2*H107^2))),PI()*(BASE!G$15/100)^2*G$2*G$3)</f>
        <v>0.242834217944466+1.31862132563441i</v>
      </c>
      <c r="O107" s="2" t="str">
        <f>IMSUM(IMPRODUCT(IF($O$3=1,L107,COMPLEX(I107,$D107*BASE!K$15)),2),COMPLEX(BASE!E$36,$D107*BASE!K$14-BASE!K$10/$D107))</f>
        <v>1.28566843588893+9.65625295833228i</v>
      </c>
      <c r="P107" s="2" t="str">
        <f>IMSUM(IMPRODUCT(IF($O$3=1,M107,COMPLEX(J107,$D107*BASE!L$15)),2),COMPLEX(BASE!F$36,$D107*BASE!L$14-BASE!L$10/$D107))</f>
        <v>1.28566843588893+9.22152758278896i</v>
      </c>
      <c r="Q107" s="2" t="str">
        <f>IMSUM(IMPRODUCT(IF($O$3=1,N107,COMPLEX(K107,$D107*BASE!M$15)),2),COMPLEX(BASE!G$36,$D107*BASE!M$14-BASE!M$10/$D107))</f>
        <v>1.28566843588893+8.35207683170234i</v>
      </c>
      <c r="R107" s="2" t="str">
        <f>COMPLEX(BASE!E$19,FRES!$D107*BASE!K$36)</f>
        <v>7.2+0.470703314711299i</v>
      </c>
      <c r="S107" s="2" t="str">
        <f>COMPLEX(BASE!F$19,FRES!$D107*BASE!L$36)</f>
        <v>7.2+0.470703314711299i</v>
      </c>
      <c r="T107" s="2" t="str">
        <f>COMPLEX(BASE!G$19,FRES!$D107*BASE!M$36)</f>
        <v>7.2+0.470703314711299i</v>
      </c>
      <c r="U107" s="2" t="str">
        <f>IMDIV(BASE!K$21*BASE!E$38,IMPRODUCT(FRES!R107,IMSUM(FRES!O107,IMDIV(BASE!K$21^2,FRES!R107))))</f>
        <v>0.0238793679398951-0.11881287020615i</v>
      </c>
      <c r="V107" s="2" t="str">
        <f>IMDIV(BASE!L$21*BASE!F$38,IMPRODUCT(FRES!S107,IMSUM(FRES!P107,IMDIV(BASE!L$21^2,FRES!S107))))</f>
        <v>0.0264115249090831-0.123750048736133i</v>
      </c>
      <c r="W107" s="2" t="str">
        <f>IMDIV(BASE!M$21*BASE!G$38,IMPRODUCT(FRES!T107,IMSUM(FRES!Q107,IMDIV(BASE!M$21^2,FRES!T107))))</f>
        <v>0.0326471302383128-0.134816099941201i</v>
      </c>
      <c r="X107" s="2" t="str">
        <f t="shared" si="52"/>
        <v>-0.0000702734280540782-0.0000141237648917114i</v>
      </c>
      <c r="Y107" s="2" t="str">
        <f t="shared" si="51"/>
        <v>-0.0000731935869528146-0.0000156214422922078i</v>
      </c>
      <c r="Z107" s="2" t="str">
        <f t="shared" si="51"/>
        <v>-0.0000797387478588074-0.0000193095727255265i</v>
      </c>
      <c r="AA107" s="44" t="str">
        <f>IMPRODUCT(COMPLEX(0,$D107),U107,E$2,BASE!E$15^2/10000,1/(2*BASE!$U$3))</f>
        <v>0.478374679727754+0.0961451816670046i</v>
      </c>
      <c r="AB107" s="44" t="str">
        <f>IMPRODUCT(COMPLEX(0,$D107),V107,F$2,BASE!F$15^2/10000,1/(2*BASE!$U$3))</f>
        <v>0.498253176004643+0.106340371607741i</v>
      </c>
      <c r="AC107" s="44" t="str">
        <f>IMPRODUCT(COMPLEX(0,$D107),W107,G$2,BASE!G$15^2/10000,1/(2*BASE!$U$3))</f>
        <v>0.542808270851609+0.131446706444221i</v>
      </c>
      <c r="AD107" s="44">
        <f t="shared" si="32"/>
        <v>0.19834058008644509</v>
      </c>
      <c r="AE107" s="44">
        <f t="shared" si="33"/>
        <v>0.21027158118125036</v>
      </c>
      <c r="AF107" s="44">
        <f t="shared" si="34"/>
        <v>0.2375867820968123</v>
      </c>
      <c r="AG107" s="31">
        <f t="shared" si="35"/>
        <v>87.746742871621308</v>
      </c>
      <c r="AH107" s="31">
        <f t="shared" si="36"/>
        <v>88.121853068712923</v>
      </c>
      <c r="AI107" s="31">
        <f t="shared" si="37"/>
        <v>88.91981915853215</v>
      </c>
      <c r="AJ107" s="2" t="str">
        <f>IMSUM(R107,IMDIV(BASE!K$21^2,FRES!O107))</f>
        <v>7.32712772414571-0.484113205707713i</v>
      </c>
      <c r="AK107" s="2" t="str">
        <f>IMSUM(S107,IMDIV(BASE!L$21^2,FRES!P107))</f>
        <v>7.33916254491769-0.527447694232352i</v>
      </c>
      <c r="AL107" s="2" t="str">
        <f>IMSUM(T107,IMDIV(BASE!M$21^2,FRES!Q107))</f>
        <v>7.36893868282563-0.626771601386101i</v>
      </c>
      <c r="AM107" s="31">
        <f t="shared" si="50"/>
        <v>0.12118878801206132</v>
      </c>
      <c r="AN107" s="31">
        <f t="shared" si="50"/>
        <v>0.12653712186634564</v>
      </c>
      <c r="AO107" s="31">
        <f t="shared" si="50"/>
        <v>0.13871271000219573</v>
      </c>
      <c r="AP107" s="31">
        <f t="shared" si="38"/>
        <v>0.1013689836704309</v>
      </c>
      <c r="AQ107" s="31">
        <f t="shared" si="39"/>
        <v>0.10584262497035882</v>
      </c>
      <c r="AR107" s="31">
        <f t="shared" si="40"/>
        <v>0.11602695815139563</v>
      </c>
      <c r="AS107" s="2">
        <f t="shared" si="41"/>
        <v>110.63133767472944</v>
      </c>
      <c r="AT107" s="2">
        <f t="shared" si="42"/>
        <v>110.6693152307349</v>
      </c>
      <c r="AU107" s="2">
        <f t="shared" si="43"/>
        <v>110.7562622156801</v>
      </c>
      <c r="AV107" s="2">
        <f t="shared" si="44"/>
        <v>110.63133767472944</v>
      </c>
      <c r="AW107" s="2">
        <f t="shared" si="45"/>
        <v>110.6693152307349</v>
      </c>
      <c r="AX107" s="2">
        <f t="shared" si="46"/>
        <v>110.7562622156801</v>
      </c>
      <c r="AY107">
        <f t="shared" si="47"/>
        <v>7.3431033141230744</v>
      </c>
      <c r="AZ107">
        <f t="shared" si="48"/>
        <v>7.3580913239014452</v>
      </c>
      <c r="BA107">
        <f t="shared" si="49"/>
        <v>7.3955459535823334</v>
      </c>
    </row>
    <row r="108" spans="1:53" x14ac:dyDescent="0.2">
      <c r="A108" s="2">
        <v>104</v>
      </c>
      <c r="B108" s="2"/>
      <c r="C108" s="1">
        <v>276.97169952196577</v>
      </c>
      <c r="D108" s="2">
        <f t="shared" si="30"/>
        <v>1740.2645129409746</v>
      </c>
      <c r="E108" s="2"/>
      <c r="F108" s="2">
        <f>$D108*BASE!E$15/100/E$3</f>
        <v>0.31871123347465519</v>
      </c>
      <c r="G108" s="2">
        <f>$D108*BASE!F$15/100/F$3</f>
        <v>0.31871123347465519</v>
      </c>
      <c r="H108" s="2">
        <f>$D108*BASE!G$15/100/G$3</f>
        <v>0.31871123347465519</v>
      </c>
      <c r="I108" s="2">
        <f>(1-BESSELJ(2*F108,1)/F108)*BASE!K$13*E$2*E$3</f>
        <v>0.25702955531808752</v>
      </c>
      <c r="J108" s="2">
        <f>(1-BESSELJ(2*G108,1)/G108)*BASE!L$13*F$2*F$3</f>
        <v>0.25702955531808752</v>
      </c>
      <c r="K108" s="2">
        <f>(1-BESSELJ(2*H108,1)/H108)*BASE!M$13*G$2*G$3</f>
        <v>0.25702955531808752</v>
      </c>
      <c r="L108" s="2" t="str">
        <f>IMPRODUCT(COMPLEX(1-BESSELJ(2*F108,1)/F108,(STRUVE(2*F108)/(2*F108^2))),PI()*(BASE!E$15/100)^2*E$2*E$3)</f>
        <v>0.257029555318088+1.35519024712656i</v>
      </c>
      <c r="M108" s="2" t="str">
        <f>IMPRODUCT(COMPLEX(1-BESSELJ(2*G108,1)/G108,(STRUVE(2*G108)/(2*G108^2))),PI()*(BASE!F$15/100)^2*F$2*F$3)</f>
        <v>0.257029555318088+1.35519024712656i</v>
      </c>
      <c r="N108" s="2" t="str">
        <f>IMPRODUCT(COMPLEX(1-BESSELJ(2*H108,1)/H108,(STRUVE(2*H108)/(2*H108^2))),PI()*(BASE!G$15/100)^2*G$2*G$3)</f>
        <v>0.257029555318088+1.35519024712656i</v>
      </c>
      <c r="O108" s="2" t="str">
        <f>IMSUM(IMPRODUCT(IF($O$3=1,L108,COMPLEX(I108,$D108*BASE!K$15)),2),COMPLEX(BASE!E$36,$D108*BASE!K$14-BASE!K$10/$D108))</f>
        <v>1.31405911063618+9.9643000599736i</v>
      </c>
      <c r="P108" s="2" t="str">
        <f>IMSUM(IMPRODUCT(IF($O$3=1,M108,COMPLEX(J108,$D108*BASE!L$15)),2),COMPLEX(BASE!F$36,$D108*BASE!L$14-BASE!L$10/$D108))</f>
        <v>1.31405911063618+9.54195047200328i</v>
      </c>
      <c r="Q108" s="2" t="str">
        <f>IMSUM(IMPRODUCT(IF($O$3=1,N108,COMPLEX(K108,$D108*BASE!M$15)),2),COMPLEX(BASE!G$36,$D108*BASE!M$14-BASE!M$10/$D108))</f>
        <v>1.31405911063618+8.69725129606262i</v>
      </c>
      <c r="R108" s="2" t="str">
        <f>COMPLEX(BASE!E$19,FRES!$D108*BASE!K$36)</f>
        <v>7.2+0.484495974627845i</v>
      </c>
      <c r="S108" s="2" t="str">
        <f>COMPLEX(BASE!F$19,FRES!$D108*BASE!L$36)</f>
        <v>7.2+0.484495974627845i</v>
      </c>
      <c r="T108" s="2" t="str">
        <f>COMPLEX(BASE!G$19,FRES!$D108*BASE!M$36)</f>
        <v>7.2+0.484495974627845i</v>
      </c>
      <c r="U108" s="2" t="str">
        <f>IMDIV(BASE!K$21*BASE!E$38,IMPRODUCT(FRES!R108,IMSUM(FRES!O108,IMDIV(BASE!K$21^2,FRES!R108))))</f>
        <v>0.0223561949870039-0.115441098163704i</v>
      </c>
      <c r="V108" s="2" t="str">
        <f>IMDIV(BASE!L$21*BASE!F$38,IMPRODUCT(FRES!S108,IMSUM(FRES!P108,IMDIV(BASE!L$21^2,FRES!S108))))</f>
        <v>0.0246074833887946-0.119976159309768i</v>
      </c>
      <c r="W108" s="2" t="str">
        <f>IMDIV(BASE!M$21*BASE!G$38,IMPRODUCT(FRES!T108,IMSUM(FRES!Q108,IMDIV(BASE!M$21^2,FRES!T108))))</f>
        <v>0.0300875793379031-0.130084564211125i</v>
      </c>
      <c r="X108" s="2" t="str">
        <f t="shared" si="52"/>
        <v>-0.0000663353744820169-0.0000128464350222386i</v>
      </c>
      <c r="Y108" s="2" t="str">
        <f t="shared" si="51"/>
        <v>-0.0000689413353071331-0.0000141400822724409i</v>
      </c>
      <c r="Z108" s="2" t="str">
        <f t="shared" si="51"/>
        <v>-0.0000747498804025417-0.0000172890839950856i</v>
      </c>
      <c r="AA108" s="44" t="str">
        <f>IMPRODUCT(COMPLEX(0,$D108),U108,E$2,BASE!E$15^2/10000,1/(2*BASE!$U$3))</f>
        <v>0.478418607861822+0.092650016786939i</v>
      </c>
      <c r="AB108" s="44" t="str">
        <f>IMPRODUCT(COMPLEX(0,$D108),V108,F$2,BASE!F$15^2/10000,1/(2*BASE!$U$3))</f>
        <v>0.497213107174289+0.101979954566575i</v>
      </c>
      <c r="AC108" s="44" t="str">
        <f>IMPRODUCT(COMPLEX(0,$D108),W108,G$2,BASE!G$15^2/10000,1/(2*BASE!$U$3))</f>
        <v>0.539105025022757+0.124690929398119i</v>
      </c>
      <c r="AD108" s="44">
        <f t="shared" si="32"/>
        <v>0.19129097069890325</v>
      </c>
      <c r="AE108" s="44">
        <f t="shared" si="33"/>
        <v>0.20229754634406666</v>
      </c>
      <c r="AF108" s="44">
        <f t="shared" si="34"/>
        <v>0.22729556834456963</v>
      </c>
      <c r="AG108" s="31">
        <f t="shared" si="35"/>
        <v>87.735458164013437</v>
      </c>
      <c r="AH108" s="31">
        <f t="shared" si="36"/>
        <v>88.089209080472898</v>
      </c>
      <c r="AI108" s="31">
        <f t="shared" si="37"/>
        <v>88.839197434957171</v>
      </c>
      <c r="AJ108" s="2" t="str">
        <f>IMSUM(R108,IMDIV(BASE!K$21^2,FRES!O108))</f>
        <v>7.32206556528795-0.441107683285684i</v>
      </c>
      <c r="AK108" s="2" t="str">
        <f>IMSUM(S108,IMDIV(BASE!L$21^2,FRES!P108))</f>
        <v>7.33290496938814-0.480584382199297i</v>
      </c>
      <c r="AL108" s="2" t="str">
        <f>IMSUM(T108,IMDIV(BASE!M$21^2,FRES!Q108))</f>
        <v>7.3593706166031-0.570316773585985i</v>
      </c>
      <c r="AM108" s="31">
        <f t="shared" si="50"/>
        <v>0.11758591156911137</v>
      </c>
      <c r="AN108" s="31">
        <f t="shared" si="50"/>
        <v>0.12247369938665457</v>
      </c>
      <c r="AO108" s="31">
        <f t="shared" si="50"/>
        <v>0.13351874878238229</v>
      </c>
      <c r="AP108" s="31">
        <f t="shared" si="38"/>
        <v>9.5555353596227327E-2</v>
      </c>
      <c r="AQ108" s="31">
        <f t="shared" si="39"/>
        <v>9.9527379555597206E-2</v>
      </c>
      <c r="AR108" s="31">
        <f t="shared" si="40"/>
        <v>0.10850306028479947</v>
      </c>
      <c r="AS108" s="2">
        <f t="shared" si="41"/>
        <v>110.60889807111155</v>
      </c>
      <c r="AT108" s="2">
        <f t="shared" si="42"/>
        <v>110.6439330895204</v>
      </c>
      <c r="AU108" s="2">
        <f t="shared" si="43"/>
        <v>110.72350426489839</v>
      </c>
      <c r="AV108" s="2">
        <f t="shared" si="44"/>
        <v>110.60889807111155</v>
      </c>
      <c r="AW108" s="2">
        <f t="shared" si="45"/>
        <v>110.6439330895204</v>
      </c>
      <c r="AX108" s="2">
        <f t="shared" si="46"/>
        <v>110.72350426489839</v>
      </c>
      <c r="AY108">
        <f t="shared" si="47"/>
        <v>7.3353404917992187</v>
      </c>
      <c r="AZ108">
        <f t="shared" si="48"/>
        <v>7.3486363795258738</v>
      </c>
      <c r="BA108">
        <f t="shared" si="49"/>
        <v>7.3814359778267145</v>
      </c>
    </row>
    <row r="109" spans="1:53" x14ac:dyDescent="0.2">
      <c r="A109" s="2">
        <v>105</v>
      </c>
      <c r="B109" s="2"/>
      <c r="C109" s="1">
        <v>285.08758980490859</v>
      </c>
      <c r="D109" s="2">
        <f t="shared" si="30"/>
        <v>1791.2581555214424</v>
      </c>
      <c r="E109" s="2"/>
      <c r="F109" s="2">
        <f>$D109*BASE!E$15/100/E$3</f>
        <v>0.32805018545886883</v>
      </c>
      <c r="G109" s="2">
        <f>$D109*BASE!F$15/100/F$3</f>
        <v>0.32805018545886883</v>
      </c>
      <c r="H109" s="2">
        <f>$D109*BASE!G$15/100/G$3</f>
        <v>0.32805018545886883</v>
      </c>
      <c r="I109" s="2">
        <f>(1-BESSELJ(2*F109,1)/F109)*BASE!K$13*E$2*E$3</f>
        <v>0.27203933807152897</v>
      </c>
      <c r="J109" s="2">
        <f>(1-BESSELJ(2*G109,1)/G109)*BASE!L$13*F$2*F$3</f>
        <v>0.27203933807152897</v>
      </c>
      <c r="K109" s="2">
        <f>(1-BESSELJ(2*H109,1)/H109)*BASE!M$13*G$2*G$3</f>
        <v>0.27203933807152897</v>
      </c>
      <c r="L109" s="2" t="str">
        <f>IMPRODUCT(COMPLEX(1-BESSELJ(2*F109,1)/F109,(STRUVE(2*F109)/(2*F109^2))),PI()*(BASE!E$15/100)^2*E$2*E$3)</f>
        <v>0.272039338071529+1.3926464402696i</v>
      </c>
      <c r="M109" s="2" t="str">
        <f>IMPRODUCT(COMPLEX(1-BESSELJ(2*G109,1)/G109,(STRUVE(2*G109)/(2*G109^2))),PI()*(BASE!F$15/100)^2*F$2*F$3)</f>
        <v>0.272039338071529+1.3926464402696i</v>
      </c>
      <c r="N109" s="2" t="str">
        <f>IMPRODUCT(COMPLEX(1-BESSELJ(2*H109,1)/H109,(STRUVE(2*H109)/(2*H109^2))),PI()*(BASE!G$15/100)^2*G$2*G$3)</f>
        <v>0.272039338071529+1.3926464402696i</v>
      </c>
      <c r="O109" s="2" t="str">
        <f>IMSUM(IMPRODUCT(IF($O$3=1,L109,COMPLEX(I109,$D109*BASE!K$15)),2),COMPLEX(BASE!E$36,$D109*BASE!K$14-BASE!K$10/$D109))</f>
        <v>1.34407867614306+10.2806591594885i</v>
      </c>
      <c r="P109" s="2" t="str">
        <f>IMSUM(IMPRODUCT(IF($O$3=1,M109,COMPLEX(J109,$D109*BASE!L$15)),2),COMPLEX(BASE!F$36,$D109*BASE!L$14-BASE!L$10/$D109))</f>
        <v>1.34407867614306+9.87033304444231i</v>
      </c>
      <c r="Q109" s="2" t="str">
        <f>IMSUM(IMPRODUCT(IF($O$3=1,N109,COMPLEX(K109,$D109*BASE!M$15)),2),COMPLEX(BASE!G$36,$D109*BASE!M$14-BASE!M$10/$D109))</f>
        <v>1.34407867614306+9.04968081434983i</v>
      </c>
      <c r="R109" s="2" t="str">
        <f>COMPLEX(BASE!E$19,FRES!$D109*BASE!K$36)</f>
        <v>7.2+0.49869279032921i</v>
      </c>
      <c r="S109" s="2" t="str">
        <f>COMPLEX(BASE!F$19,FRES!$D109*BASE!L$36)</f>
        <v>7.2+0.49869279032921i</v>
      </c>
      <c r="T109" s="2" t="str">
        <f>COMPLEX(BASE!G$19,FRES!$D109*BASE!M$36)</f>
        <v>7.2+0.49869279032921i</v>
      </c>
      <c r="U109" s="2" t="str">
        <f>IMDIV(BASE!K$21*BASE!E$38,IMPRODUCT(FRES!R109,IMSUM(FRES!O109,IMDIV(BASE!K$21^2,FRES!R109))))</f>
        <v>0.0209239629058258-0.112160679398758i</v>
      </c>
      <c r="V109" s="2" t="str">
        <f>IMDIV(BASE!L$21*BASE!F$38,IMPRODUCT(FRES!S109,IMSUM(FRES!P109,IMDIV(BASE!L$21^2,FRES!S109))))</f>
        <v>0.0229264469384723-0.116325466039249i</v>
      </c>
      <c r="W109" s="2" t="str">
        <f>IMDIV(BASE!M$21*BASE!G$38,IMPRODUCT(FRES!T109,IMSUM(FRES!Q109,IMDIV(BASE!M$21^2,FRES!T109))))</f>
        <v>0.0277480276790381-0.125558711658001i</v>
      </c>
      <c r="X109" s="2" t="str">
        <f t="shared" si="52"/>
        <v>-0.0000626155861750188-0.0000116811543000259i</v>
      </c>
      <c r="Y109" s="2" t="str">
        <f t="shared" si="51"/>
        <v>-0.0000649406483820789-0.0000127990746994245i</v>
      </c>
      <c r="Z109" s="2" t="str">
        <f t="shared" si="51"/>
        <v>-0.0000700952630814125-0.0000154908032622247i</v>
      </c>
      <c r="AA109" s="44" t="str">
        <f>IMPRODUCT(COMPLEX(0,$D109),U109,E$2,BASE!E$15^2/10000,1/(2*BASE!$U$3))</f>
        <v>0.478444053674787+0.089255394004996i</v>
      </c>
      <c r="AB109" s="44" t="str">
        <f>IMPRODUCT(COMPLEX(0,$D109),V109,F$2,BASE!F$15^2/10000,1/(2*BASE!$U$3))</f>
        <v>0.496209793091209+0.0977973944915679i</v>
      </c>
      <c r="AC109" s="44" t="str">
        <f>IMPRODUCT(COMPLEX(0,$D109),W109,G$2,BASE!G$15^2/10000,1/(2*BASE!$U$3))</f>
        <v>0.535596068977655+0.118364821926945i</v>
      </c>
      <c r="AD109" s="44">
        <f t="shared" si="32"/>
        <v>0.18443340085221441</v>
      </c>
      <c r="AE109" s="44">
        <f t="shared" si="33"/>
        <v>0.19459477192421168</v>
      </c>
      <c r="AF109" s="44">
        <f t="shared" si="34"/>
        <v>0.21750054014235634</v>
      </c>
      <c r="AG109" s="31">
        <f t="shared" si="35"/>
        <v>87.724596720765859</v>
      </c>
      <c r="AH109" s="31">
        <f t="shared" si="36"/>
        <v>88.058210053422073</v>
      </c>
      <c r="AI109" s="31">
        <f t="shared" si="37"/>
        <v>88.763237738301967</v>
      </c>
      <c r="AJ109" s="2" t="str">
        <f>IMSUM(R109,IMDIV(BASE!K$21^2,FRES!O109))</f>
        <v>7.31732275048236-0.398691589597103i</v>
      </c>
      <c r="AK109" s="2" t="str">
        <f>IMSUM(S109,IMDIV(BASE!L$21^2,FRES!P109))</f>
        <v>7.32709883037479-0.434666102736611i</v>
      </c>
      <c r="AL109" s="2" t="str">
        <f>IMSUM(T109,IMDIV(BASE!M$21^2,FRES!Q109))</f>
        <v>7.35067535200736-0.5158042524847i</v>
      </c>
      <c r="AM109" s="31">
        <f t="shared" si="50"/>
        <v>0.11409570643488454</v>
      </c>
      <c r="AN109" s="31">
        <f t="shared" si="50"/>
        <v>0.11856321528396173</v>
      </c>
      <c r="AO109" s="31">
        <f t="shared" si="50"/>
        <v>0.12858826973442677</v>
      </c>
      <c r="AP109" s="31">
        <f t="shared" si="38"/>
        <v>9.0079531502136698E-2</v>
      </c>
      <c r="AQ109" s="31">
        <f t="shared" si="39"/>
        <v>9.3606667769408999E-2</v>
      </c>
      <c r="AR109" s="31">
        <f t="shared" si="40"/>
        <v>0.10152153359914715</v>
      </c>
      <c r="AS109" s="2">
        <f t="shared" si="41"/>
        <v>110.58706974833758</v>
      </c>
      <c r="AT109" s="2">
        <f t="shared" si="42"/>
        <v>110.61941439703156</v>
      </c>
      <c r="AU109" s="2">
        <f t="shared" si="43"/>
        <v>110.69232572177627</v>
      </c>
      <c r="AV109" s="2">
        <f t="shared" si="44"/>
        <v>110.58706974833758</v>
      </c>
      <c r="AW109" s="2">
        <f t="shared" si="45"/>
        <v>110.61941439703156</v>
      </c>
      <c r="AX109" s="2">
        <f t="shared" si="46"/>
        <v>110.69232572177627</v>
      </c>
      <c r="AY109">
        <f t="shared" si="47"/>
        <v>7.3281762545903728</v>
      </c>
      <c r="AZ109">
        <f t="shared" si="48"/>
        <v>7.3399803740165295</v>
      </c>
      <c r="BA109">
        <f t="shared" si="49"/>
        <v>7.3687503796430658</v>
      </c>
    </row>
    <row r="110" spans="1:53" x14ac:dyDescent="0.2">
      <c r="A110" s="2">
        <v>106</v>
      </c>
      <c r="B110" s="2"/>
      <c r="C110" s="1">
        <v>293.44129382549482</v>
      </c>
      <c r="D110" s="2">
        <f t="shared" ref="D110:D173" si="53">C110*2*PI()</f>
        <v>1843.746025884117</v>
      </c>
      <c r="E110" s="2"/>
      <c r="F110" s="2">
        <f>$D110*BASE!E$15/100/E$3</f>
        <v>0.33766278962412605</v>
      </c>
      <c r="G110" s="2">
        <f>$D110*BASE!F$15/100/F$3</f>
        <v>0.33766278962412605</v>
      </c>
      <c r="H110" s="2">
        <f>$D110*BASE!G$15/100/G$3</f>
        <v>0.33766278962412605</v>
      </c>
      <c r="I110" s="2">
        <f>(1-BESSELJ(2*F110,1)/F110)*BASE!K$13*E$2*E$3</f>
        <v>0.2879084147859311</v>
      </c>
      <c r="J110" s="2">
        <f>(1-BESSELJ(2*G110,1)/G110)*BASE!L$13*F$2*F$3</f>
        <v>0.2879084147859311</v>
      </c>
      <c r="K110" s="2">
        <f>(1-BESSELJ(2*H110,1)/H110)*BASE!M$13*G$2*G$3</f>
        <v>0.2879084147859311</v>
      </c>
      <c r="L110" s="2" t="str">
        <f>IMPRODUCT(COMPLEX(1-BESSELJ(2*F110,1)/F110,(STRUVE(2*F110)/(2*F110^2))),PI()*(BASE!E$15/100)^2*E$2*E$3)</f>
        <v>0.287908414785931+1.4309996933263i</v>
      </c>
      <c r="M110" s="2" t="str">
        <f>IMPRODUCT(COMPLEX(1-BESSELJ(2*G110,1)/G110,(STRUVE(2*G110)/(2*G110^2))),PI()*(BASE!F$15/100)^2*F$2*F$3)</f>
        <v>0.287908414785931+1.4309996933263i</v>
      </c>
      <c r="N110" s="2" t="str">
        <f>IMPRODUCT(COMPLEX(1-BESSELJ(2*H110,1)/H110,(STRUVE(2*H110)/(2*H110^2))),PI()*(BASE!G$15/100)^2*G$2*G$3)</f>
        <v>0.287908414785931+1.4309996933263i</v>
      </c>
      <c r="O110" s="2" t="str">
        <f>IMSUM(IMPRODUCT(IF($O$3=1,L110,COMPLEX(I110,$D110*BASE!K$15)),2),COMPLEX(BASE!E$36,$D110*BASE!K$14-BASE!K$10/$D110))</f>
        <v>1.37581682957186+10.6055941566139i</v>
      </c>
      <c r="P110" s="2" t="str">
        <f>IMSUM(IMPRODUCT(IF($O$3=1,M110,COMPLEX(J110,$D110*BASE!L$15)),2),COMPLEX(BASE!F$36,$D110*BASE!L$14-BASE!L$10/$D110))</f>
        <v>1.37581682957186+10.206949229557i</v>
      </c>
      <c r="Q110" s="2" t="str">
        <f>IMSUM(IMPRODUCT(IF($O$3=1,N110,COMPLEX(K110,$D110*BASE!M$15)),2),COMPLEX(BASE!G$36,$D110*BASE!M$14-BASE!M$10/$D110))</f>
        <v>1.37581682957186+9.40965937544323i</v>
      </c>
      <c r="R110" s="2" t="str">
        <f>COMPLEX(BASE!E$19,FRES!$D110*BASE!K$36)</f>
        <v>7.2+0.51330560448384i</v>
      </c>
      <c r="S110" s="2" t="str">
        <f>COMPLEX(BASE!F$19,FRES!$D110*BASE!L$36)</f>
        <v>7.2+0.51330560448384i</v>
      </c>
      <c r="T110" s="2" t="str">
        <f>COMPLEX(BASE!G$19,FRES!$D110*BASE!M$36)</f>
        <v>7.2+0.51330560448384i</v>
      </c>
      <c r="U110" s="2" t="str">
        <f>IMDIV(BASE!K$21*BASE!E$38,IMPRODUCT(FRES!R110,IMSUM(FRES!O110,IMDIV(BASE!K$21^2,FRES!R110))))</f>
        <v>0.0195768965101821-0.108969523953181i</v>
      </c>
      <c r="V110" s="2" t="str">
        <f>IMDIV(BASE!L$21*BASE!F$38,IMPRODUCT(FRES!S110,IMSUM(FRES!P110,IMDIV(BASE!L$21^2,FRES!S110))))</f>
        <v>0.0213588691732195-0.112793523336093i</v>
      </c>
      <c r="W110" s="2" t="str">
        <f>IMDIV(BASE!M$21*BASE!G$38,IMPRODUCT(FRES!T110,IMSUM(FRES!Q110,IMDIV(BASE!M$21^2,FRES!T110))))</f>
        <v>0.0256056699793738-0.121227335378743i</v>
      </c>
      <c r="X110" s="2" t="str">
        <f t="shared" si="52"/>
        <v>-0.0000591022420785572-0.0000106180006548323i</v>
      </c>
      <c r="Y110" s="2" t="str">
        <f t="shared" si="51"/>
        <v>-0.0000611762801126613-0.0000115844963858172i</v>
      </c>
      <c r="Z110" s="2" t="str">
        <f t="shared" si="51"/>
        <v>-0.0000657505609106936-0.0000138878509403676i</v>
      </c>
      <c r="AA110" s="44" t="str">
        <f>IMPRODUCT(COMPLEX(0,$D110),U110,E$2,BASE!E$15^2/10000,1/(2*BASE!$U$3))</f>
        <v>0.478452138597589+0.0859562165879029i</v>
      </c>
      <c r="AB110" s="44" t="str">
        <f>IMPRODUCT(COMPLEX(0,$D110),V110,F$2,BASE!F$15^2/10000,1/(2*BASE!$U$3))</f>
        <v>0.495242160397961+0.0937803182323131i</v>
      </c>
      <c r="AC110" s="44" t="str">
        <f>IMPRODUCT(COMPLEX(0,$D110),W110,G$2,BASE!G$15^2/10000,1/(2*BASE!$U$3))</f>
        <v>0.532272471827694+0.112426732882849i</v>
      </c>
      <c r="AD110" s="44">
        <f t="shared" si="32"/>
        <v>0.17775853806564448</v>
      </c>
      <c r="AE110" s="44">
        <f t="shared" si="33"/>
        <v>0.1871466345725013</v>
      </c>
      <c r="AF110" s="44">
        <f t="shared" si="34"/>
        <v>0.20816063177181474</v>
      </c>
      <c r="AG110" s="31">
        <f t="shared" si="35"/>
        <v>87.714127728328734</v>
      </c>
      <c r="AH110" s="31">
        <f t="shared" si="36"/>
        <v>88.028755255340059</v>
      </c>
      <c r="AI110" s="31">
        <f t="shared" si="37"/>
        <v>88.691638625670222</v>
      </c>
      <c r="AJ110" s="2" t="str">
        <f>IMSUM(R110,IMDIV(BASE!K$21^2,FRES!O110))</f>
        <v>7.31287629689069-0.356810365166416i</v>
      </c>
      <c r="AK110" s="2" t="str">
        <f>IMSUM(S110,IMDIV(BASE!L$21^2,FRES!P110))</f>
        <v>7.3217051116012-0.389603756988049i</v>
      </c>
      <c r="AL110" s="2" t="str">
        <f>IMSUM(T110,IMDIV(BASE!M$21^2,FRES!Q110))</f>
        <v>7.34275329146682-0.463030647954795i</v>
      </c>
      <c r="AM110" s="31">
        <f t="shared" si="50"/>
        <v>0.11071410040077671</v>
      </c>
      <c r="AN110" s="31">
        <f t="shared" si="50"/>
        <v>0.11479799736462504</v>
      </c>
      <c r="AO110" s="31">
        <f t="shared" si="50"/>
        <v>0.12390204670675475</v>
      </c>
      <c r="AP110" s="31">
        <f t="shared" si="38"/>
        <v>8.4921339563367684E-2</v>
      </c>
      <c r="AQ110" s="31">
        <f t="shared" si="39"/>
        <v>8.8053822233175205E-2</v>
      </c>
      <c r="AR110" s="31">
        <f t="shared" si="40"/>
        <v>9.5036926126771365E-2</v>
      </c>
      <c r="AS110" s="2">
        <f t="shared" si="41"/>
        <v>110.56582300019872</v>
      </c>
      <c r="AT110" s="2">
        <f t="shared" si="42"/>
        <v>110.59570623950452</v>
      </c>
      <c r="AU110" s="2">
        <f t="shared" si="43"/>
        <v>110.66259587007232</v>
      </c>
      <c r="AV110" s="2">
        <f t="shared" si="44"/>
        <v>110.56582300019872</v>
      </c>
      <c r="AW110" s="2">
        <f t="shared" si="45"/>
        <v>110.59570623950452</v>
      </c>
      <c r="AX110" s="2">
        <f t="shared" si="46"/>
        <v>110.66259587007232</v>
      </c>
      <c r="AY110">
        <f t="shared" si="47"/>
        <v>7.3215758802539144</v>
      </c>
      <c r="AZ110">
        <f t="shared" si="48"/>
        <v>7.3320636132473878</v>
      </c>
      <c r="BA110">
        <f t="shared" si="49"/>
        <v>7.3573380566813871</v>
      </c>
    </row>
    <row r="111" spans="1:53" x14ac:dyDescent="0.2">
      <c r="A111" s="2">
        <v>107</v>
      </c>
      <c r="B111" s="2"/>
      <c r="C111" s="1">
        <v>302.03978005814184</v>
      </c>
      <c r="D111" s="2">
        <f t="shared" si="53"/>
        <v>1897.7719082450706</v>
      </c>
      <c r="E111" s="2"/>
      <c r="F111" s="2">
        <f>$D111*BASE!E$15/100/E$3</f>
        <v>0.34755706459139374</v>
      </c>
      <c r="G111" s="2">
        <f>$D111*BASE!F$15/100/F$3</f>
        <v>0.34755706459139374</v>
      </c>
      <c r="H111" s="2">
        <f>$D111*BASE!G$15/100/G$3</f>
        <v>0.34755706459139374</v>
      </c>
      <c r="I111" s="2">
        <f>(1-BESSELJ(2*F111,1)/F111)*BASE!K$13*E$2*E$3</f>
        <v>0.30468387184624862</v>
      </c>
      <c r="J111" s="2">
        <f>(1-BESSELJ(2*G111,1)/G111)*BASE!L$13*F$2*F$3</f>
        <v>0.30468387184624862</v>
      </c>
      <c r="K111" s="2">
        <f>(1-BESSELJ(2*H111,1)/H111)*BASE!M$13*G$2*G$3</f>
        <v>0.30468387184624862</v>
      </c>
      <c r="L111" s="2" t="str">
        <f>IMPRODUCT(COMPLEX(1-BESSELJ(2*F111,1)/F111,(STRUVE(2*F111)/(2*F111^2))),PI()*(BASE!E$15/100)^2*E$2*E$3)</f>
        <v>0.304683871846248+1.47025868596949i</v>
      </c>
      <c r="M111" s="2" t="str">
        <f>IMPRODUCT(COMPLEX(1-BESSELJ(2*G111,1)/G111,(STRUVE(2*G111)/(2*G111^2))),PI()*(BASE!F$15/100)^2*F$2*F$3)</f>
        <v>0.304683871846248+1.47025868596949i</v>
      </c>
      <c r="N111" s="2" t="str">
        <f>IMPRODUCT(COMPLEX(1-BESSELJ(2*H111,1)/H111,(STRUVE(2*H111)/(2*H111^2))),PI()*(BASE!G$15/100)^2*G$2*G$3)</f>
        <v>0.304683871846248+1.47025868596949i</v>
      </c>
      <c r="O111" s="2" t="str">
        <f>IMSUM(IMPRODUCT(IF($O$3=1,L111,COMPLEX(I111,$D111*BASE!K$15)),2),COMPLEX(BASE!E$36,$D111*BASE!K$14-BASE!K$10/$D111))</f>
        <v>1.4093677436925+10.9393761049097i</v>
      </c>
      <c r="P111" s="2" t="str">
        <f>IMSUM(IMPRODUCT(IF($O$3=1,M111,COMPLEX(J111,$D111*BASE!L$15)),2),COMPLEX(BASE!F$36,$D111*BASE!L$14-BASE!L$10/$D111))</f>
        <v>1.4093677436925+10.5520798250951i</v>
      </c>
      <c r="Q111" s="2" t="str">
        <f>IMSUM(IMPRODUCT(IF($O$3=1,N111,COMPLEX(K111,$D111*BASE!M$15)),2),COMPLEX(BASE!G$36,$D111*BASE!M$14-BASE!M$10/$D111))</f>
        <v>1.4093677436925+9.77748726546586i</v>
      </c>
      <c r="R111" s="2" t="str">
        <f>COMPLEX(BASE!E$19,FRES!$D111*BASE!K$36)</f>
        <v>7.2+0.528346606776856i</v>
      </c>
      <c r="S111" s="2" t="str">
        <f>COMPLEX(BASE!F$19,FRES!$D111*BASE!L$36)</f>
        <v>7.2+0.528346606776856i</v>
      </c>
      <c r="T111" s="2" t="str">
        <f>COMPLEX(BASE!G$19,FRES!$D111*BASE!M$36)</f>
        <v>7.2+0.528346606776856i</v>
      </c>
      <c r="U111" s="2" t="str">
        <f>IMDIV(BASE!K$21*BASE!E$38,IMPRODUCT(FRES!R111,IMSUM(FRES!O111,IMDIV(BASE!K$21^2,FRES!R111))))</f>
        <v>0.0183096115279974-0.105865530489935i</v>
      </c>
      <c r="V111" s="2" t="str">
        <f>IMDIV(BASE!L$21*BASE!F$38,IMPRODUCT(FRES!S111,IMSUM(FRES!P111,IMDIV(BASE!L$21^2,FRES!S111))))</f>
        <v>0.019896052084471-0.109376015602312i</v>
      </c>
      <c r="W111" s="2" t="str">
        <f>IMDIV(BASE!M$21*BASE!G$38,IMPRODUCT(FRES!T111,IMSUM(FRES!Q111,IMDIV(BASE!M$21^2,FRES!T111))))</f>
        <v>0.0236404837002016-0.117079792025081i</v>
      </c>
      <c r="X111" s="2" t="str">
        <f t="shared" si="52"/>
        <v>-0.0000557841171691872-9.64795160495809E-06i</v>
      </c>
      <c r="Y111" s="2" t="str">
        <f t="shared" si="51"/>
        <v>-0.0000576339101275113-0.0000104839006194741i</v>
      </c>
      <c r="Z111" s="2" t="str">
        <f t="shared" si="51"/>
        <v>-0.0000616932896500446-0.0000124569678776954i</v>
      </c>
      <c r="AA111" s="44" t="str">
        <f>IMPRODUCT(COMPLEX(0,$D111),U111,E$2,BASE!E$15^2/10000,1/(2*BASE!$U$3))</f>
        <v>0.478443811042061+0.0827476165057105i</v>
      </c>
      <c r="AB111" s="44" t="str">
        <f>IMPRODUCT(COMPLEX(0,$D111),V111,F$2,BASE!F$15^2/10000,1/(2*BASE!$U$3))</f>
        <v>0.494308936054889+0.089917303015741i</v>
      </c>
      <c r="AC111" s="44" t="str">
        <f>IMPRODUCT(COMPLEX(0,$D111),W111,G$2,BASE!G$15^2/10000,1/(2*BASE!$U$3))</f>
        <v>0.52912502901799+0.106839715099501i</v>
      </c>
      <c r="AD111" s="44">
        <f t="shared" si="32"/>
        <v>0.17125743326639167</v>
      </c>
      <c r="AE111" s="44">
        <f t="shared" si="33"/>
        <v>0.17993760900967615</v>
      </c>
      <c r="AF111" s="44">
        <f t="shared" si="34"/>
        <v>0.199238831604899</v>
      </c>
      <c r="AG111" s="31">
        <f t="shared" si="35"/>
        <v>87.704021152690501</v>
      </c>
      <c r="AH111" s="31">
        <f t="shared" si="36"/>
        <v>88.00074860813838</v>
      </c>
      <c r="AI111" s="31">
        <f t="shared" si="37"/>
        <v>88.62411702652733</v>
      </c>
      <c r="AJ111" s="2" t="str">
        <f>IMSUM(R111,IMDIV(BASE!K$21^2,FRES!O111))</f>
        <v>7.30870506788148-0.315411615580129i</v>
      </c>
      <c r="AK111" s="2" t="str">
        <f>IMSUM(S111,IMDIV(BASE!L$21^2,FRES!P111))</f>
        <v>7.31668875844367-0.345314011113326i</v>
      </c>
      <c r="AL111" s="2" t="str">
        <f>IMSUM(T111,IMDIV(BASE!M$21^2,FRES!Q111))</f>
        <v>7.33551852113643-0.411812993566083i</v>
      </c>
      <c r="AM111" s="31">
        <f t="shared" si="50"/>
        <v>0.10743720221702319</v>
      </c>
      <c r="AN111" s="31">
        <f t="shared" si="50"/>
        <v>0.11117088502654453</v>
      </c>
      <c r="AO111" s="31">
        <f t="shared" si="50"/>
        <v>0.11944266478196021</v>
      </c>
      <c r="AP111" s="31">
        <f t="shared" si="38"/>
        <v>8.0061859814985814E-2</v>
      </c>
      <c r="AQ111" s="31">
        <f t="shared" si="39"/>
        <v>8.2844188314993586E-2</v>
      </c>
      <c r="AR111" s="31">
        <f t="shared" si="40"/>
        <v>8.9008292159216656E-2</v>
      </c>
      <c r="AS111" s="2">
        <f t="shared" si="41"/>
        <v>110.54512934091153</v>
      </c>
      <c r="AT111" s="2">
        <f t="shared" si="42"/>
        <v>110.57275919844054</v>
      </c>
      <c r="AU111" s="2">
        <f t="shared" si="43"/>
        <v>110.63419689811546</v>
      </c>
      <c r="AV111" s="2">
        <f t="shared" si="44"/>
        <v>110.54512934091153</v>
      </c>
      <c r="AW111" s="2">
        <f t="shared" si="45"/>
        <v>110.57275919844054</v>
      </c>
      <c r="AX111" s="2">
        <f t="shared" si="46"/>
        <v>110.63419689811546</v>
      </c>
      <c r="AY111">
        <f t="shared" si="47"/>
        <v>7.3155077921166418</v>
      </c>
      <c r="AZ111">
        <f t="shared" si="48"/>
        <v>7.3248328413832864</v>
      </c>
      <c r="BA111">
        <f t="shared" si="49"/>
        <v>7.3470689336364243</v>
      </c>
    </row>
    <row r="112" spans="1:53" x14ac:dyDescent="0.2">
      <c r="A112" s="2">
        <v>108</v>
      </c>
      <c r="B112" s="2"/>
      <c r="C112" s="1">
        <v>310.89022116915385</v>
      </c>
      <c r="D112" s="2">
        <f t="shared" si="53"/>
        <v>1953.3808697958393</v>
      </c>
      <c r="E112" s="2"/>
      <c r="F112" s="2">
        <f>$D112*BASE!E$15/100/E$3</f>
        <v>0.35774126394516825</v>
      </c>
      <c r="G112" s="2">
        <f>$D112*BASE!F$15/100/F$3</f>
        <v>0.35774126394516825</v>
      </c>
      <c r="H112" s="2">
        <f>$D112*BASE!G$15/100/G$3</f>
        <v>0.35774126394516825</v>
      </c>
      <c r="I112" s="2">
        <f>(1-BESSELJ(2*F112,1)/F112)*BASE!K$13*E$2*E$3</f>
        <v>0.32241511574369341</v>
      </c>
      <c r="J112" s="2">
        <f>(1-BESSELJ(2*G112,1)/G112)*BASE!L$13*F$2*F$3</f>
        <v>0.32241511574369341</v>
      </c>
      <c r="K112" s="2">
        <f>(1-BESSELJ(2*H112,1)/H112)*BASE!M$13*G$2*G$3</f>
        <v>0.32241511574369341</v>
      </c>
      <c r="L112" s="2" t="str">
        <f>IMPRODUCT(COMPLEX(1-BESSELJ(2*F112,1)/F112,(STRUVE(2*F112)/(2*F112^2))),PI()*(BASE!E$15/100)^2*E$2*E$3)</f>
        <v>0.322415115743693+1.51043084145496i</v>
      </c>
      <c r="M112" s="2" t="str">
        <f>IMPRODUCT(COMPLEX(1-BESSELJ(2*G112,1)/G112,(STRUVE(2*G112)/(2*G112^2))),PI()*(BASE!F$15/100)^2*F$2*F$3)</f>
        <v>0.322415115743693+1.51043084145496i</v>
      </c>
      <c r="N112" s="2" t="str">
        <f>IMPRODUCT(COMPLEX(1-BESSELJ(2*H112,1)/H112,(STRUVE(2*H112)/(2*H112^2))),PI()*(BASE!G$15/100)^2*G$2*G$3)</f>
        <v>0.322415115743693+1.51043084145496i</v>
      </c>
      <c r="O112" s="2" t="str">
        <f>IMSUM(IMPRODUCT(IF($O$3=1,L112,COMPLEX(I112,$D112*BASE!K$15)),2),COMPLEX(BASE!E$36,$D112*BASE!K$14-BASE!K$10/$D112))</f>
        <v>1.44483023148739+11.2822834378663i</v>
      </c>
      <c r="P112" s="2" t="str">
        <f>IMSUM(IMPRODUCT(IF($O$3=1,M112,COMPLEX(J112,$D112*BASE!L$15)),2),COMPLEX(BASE!F$36,$D112*BASE!L$14-BASE!L$10/$D112))</f>
        <v>1.44483023148739+10.9060127313365i</v>
      </c>
      <c r="Q112" s="2" t="str">
        <f>IMSUM(IMPRODUCT(IF($O$3=1,N112,COMPLEX(K112,$D112*BASE!M$15)),2),COMPLEX(BASE!G$36,$D112*BASE!M$14-BASE!M$10/$D112))</f>
        <v>1.44483023148739+10.1534713182767i</v>
      </c>
      <c r="R112" s="2" t="str">
        <f>COMPLEX(BASE!E$19,FRES!$D112*BASE!K$36)</f>
        <v>7.2+0.543828344078417i</v>
      </c>
      <c r="S112" s="2" t="str">
        <f>COMPLEX(BASE!F$19,FRES!$D112*BASE!L$36)</f>
        <v>7.2+0.543828344078417i</v>
      </c>
      <c r="T112" s="2" t="str">
        <f>COMPLEX(BASE!G$19,FRES!$D112*BASE!M$36)</f>
        <v>7.2+0.543828344078417i</v>
      </c>
      <c r="U112" s="2" t="str">
        <f>IMDIV(BASE!K$21*BASE!E$38,IMPRODUCT(FRES!R112,IMSUM(FRES!O112,IMDIV(BASE!K$21^2,FRES!R112))))</f>
        <v>0.0171170854766719-0.102846596323475i</v>
      </c>
      <c r="V112" s="2" t="str">
        <f>IMDIV(BASE!L$21*BASE!F$38,IMPRODUCT(FRES!S112,IMSUM(FRES!P112,IMDIV(BASE!L$21^2,FRES!S112))))</f>
        <v>0.0185300596134965-0.106068765920898i</v>
      </c>
      <c r="W112" s="2" t="str">
        <f>IMDIV(BASE!M$21*BASE!G$38,IMPRODUCT(FRES!T112,IMSUM(FRES!Q112,IMDIV(BASE!M$21^2,FRES!T112))))</f>
        <v>0.0218348418474224-0.113106020360116i</v>
      </c>
      <c r="X112" s="2" t="str">
        <f t="shared" si="52"/>
        <v>-0.0000526505598133682-0.0000087627997905298i</v>
      </c>
      <c r="Y112" s="2" t="str">
        <f t="shared" si="51"/>
        <v>-0.0000543000945493973-9.48614778613717E-06i</v>
      </c>
      <c r="Z112" s="2" t="str">
        <f t="shared" si="51"/>
        <v>-0.0000579026968621523-0.0000111779746515612i</v>
      </c>
      <c r="AA112" s="44" t="str">
        <f>IMPRODUCT(COMPLEX(0,$D112),U112,E$2,BASE!E$15^2/10000,1/(2*BASE!$U$3))</f>
        <v>0.478419863604196+0.0796249364762063i</v>
      </c>
      <c r="AB112" s="44" t="str">
        <f>IMPRODUCT(COMPLEX(0,$D112),V112,F$2,BASE!F$15^2/10000,1/(2*BASE!$U$3))</f>
        <v>0.493408691571435+0.086197783006681i</v>
      </c>
      <c r="AC112" s="44" t="str">
        <f>IMPRODUCT(COMPLEX(0,$D112),W112,G$2,BASE!G$15^2/10000,1/(2*BASE!$U$3))</f>
        <v>0.526144459494853+0.101570906883562i</v>
      </c>
      <c r="AD112" s="44">
        <f t="shared" si="32"/>
        <v>0.16492148690847019</v>
      </c>
      <c r="AE112" s="44">
        <f t="shared" si="33"/>
        <v>0.17295315913117554</v>
      </c>
      <c r="AF112" s="44">
        <f t="shared" si="34"/>
        <v>0.19070167653300799</v>
      </c>
      <c r="AG112" s="31">
        <f t="shared" si="35"/>
        <v>87.694247716335411</v>
      </c>
      <c r="AH112" s="31">
        <f t="shared" si="36"/>
        <v>87.974098488943127</v>
      </c>
      <c r="AI112" s="31">
        <f t="shared" si="37"/>
        <v>88.560407246755318</v>
      </c>
      <c r="AJ112" s="2" t="str">
        <f>IMSUM(R112,IMDIV(BASE!K$21^2,FRES!O112))</f>
        <v>7.30478959695134-0.274444909331925i</v>
      </c>
      <c r="AK112" s="2" t="str">
        <f>IMSUM(S112,IMDIV(BASE!L$21^2,FRES!P112))</f>
        <v>7.31201819957212-0.301718685635393i</v>
      </c>
      <c r="AL112" s="2" t="str">
        <f>IMSUM(T112,IMDIV(BASE!M$21^2,FRES!Q112))</f>
        <v>7.3288966055937-0.36198602732459i</v>
      </c>
      <c r="AM112" s="31">
        <f t="shared" si="50"/>
        <v>0.10426129190902785</v>
      </c>
      <c r="AN112" s="31">
        <f t="shared" si="50"/>
        <v>0.10767518847562788</v>
      </c>
      <c r="AO112" s="31">
        <f t="shared" si="50"/>
        <v>0.11519432347214389</v>
      </c>
      <c r="AP112" s="31">
        <f t="shared" si="38"/>
        <v>7.548335059905556E-2</v>
      </c>
      <c r="AQ112" s="31">
        <f t="shared" si="39"/>
        <v>7.7954951964502181E-2</v>
      </c>
      <c r="AR112" s="31">
        <f t="shared" si="40"/>
        <v>8.3398674104823128E-2</v>
      </c>
      <c r="AS112" s="2">
        <f t="shared" si="41"/>
        <v>110.52496139727097</v>
      </c>
      <c r="AT112" s="2">
        <f t="shared" si="42"/>
        <v>110.55052700398171</v>
      </c>
      <c r="AU112" s="2">
        <f t="shared" si="43"/>
        <v>110.6070222895228</v>
      </c>
      <c r="AV112" s="2">
        <f t="shared" si="44"/>
        <v>110.52496139727097</v>
      </c>
      <c r="AW112" s="2">
        <f t="shared" si="45"/>
        <v>110.55052700398171</v>
      </c>
      <c r="AX112" s="2">
        <f t="shared" si="46"/>
        <v>110.6070222895228</v>
      </c>
      <c r="AY112">
        <f t="shared" si="47"/>
        <v>7.309943301010394</v>
      </c>
      <c r="AZ112">
        <f t="shared" si="48"/>
        <v>7.3182405205168992</v>
      </c>
      <c r="BA112">
        <f t="shared" si="49"/>
        <v>7.3378306971107667</v>
      </c>
    </row>
    <row r="113" spans="1:53" x14ac:dyDescent="0.2">
      <c r="A113" s="2">
        <v>109</v>
      </c>
      <c r="B113" s="2"/>
      <c r="C113" s="1">
        <v>320</v>
      </c>
      <c r="D113" s="2">
        <f t="shared" si="53"/>
        <v>2010.6192982974676</v>
      </c>
      <c r="E113" s="2"/>
      <c r="F113" s="2">
        <f>$D113*BASE!E$15/100/E$3</f>
        <v>0.36822388311843157</v>
      </c>
      <c r="G113" s="2">
        <f>$D113*BASE!F$15/100/F$3</f>
        <v>0.36822388311843157</v>
      </c>
      <c r="H113" s="2">
        <f>$D113*BASE!G$15/100/G$3</f>
        <v>0.36822388311843157</v>
      </c>
      <c r="I113" s="2">
        <f>(1-BESSELJ(2*F113,1)/F113)*BASE!K$13*E$2*E$3</f>
        <v>0.34115395438639595</v>
      </c>
      <c r="J113" s="2">
        <f>(1-BESSELJ(2*G113,1)/G113)*BASE!L$13*F$2*F$3</f>
        <v>0.34115395438639595</v>
      </c>
      <c r="K113" s="2">
        <f>(1-BESSELJ(2*H113,1)/H113)*BASE!M$13*G$2*G$3</f>
        <v>0.34115395438639595</v>
      </c>
      <c r="L113" s="2" t="str">
        <f>IMPRODUCT(COMPLEX(1-BESSELJ(2*F113,1)/F113,(STRUVE(2*F113)/(2*F113^2))),PI()*(BASE!E$15/100)^2*E$2*E$3)</f>
        <v>0.341153954386396+1.55152216568038i</v>
      </c>
      <c r="M113" s="2" t="str">
        <f>IMPRODUCT(COMPLEX(1-BESSELJ(2*G113,1)/G113,(STRUVE(2*G113)/(2*G113^2))),PI()*(BASE!F$15/100)^2*F$2*F$3)</f>
        <v>0.341153954386396+1.55152216568038i</v>
      </c>
      <c r="N113" s="2" t="str">
        <f>IMPRODUCT(COMPLEX(1-BESSELJ(2*H113,1)/H113,(STRUVE(2*H113)/(2*H113^2))),PI()*(BASE!G$15/100)^2*G$2*G$3)</f>
        <v>0.341153954386396+1.55152216568038i</v>
      </c>
      <c r="O113" s="2" t="str">
        <f>IMSUM(IMPRODUCT(IF($O$3=1,L113,COMPLEX(I113,$D113*BASE!K$15)),2),COMPLEX(BASE!E$36,$D113*BASE!K$14-BASE!K$10/$D113))</f>
        <v>1.48230790877279+11.6346022011674i</v>
      </c>
      <c r="P113" s="2" t="str">
        <f>IMSUM(IMPRODUCT(IF($O$3=1,M113,COMPLEX(J113,$D113*BASE!L$15)),2),COMPLEX(BASE!F$36,$D113*BASE!L$14-BASE!L$10/$D113))</f>
        <v>1.48230790877279+11.2690431912532i</v>
      </c>
      <c r="Q113" s="2" t="str">
        <f>IMSUM(IMPRODUCT(IF($O$3=1,N113,COMPLEX(K113,$D113*BASE!M$15)),2),COMPLEX(BASE!G$36,$D113*BASE!M$14-BASE!M$10/$D113))</f>
        <v>1.48230790877279+10.5379251714248i</v>
      </c>
      <c r="R113" s="2" t="str">
        <f>COMPLEX(BASE!E$19,FRES!$D113*BASE!K$36)</f>
        <v>7.2+0.559763730910042i</v>
      </c>
      <c r="S113" s="2" t="str">
        <f>COMPLEX(BASE!F$19,FRES!$D113*BASE!L$36)</f>
        <v>7.2+0.559763730910042i</v>
      </c>
      <c r="T113" s="2" t="str">
        <f>COMPLEX(BASE!G$19,FRES!$D113*BASE!M$36)</f>
        <v>7.2+0.559763730910042i</v>
      </c>
      <c r="U113" s="2" t="str">
        <f>IMDIV(BASE!K$21*BASE!E$38,IMPRODUCT(FRES!R113,IMSUM(FRES!O113,IMDIV(BASE!K$21^2,FRES!R113))))</f>
        <v>0.0159946308766326-0.0999106258050523i</v>
      </c>
      <c r="V113" s="2" t="str">
        <f>IMDIV(BASE!L$21*BASE!F$38,IMPRODUCT(FRES!S113,IMSUM(FRES!P113,IMDIV(BASE!L$21^2,FRES!S113))))</f>
        <v>0.0172536409630708-0.102867741177793i</v>
      </c>
      <c r="W113" s="2" t="str">
        <f>IMDIV(BASE!M$21*BASE!G$38,IMPRODUCT(FRES!T113,IMSUM(FRES!Q113,IMDIV(BASE!M$21^2,FRES!T113))))</f>
        <v>0.0201731850091765-0.109296541981806i</v>
      </c>
      <c r="X113" s="2" t="str">
        <f t="shared" si="52"/>
        <v>-0.000049691468638371-7.95507677170728E-06i</v>
      </c>
      <c r="Y113" s="2" t="str">
        <f t="shared" si="51"/>
        <v>-0.0000511622171660733-8.58125701751726E-06i</v>
      </c>
      <c r="Z113" s="2" t="str">
        <f t="shared" si="51"/>
        <v>-0.0000543596403726727-0.000010033319100368i</v>
      </c>
      <c r="AA113" s="44" t="str">
        <f>IMPRODUCT(COMPLEX(0,$D113),U113,E$2,BASE!E$15^2/10000,1/(2*BASE!$U$3))</f>
        <v>0.478380948114993+0.0765837129120045i</v>
      </c>
      <c r="AB113" s="44" t="str">
        <f>IMPRODUCT(COMPLEX(0,$D113),V113,F$2,BASE!F$15^2/10000,1/(2*BASE!$U$3))</f>
        <v>0.492539879102547+0.082611965002146i</v>
      </c>
      <c r="AC113" s="44" t="str">
        <f>IMPRODUCT(COMPLEX(0,$D113),W113,G$2,BASE!G$15^2/10000,1/(2*BASE!$U$3))</f>
        <v>0.523321548210165+0.0965910011415523i</v>
      </c>
      <c r="AD113" s="44">
        <f t="shared" si="32"/>
        <v>0.1587424171403479</v>
      </c>
      <c r="AE113" s="44">
        <f t="shared" si="33"/>
        <v>0.16617963961575985</v>
      </c>
      <c r="AF113" s="44">
        <f t="shared" si="34"/>
        <v>0.18251881533070763</v>
      </c>
      <c r="AG113" s="31">
        <f t="shared" si="35"/>
        <v>87.684778869567253</v>
      </c>
      <c r="AH113" s="31">
        <f t="shared" si="36"/>
        <v>87.948717524155796</v>
      </c>
      <c r="AI113" s="31">
        <f t="shared" si="37"/>
        <v>88.500259953460045</v>
      </c>
      <c r="AJ113" s="2" t="str">
        <f>IMSUM(R113,IMDIV(BASE!K$21^2,FRES!O113))</f>
        <v>7.3011119309023-0.233861592734191i</v>
      </c>
      <c r="AK113" s="2" t="str">
        <f>IMSUM(S113,IMDIV(BASE!L$21^2,FRES!P113))</f>
        <v>7.30766493459265-0.258744212633584i</v>
      </c>
      <c r="AL113" s="2" t="str">
        <f>IMSUM(T113,IMDIV(BASE!M$21^2,FRES!Q113))</f>
        <v>7.32282278542379-0.31339987732669i</v>
      </c>
      <c r="AM113" s="31">
        <f t="shared" si="50"/>
        <v>0.1011828116116414</v>
      </c>
      <c r="AN113" s="31">
        <f t="shared" si="50"/>
        <v>0.10430465138959032</v>
      </c>
      <c r="AO113" s="31">
        <f t="shared" si="50"/>
        <v>0.11114266274745781</v>
      </c>
      <c r="AP113" s="31">
        <f t="shared" si="38"/>
        <v>7.1169168912977573E-2</v>
      </c>
      <c r="AQ113" s="31">
        <f t="shared" si="39"/>
        <v>7.3364983982130538E-2</v>
      </c>
      <c r="AR113" s="31">
        <f t="shared" si="40"/>
        <v>7.8174650541158394E-2</v>
      </c>
      <c r="AS113" s="2">
        <f t="shared" si="41"/>
        <v>110.50529280732484</v>
      </c>
      <c r="AT113" s="2">
        <f t="shared" si="42"/>
        <v>110.52896622172156</v>
      </c>
      <c r="AU113" s="2">
        <f t="shared" si="43"/>
        <v>110.58097543334318</v>
      </c>
      <c r="AV113" s="2">
        <f t="shared" si="44"/>
        <v>110.50529280732484</v>
      </c>
      <c r="AW113" s="2">
        <f t="shared" si="45"/>
        <v>110.52896622172156</v>
      </c>
      <c r="AX113" s="2">
        <f t="shared" si="46"/>
        <v>110.58097543334318</v>
      </c>
      <c r="AY113">
        <f t="shared" si="47"/>
        <v>7.3048563758721556</v>
      </c>
      <c r="AZ113">
        <f t="shared" si="48"/>
        <v>7.3122442084387727</v>
      </c>
      <c r="BA113">
        <f t="shared" si="49"/>
        <v>7.3295261122278719</v>
      </c>
    </row>
    <row r="114" spans="1:53" x14ac:dyDescent="0.2">
      <c r="A114" s="2">
        <v>110</v>
      </c>
      <c r="B114" s="2"/>
      <c r="C114" s="1">
        <v>329.37671572591745</v>
      </c>
      <c r="D114" s="2">
        <f t="shared" si="53"/>
        <v>2069.5349407761519</v>
      </c>
      <c r="E114" s="2"/>
      <c r="F114" s="2">
        <f>$D114*BASE!E$15/100/E$3</f>
        <v>0.37901366647935336</v>
      </c>
      <c r="G114" s="2">
        <f>$D114*BASE!F$15/100/F$3</f>
        <v>0.37901366647935336</v>
      </c>
      <c r="H114" s="2">
        <f>$D114*BASE!G$15/100/G$3</f>
        <v>0.37901366647935336</v>
      </c>
      <c r="I114" s="2">
        <f>(1-BESSELJ(2*F114,1)/F114)*BASE!K$13*E$2*E$3</f>
        <v>0.36095467669987163</v>
      </c>
      <c r="J114" s="2">
        <f>(1-BESSELJ(2*G114,1)/G114)*BASE!L$13*F$2*F$3</f>
        <v>0.36095467669987163</v>
      </c>
      <c r="K114" s="2">
        <f>(1-BESSELJ(2*H114,1)/H114)*BASE!M$13*G$2*G$3</f>
        <v>0.36095467669987163</v>
      </c>
      <c r="L114" s="2" t="str">
        <f>IMPRODUCT(COMPLEX(1-BESSELJ(2*F114,1)/F114,(STRUVE(2*F114)/(2*F114^2))),PI()*(BASE!E$15/100)^2*E$2*E$3)</f>
        <v>0.360954676699872+1.59353707219837i</v>
      </c>
      <c r="M114" s="2" t="str">
        <f>IMPRODUCT(COMPLEX(1-BESSELJ(2*G114,1)/G114,(STRUVE(2*G114)/(2*G114^2))),PI()*(BASE!F$15/100)^2*F$2*F$3)</f>
        <v>0.360954676699872+1.59353707219837i</v>
      </c>
      <c r="N114" s="2" t="str">
        <f>IMPRODUCT(COMPLEX(1-BESSELJ(2*H114,1)/H114,(STRUVE(2*H114)/(2*H114^2))),PI()*(BASE!G$15/100)^2*G$2*G$3)</f>
        <v>0.360954676699872+1.59353707219837i</v>
      </c>
      <c r="O114" s="2" t="str">
        <f>IMSUM(IMPRODUCT(IF($O$3=1,L114,COMPLEX(I114,$D114*BASE!K$15)),2),COMPLEX(BASE!E$36,$D114*BASE!K$14-BASE!K$10/$D114))</f>
        <v>1.52190935339974+11.9966262913027i</v>
      </c>
      <c r="P114" s="2" t="str">
        <f>IMSUM(IMPRODUCT(IF($O$3=1,M114,COMPLEX(J114,$D114*BASE!L$15)),2),COMPLEX(BASE!F$36,$D114*BASE!L$14-BASE!L$10/$D114))</f>
        <v>1.52190935339974+11.6414740367946i</v>
      </c>
      <c r="Q114" s="2" t="str">
        <f>IMSUM(IMPRODUCT(IF($O$3=1,N114,COMPLEX(K114,$D114*BASE!M$15)),2),COMPLEX(BASE!G$36,$D114*BASE!M$14-BASE!M$10/$D114))</f>
        <v>1.52190935339974+10.9311695277783i</v>
      </c>
      <c r="R114" s="2" t="str">
        <f>COMPLEX(BASE!E$19,FRES!$D114*BASE!K$36)</f>
        <v>7.2+0.576166060217612i</v>
      </c>
      <c r="S114" s="2" t="str">
        <f>COMPLEX(BASE!F$19,FRES!$D114*BASE!L$36)</f>
        <v>7.2+0.576166060217612i</v>
      </c>
      <c r="T114" s="2" t="str">
        <f>COMPLEX(BASE!G$19,FRES!$D114*BASE!M$36)</f>
        <v>7.2+0.576166060217612i</v>
      </c>
      <c r="U114" s="2" t="str">
        <f>IMDIV(BASE!K$21*BASE!E$38,IMPRODUCT(FRES!R114,IMSUM(FRES!O114,IMDIV(BASE!K$21^2,FRES!R114))))</f>
        <v>0.0149378706094463-0.097055537304161i</v>
      </c>
      <c r="V114" s="2" t="str">
        <f>IMDIV(BASE!L$21*BASE!F$38,IMPRODUCT(FRES!S114,IMSUM(FRES!P114,IMDIV(BASE!L$21^2,FRES!S114))))</f>
        <v>0.0160601624764518-0.0997690544223416i</v>
      </c>
      <c r="W114" s="2" t="str">
        <f>IMDIV(BASE!M$21*BASE!G$38,IMPRODUCT(FRES!T114,IMSUM(FRES!Q114,IMDIV(BASE!M$21^2,FRES!T114))))</f>
        <v>0.0186417429516971-0.105642449906991i</v>
      </c>
      <c r="X114" s="2" t="str">
        <f t="shared" si="52"/>
        <v>-0.0000468972692327493-7.21798425101441E-06i</v>
      </c>
      <c r="Y114" s="2" t="str">
        <f t="shared" si="51"/>
        <v>-0.0000482084416438626-7.76027606976699E-06i</v>
      </c>
      <c r="Z114" s="2" t="str">
        <f t="shared" si="51"/>
        <v>-0.0000510464683758233-9.00769664932827E-06i</v>
      </c>
      <c r="AA114" s="44" t="str">
        <f>IMPRODUCT(COMPLEX(0,$D114),U114,E$2,BASE!E$15^2/10000,1/(2*BASE!$U$3))</f>
        <v>0.478327588795204+0.0736196597207944i</v>
      </c>
      <c r="AB114" s="44" t="str">
        <f>IMPRODUCT(COMPLEX(0,$D114),V114,F$2,BASE!F$15^2/10000,1/(2*BASE!$U$3))</f>
        <v>0.491700860803644+0.0791507523053099i</v>
      </c>
      <c r="AC114" s="44" t="str">
        <f>IMPRODUCT(COMPLEX(0,$D114),W114,G$2,BASE!G$15^2/10000,1/(2*BASE!$U$3))</f>
        <v>0.520647247359711+0.0918737890150548i</v>
      </c>
      <c r="AD114" s="44">
        <f t="shared" si="32"/>
        <v>0.15271222980235705</v>
      </c>
      <c r="AE114" s="44">
        <f t="shared" si="33"/>
        <v>0.15960420680176848</v>
      </c>
      <c r="AF114" s="44">
        <f t="shared" si="34"/>
        <v>0.17466263042979008</v>
      </c>
      <c r="AG114" s="31">
        <f t="shared" si="35"/>
        <v>87.675586757326442</v>
      </c>
      <c r="AH114" s="31">
        <f t="shared" si="36"/>
        <v>87.92452238020951</v>
      </c>
      <c r="AI114" s="31">
        <f t="shared" si="37"/>
        <v>88.443441166298527</v>
      </c>
      <c r="AJ114" s="2" t="str">
        <f>IMSUM(R114,IMDIV(BASE!K$21^2,FRES!O114))</f>
        <v>7.29765548989227-0.193614620159027i</v>
      </c>
      <c r="AK114" s="2" t="str">
        <f>IMSUM(S114,IMDIV(BASE!L$21^2,FRES!P114))</f>
        <v>7.30360317749711-0.216321152156621i</v>
      </c>
      <c r="AL114" s="2" t="str">
        <f>IMSUM(T114,IMDIV(BASE!M$21^2,FRES!Q114))</f>
        <v>7.31724049592863-0.265918084711115i</v>
      </c>
      <c r="AM114" s="31">
        <f t="shared" si="50"/>
        <v>9.8198356909593693E-2</v>
      </c>
      <c r="AN114" s="31">
        <f t="shared" si="50"/>
        <v>0.10105341676112782</v>
      </c>
      <c r="AO114" s="31">
        <f t="shared" si="50"/>
        <v>0.10727460931007042</v>
      </c>
      <c r="AP114" s="31">
        <f t="shared" si="38"/>
        <v>6.7103698230974826E-2</v>
      </c>
      <c r="AQ114" s="31">
        <f t="shared" si="39"/>
        <v>6.905469904950283E-2</v>
      </c>
      <c r="AR114" s="31">
        <f t="shared" si="40"/>
        <v>7.3305941540508818E-2</v>
      </c>
      <c r="AS114" s="2">
        <f t="shared" si="41"/>
        <v>110.48609812487261</v>
      </c>
      <c r="AT114" s="2">
        <f t="shared" si="42"/>
        <v>110.50803596901525</v>
      </c>
      <c r="AU114" s="2">
        <f t="shared" si="43"/>
        <v>110.55596842012667</v>
      </c>
      <c r="AV114" s="2">
        <f t="shared" si="44"/>
        <v>110.48609812487261</v>
      </c>
      <c r="AW114" s="2">
        <f t="shared" si="45"/>
        <v>110.50803596901525</v>
      </c>
      <c r="AX114" s="2">
        <f t="shared" si="46"/>
        <v>110.55596842012667</v>
      </c>
      <c r="AY114">
        <f t="shared" si="47"/>
        <v>7.3002234397512868</v>
      </c>
      <c r="AZ114">
        <f t="shared" si="48"/>
        <v>7.306806020089506</v>
      </c>
      <c r="BA114">
        <f t="shared" si="49"/>
        <v>7.3220708070213503</v>
      </c>
    </row>
    <row r="115" spans="1:53" x14ac:dyDescent="0.2">
      <c r="A115" s="2">
        <v>111</v>
      </c>
      <c r="B115" s="2"/>
      <c r="C115" s="1">
        <v>339.02819019497434</v>
      </c>
      <c r="D115" s="2">
        <f t="shared" si="53"/>
        <v>2130.1769433527493</v>
      </c>
      <c r="E115" s="2"/>
      <c r="F115" s="2">
        <f>$D115*BASE!E$15/100/E$3</f>
        <v>0.39011961462564887</v>
      </c>
      <c r="G115" s="2">
        <f>$D115*BASE!F$15/100/F$3</f>
        <v>0.39011961462564887</v>
      </c>
      <c r="H115" s="2">
        <f>$D115*BASE!G$15/100/G$3</f>
        <v>0.39011961462564887</v>
      </c>
      <c r="I115" s="2">
        <f>(1-BESSELJ(2*F115,1)/F115)*BASE!K$13*E$2*E$3</f>
        <v>0.38187412968668949</v>
      </c>
      <c r="J115" s="2">
        <f>(1-BESSELJ(2*G115,1)/G115)*BASE!L$13*F$2*F$3</f>
        <v>0.38187412968668949</v>
      </c>
      <c r="K115" s="2">
        <f>(1-BESSELJ(2*H115,1)/H115)*BASE!M$13*G$2*G$3</f>
        <v>0.38187412968668949</v>
      </c>
      <c r="L115" s="2" t="str">
        <f>IMPRODUCT(COMPLEX(1-BESSELJ(2*F115,1)/F115,(STRUVE(2*F115)/(2*F115^2))),PI()*(BASE!E$15/100)^2*E$2*E$3)</f>
        <v>0.38187412968669+1.63647819221163i</v>
      </c>
      <c r="M115" s="2" t="str">
        <f>IMPRODUCT(COMPLEX(1-BESSELJ(2*G115,1)/G115,(STRUVE(2*G115)/(2*G115^2))),PI()*(BASE!F$15/100)^2*F$2*F$3)</f>
        <v>0.38187412968669+1.63647819221163i</v>
      </c>
      <c r="N115" s="2" t="str">
        <f>IMPRODUCT(COMPLEX(1-BESSELJ(2*H115,1)/H115,(STRUVE(2*H115)/(2*H115^2))),PI()*(BASE!G$15/100)^2*G$2*G$3)</f>
        <v>0.38187412968669+1.63647819221163i</v>
      </c>
      <c r="O115" s="2" t="str">
        <f>IMSUM(IMPRODUCT(IF($O$3=1,L115,COMPLEX(I115,$D115*BASE!K$15)),2),COMPLEX(BASE!E$36,$D115*BASE!K$14-BASE!K$10/$D115))</f>
        <v>1.56374825937338+12.3686577007304i</v>
      </c>
      <c r="P115" s="2" t="str">
        <f>IMSUM(IMPRODUCT(IF($O$3=1,M115,COMPLEX(J115,$D115*BASE!L$15)),2),COMPLEX(BASE!F$36,$D115*BASE!L$14-BASE!L$10/$D115))</f>
        <v>1.56374825937338+12.023615941503i</v>
      </c>
      <c r="Q115" s="2" t="str">
        <f>IMSUM(IMPRODUCT(IF($O$3=1,N115,COMPLEX(K115,$D115*BASE!M$15)),2),COMPLEX(BASE!G$36,$D115*BASE!M$14-BASE!M$10/$D115))</f>
        <v>1.56374825937338+11.3335324230483i</v>
      </c>
      <c r="R115" s="2" t="str">
        <f>COMPLEX(BASE!E$19,FRES!$D115*BASE!K$36)</f>
        <v>7.2+0.593049014460056i</v>
      </c>
      <c r="S115" s="2" t="str">
        <f>COMPLEX(BASE!F$19,FRES!$D115*BASE!L$36)</f>
        <v>7.2+0.593049014460056i</v>
      </c>
      <c r="T115" s="2" t="str">
        <f>COMPLEX(BASE!G$19,FRES!$D115*BASE!M$36)</f>
        <v>7.2+0.593049014460056i</v>
      </c>
      <c r="U115" s="2" t="str">
        <f>IMDIV(BASE!K$21*BASE!E$38,IMPRODUCT(FRES!R115,IMSUM(FRES!O115,IMDIV(BASE!K$21^2,FRES!R115))))</f>
        <v>0.0139427152415785-0.0942792689922171i</v>
      </c>
      <c r="V115" s="2" t="str">
        <f>IMDIV(BASE!L$21*BASE!F$38,IMPRODUCT(FRES!S115,IMSUM(FRES!P115,IMDIV(BASE!L$21^2,FRES!S115))))</f>
        <v>0.0149435470568044-0.0967689651085233i</v>
      </c>
      <c r="W115" s="2" t="str">
        <f>IMDIV(BASE!M$21*BASE!G$38,IMPRODUCT(FRES!T115,IMSUM(FRES!Q115,IMDIV(BASE!M$21^2,FRES!T115))))</f>
        <v>0.0172282977337089-0.102135389136266i</v>
      </c>
      <c r="X115" s="2" t="str">
        <f t="shared" si="52"/>
        <v>-0.0000442588909275434-6.54533196647675E-06i</v>
      </c>
      <c r="Y115" s="2" t="str">
        <f t="shared" si="51"/>
        <v>-0.0000454276652512329-7.01516702799548E-06i</v>
      </c>
      <c r="Z115" s="2" t="str">
        <f t="shared" si="51"/>
        <v>-0.0000479469038733994-0.0000080877308279343i</v>
      </c>
      <c r="AA115" s="44" t="str">
        <f>IMPRODUCT(COMPLEX(0,$D115),U115,E$2,BASE!E$15^2/10000,1/(2*BASE!$U$3))</f>
        <v>0.478260193738288+0.070728652904867i</v>
      </c>
      <c r="AB115" s="44" t="str">
        <f>IMPRODUCT(COMPLEX(0,$D115),V115,F$2,BASE!F$15^2/10000,1/(2*BASE!$U$3))</f>
        <v>0.490889932594582+0.0758056759128508i</v>
      </c>
      <c r="AC115" s="44" t="str">
        <f>IMPRODUCT(COMPLEX(0,$D115),W115,G$2,BASE!G$15^2/10000,1/(2*BASE!$U$3))</f>
        <v>0.518112746502929+0.087395766852888i</v>
      </c>
      <c r="AD115" s="44">
        <f t="shared" si="32"/>
        <v>0.14682319005051522</v>
      </c>
      <c r="AE115" s="44">
        <f t="shared" si="33"/>
        <v>0.15321473773885882</v>
      </c>
      <c r="AF115" s="44">
        <f t="shared" si="34"/>
        <v>0.16710790928438751</v>
      </c>
      <c r="AG115" s="31">
        <f t="shared" si="35"/>
        <v>87.666644182460601</v>
      </c>
      <c r="AH115" s="31">
        <f t="shared" si="36"/>
        <v>87.901433553903487</v>
      </c>
      <c r="AI115" s="31">
        <f t="shared" si="37"/>
        <v>88.389731272788126</v>
      </c>
      <c r="AJ115" s="2" t="str">
        <f>IMSUM(R115,IMDIV(BASE!K$21^2,FRES!O115))</f>
        <v>7.29440494230152-0.153658398056947i</v>
      </c>
      <c r="AK115" s="2" t="str">
        <f>IMSUM(S115,IMDIV(BASE!L$21^2,FRES!P115))</f>
        <v>7.29980954745629-0.174383760423144i</v>
      </c>
      <c r="AL115" s="2" t="str">
        <f>IMSUM(T115,IMDIV(BASE!M$21^2,FRES!Q115))</f>
        <v>7.31210014334689-0.219415908608501i</v>
      </c>
      <c r="AM115" s="31">
        <f t="shared" si="50"/>
        <v>9.5304668668510534E-2</v>
      </c>
      <c r="AN115" s="31">
        <f t="shared" si="50"/>
        <v>9.7915995663699018E-2</v>
      </c>
      <c r="AO115" s="31">
        <f t="shared" si="50"/>
        <v>0.10357824074977234</v>
      </c>
      <c r="AP115" s="31">
        <f t="shared" si="38"/>
        <v>6.3272281398532901E-2</v>
      </c>
      <c r="AQ115" s="31">
        <f t="shared" si="39"/>
        <v>6.5005928015970174E-2</v>
      </c>
      <c r="AR115" s="31">
        <f t="shared" si="40"/>
        <v>6.876506352778454E-2</v>
      </c>
      <c r="AS115" s="2">
        <f t="shared" si="41"/>
        <v>110.46735272914121</v>
      </c>
      <c r="AT115" s="2">
        <f t="shared" si="42"/>
        <v>110.48769765731336</v>
      </c>
      <c r="AU115" s="2">
        <f t="shared" si="43"/>
        <v>110.53192099584724</v>
      </c>
      <c r="AV115" s="2">
        <f t="shared" si="44"/>
        <v>110.46735272914121</v>
      </c>
      <c r="AW115" s="2">
        <f t="shared" si="45"/>
        <v>110.48769765731336</v>
      </c>
      <c r="AX115" s="2">
        <f t="shared" si="46"/>
        <v>110.53192099584724</v>
      </c>
      <c r="AY115">
        <f t="shared" si="47"/>
        <v>7.2960231883928559</v>
      </c>
      <c r="AZ115">
        <f t="shared" si="48"/>
        <v>7.3018921606001097</v>
      </c>
      <c r="BA115">
        <f t="shared" si="49"/>
        <v>7.3153914350008717</v>
      </c>
    </row>
    <row r="116" spans="1:53" x14ac:dyDescent="0.2">
      <c r="A116" s="2">
        <v>112</v>
      </c>
      <c r="B116" s="2"/>
      <c r="C116" s="1">
        <v>348.9624744528823</v>
      </c>
      <c r="D116" s="2">
        <f t="shared" si="53"/>
        <v>2192.595892239382</v>
      </c>
      <c r="E116" s="2"/>
      <c r="F116" s="2">
        <f>$D116*BASE!E$15/100/E$3</f>
        <v>0.40155099189267746</v>
      </c>
      <c r="G116" s="2">
        <f>$D116*BASE!F$15/100/F$3</f>
        <v>0.40155099189267746</v>
      </c>
      <c r="H116" s="2">
        <f>$D116*BASE!G$15/100/G$3</f>
        <v>0.40155099189267746</v>
      </c>
      <c r="I116" s="2">
        <f>(1-BESSELJ(2*F116,1)/F116)*BASE!K$13*E$2*E$3</f>
        <v>0.4039717919893438</v>
      </c>
      <c r="J116" s="2">
        <f>(1-BESSELJ(2*G116,1)/G116)*BASE!L$13*F$2*F$3</f>
        <v>0.4039717919893438</v>
      </c>
      <c r="K116" s="2">
        <f>(1-BESSELJ(2*H116,1)/H116)*BASE!M$13*G$2*G$3</f>
        <v>0.4039717919893438</v>
      </c>
      <c r="L116" s="2" t="str">
        <f>IMPRODUCT(COMPLEX(1-BESSELJ(2*F116,1)/F116,(STRUVE(2*F116)/(2*F116^2))),PI()*(BASE!E$15/100)^2*E$2*E$3)</f>
        <v>0.403971791989344+1.68034616854029i</v>
      </c>
      <c r="M116" s="2" t="str">
        <f>IMPRODUCT(COMPLEX(1-BESSELJ(2*G116,1)/G116,(STRUVE(2*G116)/(2*G116^2))),PI()*(BASE!F$15/100)^2*F$2*F$3)</f>
        <v>0.403971791989344+1.68034616854029i</v>
      </c>
      <c r="N116" s="2" t="str">
        <f>IMPRODUCT(COMPLEX(1-BESSELJ(2*H116,1)/H116,(STRUVE(2*H116)/(2*H116^2))),PI()*(BASE!G$15/100)^2*G$2*G$3)</f>
        <v>0.403971791989344+1.68034616854029i</v>
      </c>
      <c r="O116" s="2" t="str">
        <f>IMSUM(IMPRODUCT(IF($O$3=1,L116,COMPLEX(I116,$D116*BASE!K$15)),2),COMPLEX(BASE!E$36,$D116*BASE!K$14-BASE!K$10/$D116))</f>
        <v>1.60794358397869+12.7510067697919i</v>
      </c>
      <c r="P116" s="2" t="str">
        <f>IMSUM(IMPRODUCT(IF($O$3=1,M116,COMPLEX(J116,$D116*BASE!L$15)),2),COMPLEX(BASE!F$36,$D116*BASE!L$14-BASE!L$10/$D116))</f>
        <v>1.60794358397869+12.4157876796706i</v>
      </c>
      <c r="Q116" s="2" t="str">
        <f>IMSUM(IMPRODUCT(IF($O$3=1,N116,COMPLEX(K116,$D116*BASE!M$15)),2),COMPLEX(BASE!G$36,$D116*BASE!M$14-BASE!M$10/$D116))</f>
        <v>1.60794358397869+11.7453494994282i</v>
      </c>
      <c r="R116" s="2" t="str">
        <f>COMPLEX(BASE!E$19,FRES!$D116*BASE!K$36)</f>
        <v>7.2+0.610426677022955i</v>
      </c>
      <c r="S116" s="2" t="str">
        <f>COMPLEX(BASE!F$19,FRES!$D116*BASE!L$36)</f>
        <v>7.2+0.610426677022955i</v>
      </c>
      <c r="T116" s="2" t="str">
        <f>COMPLEX(BASE!G$19,FRES!$D116*BASE!M$36)</f>
        <v>7.2+0.610426677022955i</v>
      </c>
      <c r="U116" s="2" t="str">
        <f>IMDIV(BASE!K$21*BASE!E$38,IMPRODUCT(FRES!R116,IMSUM(FRES!O116,IMDIV(BASE!K$21^2,FRES!R116))))</f>
        <v>0.0130053421489952-0.0915797836046598i</v>
      </c>
      <c r="V116" s="2" t="str">
        <f>IMDIV(BASE!L$21*BASE!F$38,IMPRODUCT(FRES!S116,IMSUM(FRES!P116,IMDIV(BASE!L$21^2,FRES!S116))))</f>
        <v>0.0138982202272597-0.0938638777275967i</v>
      </c>
      <c r="W116" s="2" t="str">
        <f>IMDIV(BASE!M$21*BASE!G$38,IMPRODUCT(FRES!T116,IMSUM(FRES!Q116,IMDIV(BASE!M$21^2,FRES!T116))))</f>
        <v>0.0159219816626846-0.0987675321693434i</v>
      </c>
      <c r="X116" s="2" t="str">
        <f t="shared" si="52"/>
        <v>-0.0000417677438550366-5.93148158081805E-06i</v>
      </c>
      <c r="Y116" s="2" t="str">
        <f t="shared" si="51"/>
        <v>-0.0000428094744042095-6.33870576719221E-06i</v>
      </c>
      <c r="Z116" s="2" t="str">
        <f t="shared" si="51"/>
        <v>-0.0000450459350575853-7.26170368148546E-06i</v>
      </c>
      <c r="AA116" s="44" t="str">
        <f>IMPRODUCT(COMPLEX(0,$D116),U116,E$2,BASE!E$15^2/10000,1/(2*BASE!$U$3))</f>
        <v>0.478179064918402+0.0679067159035521i</v>
      </c>
      <c r="AB116" s="44" t="str">
        <f>IMPRODUCT(COMPLEX(0,$D116),V116,F$2,BASE!F$15^2/10000,1/(2*BASE!$U$3))</f>
        <v>0.490105343283577+0.072568832232564i</v>
      </c>
      <c r="AC116" s="44" t="str">
        <f>IMPRODUCT(COMPLEX(0,$D116),W116,G$2,BASE!G$15^2/10000,1/(2*BASE!$U$3))</f>
        <v>0.515709519263723+0.0831357970442188i</v>
      </c>
      <c r="AD116" s="44">
        <f t="shared" si="32"/>
        <v>0.14106779541773809</v>
      </c>
      <c r="AE116" s="44">
        <f t="shared" si="33"/>
        <v>0.14699975644936175</v>
      </c>
      <c r="AF116" s="44">
        <f t="shared" si="34"/>
        <v>0.15983155792451748</v>
      </c>
      <c r="AG116" s="31">
        <f t="shared" si="35"/>
        <v>87.657924566276421</v>
      </c>
      <c r="AH116" s="31">
        <f t="shared" si="36"/>
        <v>87.87937516453475</v>
      </c>
      <c r="AI116" s="31">
        <f t="shared" si="37"/>
        <v>88.338924079056383</v>
      </c>
      <c r="AJ116" s="2" t="str">
        <f>IMSUM(R116,IMDIV(BASE!K$21^2,FRES!O116))</f>
        <v>7.29134609263601-0.11394864136583i</v>
      </c>
      <c r="AK116" s="2" t="str">
        <f>IMSUM(S116,IMDIV(BASE!L$21^2,FRES!P116))</f>
        <v>7.29626279990655-0.132869603393176i</v>
      </c>
      <c r="AL116" s="2" t="str">
        <f>IMSUM(T116,IMDIV(BASE!M$21^2,FRES!Q116))</f>
        <v>7.30735808876735-0.173778867703312i</v>
      </c>
      <c r="AM116" s="31">
        <f t="shared" si="50"/>
        <v>9.2498625338373261E-2</v>
      </c>
      <c r="AN116" s="31">
        <f t="shared" si="50"/>
        <v>9.4887238697027296E-2</v>
      </c>
      <c r="AO116" s="31">
        <f t="shared" si="50"/>
        <v>0.10004266545274144</v>
      </c>
      <c r="AP116" s="31">
        <f t="shared" si="38"/>
        <v>5.9661158226831837E-2</v>
      </c>
      <c r="AQ116" s="31">
        <f t="shared" si="39"/>
        <v>6.1201802090587239E-2</v>
      </c>
      <c r="AR116" s="31">
        <f t="shared" si="40"/>
        <v>6.4527026982031208E-2</v>
      </c>
      <c r="AS116" s="2">
        <f t="shared" si="41"/>
        <v>110.44903273903618</v>
      </c>
      <c r="AT116" s="2">
        <f t="shared" si="42"/>
        <v>110.46791475744442</v>
      </c>
      <c r="AU116" s="2">
        <f t="shared" si="43"/>
        <v>110.50875965011531</v>
      </c>
      <c r="AV116" s="2">
        <f t="shared" si="44"/>
        <v>110.44903273903618</v>
      </c>
      <c r="AW116" s="2">
        <f t="shared" si="45"/>
        <v>110.46791475744442</v>
      </c>
      <c r="AX116" s="2">
        <f t="shared" si="46"/>
        <v>110.50875965011531</v>
      </c>
      <c r="AY116">
        <f t="shared" si="47"/>
        <v>7.2922364289336867</v>
      </c>
      <c r="AZ116">
        <f t="shared" si="48"/>
        <v>7.2974725197705297</v>
      </c>
      <c r="BA116">
        <f t="shared" si="49"/>
        <v>7.3094241450564263</v>
      </c>
    </row>
    <row r="117" spans="1:53" x14ac:dyDescent="0.2">
      <c r="A117" s="2">
        <v>113</v>
      </c>
      <c r="B117" s="2"/>
      <c r="C117" s="1">
        <v>359.18785545899942</v>
      </c>
      <c r="D117" s="2">
        <f t="shared" si="53"/>
        <v>2256.8438559373303</v>
      </c>
      <c r="E117" s="2"/>
      <c r="F117" s="2">
        <f>$D117*BASE!E$15/100/E$3</f>
        <v>0.41331733408154597</v>
      </c>
      <c r="G117" s="2">
        <f>$D117*BASE!F$15/100/F$3</f>
        <v>0.41331733408154597</v>
      </c>
      <c r="H117" s="2">
        <f>$D117*BASE!G$15/100/G$3</f>
        <v>0.41331733408154597</v>
      </c>
      <c r="I117" s="2">
        <f>(1-BESSELJ(2*F117,1)/F117)*BASE!K$13*E$2*E$3</f>
        <v>0.42730984286071833</v>
      </c>
      <c r="J117" s="2">
        <f>(1-BESSELJ(2*G117,1)/G117)*BASE!L$13*F$2*F$3</f>
        <v>0.42730984286071833</v>
      </c>
      <c r="K117" s="2">
        <f>(1-BESSELJ(2*H117,1)/H117)*BASE!M$13*G$2*G$3</f>
        <v>0.42730984286071833</v>
      </c>
      <c r="L117" s="2" t="str">
        <f>IMPRODUCT(COMPLEX(1-BESSELJ(2*F117,1)/F117,(STRUVE(2*F117)/(2*F117^2))),PI()*(BASE!E$15/100)^2*E$2*E$3)</f>
        <v>0.427309842860718+1.72513943251753i</v>
      </c>
      <c r="M117" s="2" t="str">
        <f>IMPRODUCT(COMPLEX(1-BESSELJ(2*G117,1)/G117,(STRUVE(2*G117)/(2*G117^2))),PI()*(BASE!F$15/100)^2*F$2*F$3)</f>
        <v>0.427309842860718+1.72513943251753i</v>
      </c>
      <c r="N117" s="2" t="str">
        <f>IMPRODUCT(COMPLEX(1-BESSELJ(2*H117,1)/H117,(STRUVE(2*H117)/(2*H117^2))),PI()*(BASE!G$15/100)^2*G$2*G$3)</f>
        <v>0.427309842860718+1.72513943251753i</v>
      </c>
      <c r="O117" s="2" t="str">
        <f>IMSUM(IMPRODUCT(IF($O$3=1,L117,COMPLEX(I117,$D117*BASE!K$15)),2),COMPLEX(BASE!E$36,$D117*BASE!K$14-BASE!K$10/$D117))</f>
        <v>1.65461968572144+13.1439924455914i</v>
      </c>
      <c r="P117" s="2" t="str">
        <f>IMSUM(IMPRODUCT(IF($O$3=1,M117,COMPLEX(J117,$D117*BASE!L$15)),2),COMPLEX(BASE!F$36,$D117*BASE!L$14-BASE!L$10/$D117))</f>
        <v>1.65461968572144+12.8183163922542i</v>
      </c>
      <c r="Q117" s="2" t="str">
        <f>IMSUM(IMPRODUCT(IF($O$3=1,N117,COMPLEX(K117,$D117*BASE!M$15)),2),COMPLEX(BASE!G$36,$D117*BASE!M$14-BASE!M$10/$D117))</f>
        <v>1.65461968572144+12.1669642855797i</v>
      </c>
      <c r="R117" s="2" t="str">
        <f>COMPLEX(BASE!E$19,FRES!$D117*BASE!K$36)</f>
        <v>7.2+0.628313543966582i</v>
      </c>
      <c r="S117" s="2" t="str">
        <f>COMPLEX(BASE!F$19,FRES!$D117*BASE!L$36)</f>
        <v>7.2+0.628313543966582i</v>
      </c>
      <c r="T117" s="2" t="str">
        <f>COMPLEX(BASE!G$19,FRES!$D117*BASE!M$36)</f>
        <v>7.2+0.628313543966582i</v>
      </c>
      <c r="U117" s="2" t="str">
        <f>IMDIV(BASE!K$21*BASE!E$38,IMPRODUCT(FRES!R117,IMSUM(FRES!O117,IMDIV(BASE!K$21^2,FRES!R117))))</f>
        <v>0.0121221762911527-0.0889550723320105i</v>
      </c>
      <c r="V117" s="2" t="str">
        <f>IMDIV(BASE!L$21*BASE!F$38,IMPRODUCT(FRES!S117,IMSUM(FRES!P117,IMDIV(BASE!L$21^2,FRES!S117))))</f>
        <v>0.0129190620434923-0.0910503392374264i</v>
      </c>
      <c r="W117" s="2" t="str">
        <f>IMDIV(BASE!M$21*BASE!G$38,IMPRODUCT(FRES!T117,IMSUM(FRES!Q117,IMDIV(BASE!M$21^2,FRES!T117))))</f>
        <v>0.0147131045458161-0.0955315515982272i</v>
      </c>
      <c r="X117" s="2" t="str">
        <f t="shared" si="52"/>
        <v>-0.0000394156964372996-5.37129596239525E-06i</v>
      </c>
      <c r="Y117" s="2" t="str">
        <f t="shared" si="51"/>
        <v>-0.0000403441022283798-5.72439338658928E-06i</v>
      </c>
      <c r="Z117" s="2" t="str">
        <f t="shared" si="51"/>
        <v>-0.0000423297125084227-6.51932764737299E-06i</v>
      </c>
      <c r="AA117" s="44" t="str">
        <f>IMPRODUCT(COMPLEX(0,$D117),U117,E$2,BASE!E$15^2/10000,1/(2*BASE!$U$3))</f>
        <v>0.478084406895587+0.0651500056209162i</v>
      </c>
      <c r="AB117" s="44" t="str">
        <f>IMPRODUCT(COMPLEX(0,$D117),V117,F$2,BASE!F$15^2/10000,1/(2*BASE!$U$3))</f>
        <v>0.489345309837973+0.0694328266257587i</v>
      </c>
      <c r="AC117" s="44" t="str">
        <f>IMPRODUCT(COMPLEX(0,$D117),W117,G$2,BASE!G$15^2/10000,1/(2*BASE!$U$3))</f>
        <v>0.513429352462215+0.0790748146898874i</v>
      </c>
      <c r="AD117" s="44">
        <f t="shared" si="32"/>
        <v>0.13543875013644024</v>
      </c>
      <c r="AE117" s="44">
        <f t="shared" si="33"/>
        <v>0.14094836654394044</v>
      </c>
      <c r="AF117" s="44">
        <f t="shared" si="34"/>
        <v>0.15281235047234937</v>
      </c>
      <c r="AG117" s="31">
        <f t="shared" si="35"/>
        <v>87.649401907077703</v>
      </c>
      <c r="AH117" s="31">
        <f t="shared" si="36"/>
        <v>87.858274749516454</v>
      </c>
      <c r="AI117" s="31">
        <f t="shared" si="37"/>
        <v>88.290825903154499</v>
      </c>
      <c r="AJ117" s="2" t="str">
        <f>IMSUM(R117,IMDIV(BASE!K$21^2,FRES!O117))</f>
        <v>7.28846578092509-0.074442241067967i</v>
      </c>
      <c r="AK117" s="2" t="str">
        <f>IMSUM(S117,IMDIV(BASE!L$21^2,FRES!P117))</f>
        <v>7.29294359203535-0.091719210159773i</v>
      </c>
      <c r="AL117" s="2" t="str">
        <f>IMSUM(T117,IMDIV(BASE!M$21^2,FRES!Q117))</f>
        <v>7.30297580047664-0.128901481026863i</v>
      </c>
      <c r="AM117" s="31">
        <f t="shared" si="50"/>
        <v>8.977723570943251E-2</v>
      </c>
      <c r="AN117" s="31">
        <f t="shared" si="50"/>
        <v>9.1962309884724161E-2</v>
      </c>
      <c r="AO117" s="31">
        <f t="shared" si="50"/>
        <v>9.6657916365607929E-2</v>
      </c>
      <c r="AP117" s="31">
        <f t="shared" si="38"/>
        <v>5.6257407440318402E-2</v>
      </c>
      <c r="AQ117" s="31">
        <f t="shared" si="39"/>
        <v>5.7626647729299457E-2</v>
      </c>
      <c r="AR117" s="31">
        <f t="shared" si="40"/>
        <v>6.0569071216579166E-2</v>
      </c>
      <c r="AS117" s="2">
        <f t="shared" si="41"/>
        <v>110.43111493140805</v>
      </c>
      <c r="AT117" s="2">
        <f t="shared" si="42"/>
        <v>110.44865258512392</v>
      </c>
      <c r="AU117" s="2">
        <f t="shared" si="43"/>
        <v>110.4864168188633</v>
      </c>
      <c r="AV117" s="2">
        <f t="shared" si="44"/>
        <v>110.43111493140805</v>
      </c>
      <c r="AW117" s="2">
        <f t="shared" si="45"/>
        <v>110.44865258512392</v>
      </c>
      <c r="AX117" s="2">
        <f t="shared" si="46"/>
        <v>110.4864168188633</v>
      </c>
      <c r="AY117">
        <f t="shared" si="47"/>
        <v>7.2888459365643889</v>
      </c>
      <c r="AZ117">
        <f t="shared" si="48"/>
        <v>7.2935203194425808</v>
      </c>
      <c r="BA117">
        <f t="shared" si="49"/>
        <v>7.3041133023905331</v>
      </c>
    </row>
    <row r="118" spans="1:53" x14ac:dyDescent="0.2">
      <c r="A118" s="2">
        <v>114</v>
      </c>
      <c r="B118" s="2"/>
      <c r="C118" s="1">
        <v>369.71286299912731</v>
      </c>
      <c r="D118" s="2">
        <f t="shared" si="53"/>
        <v>2322.9744286714158</v>
      </c>
      <c r="E118" s="2"/>
      <c r="F118" s="2">
        <f>$D118*BASE!E$15/100/E$3</f>
        <v>0.42542845641366051</v>
      </c>
      <c r="G118" s="2">
        <f>$D118*BASE!F$15/100/F$3</f>
        <v>0.42542845641366051</v>
      </c>
      <c r="H118" s="2">
        <f>$D118*BASE!G$15/100/G$3</f>
        <v>0.42542845641366051</v>
      </c>
      <c r="I118" s="2">
        <f>(1-BESSELJ(2*F118,1)/F118)*BASE!K$13*E$2*E$3</f>
        <v>0.4519532252911927</v>
      </c>
      <c r="J118" s="2">
        <f>(1-BESSELJ(2*G118,1)/G118)*BASE!L$13*F$2*F$3</f>
        <v>0.4519532252911927</v>
      </c>
      <c r="K118" s="2">
        <f>(1-BESSELJ(2*H118,1)/H118)*BASE!M$13*G$2*G$3</f>
        <v>0.4519532252911927</v>
      </c>
      <c r="L118" s="2" t="str">
        <f>IMPRODUCT(COMPLEX(1-BESSELJ(2*F118,1)/F118,(STRUVE(2*F118)/(2*F118^2))),PI()*(BASE!E$15/100)^2*E$2*E$3)</f>
        <v>0.451953225291192+1.77085396274124i</v>
      </c>
      <c r="M118" s="2" t="str">
        <f>IMPRODUCT(COMPLEX(1-BESSELJ(2*G118,1)/G118,(STRUVE(2*G118)/(2*G118^2))),PI()*(BASE!F$15/100)^2*F$2*F$3)</f>
        <v>0.451953225291192+1.77085396274124i</v>
      </c>
      <c r="N118" s="2" t="str">
        <f>IMPRODUCT(COMPLEX(1-BESSELJ(2*H118,1)/H118,(STRUVE(2*H118)/(2*H118^2))),PI()*(BASE!G$15/100)^2*G$2*G$3)</f>
        <v>0.451953225291192+1.77085396274124i</v>
      </c>
      <c r="O118" s="2" t="str">
        <f>IMSUM(IMPRODUCT(IF($O$3=1,L118,COMPLEX(I118,$D118*BASE!K$15)),2),COMPLEX(BASE!E$36,$D118*BASE!K$14-BASE!K$10/$D118))</f>
        <v>1.70390645058239+13.5479425480542i</v>
      </c>
      <c r="P118" s="2" t="str">
        <f>IMSUM(IMPRODUCT(IF($O$3=1,M118,COMPLEX(J118,$D118*BASE!L$15)),2),COMPLEX(BASE!F$36,$D118*BASE!L$14-BASE!L$10/$D118))</f>
        <v>1.70390645058239+13.2315378597682i</v>
      </c>
      <c r="Q118" s="2" t="str">
        <f>IMSUM(IMPRODUCT(IF($O$3=1,N118,COMPLEX(K118,$D118*BASE!M$15)),2),COMPLEX(BASE!G$36,$D118*BASE!M$14-BASE!M$10/$D118))</f>
        <v>1.70390645058239+12.5987284831963i</v>
      </c>
      <c r="R118" s="2" t="str">
        <f>COMPLEX(BASE!E$19,FRES!$D118*BASE!K$36)</f>
        <v>7.2+0.646724536118202i</v>
      </c>
      <c r="S118" s="2" t="str">
        <f>COMPLEX(BASE!F$19,FRES!$D118*BASE!L$36)</f>
        <v>7.2+0.646724536118202i</v>
      </c>
      <c r="T118" s="2" t="str">
        <f>COMPLEX(BASE!G$19,FRES!$D118*BASE!M$36)</f>
        <v>7.2+0.646724536118202i</v>
      </c>
      <c r="U118" s="2" t="str">
        <f>IMDIV(BASE!K$21*BASE!E$38,IMPRODUCT(FRES!R118,IMSUM(FRES!O118,IMDIV(BASE!K$21^2,FRES!R118))))</f>
        <v>0.011289872495527-0.086403157968678i</v>
      </c>
      <c r="V118" s="2" t="str">
        <f>IMDIV(BASE!L$21*BASE!F$38,IMPRODUCT(FRES!S118,IMSUM(FRES!P118,IMDIV(BASE!L$21^2,FRES!S118))))</f>
        <v>0.012001364168669-0.088325035609538i</v>
      </c>
      <c r="W118" s="2" t="str">
        <f>IMDIV(BASE!M$21*BASE!G$38,IMPRODUCT(FRES!T118,IMSUM(FRES!Q118,IMDIV(BASE!M$21^2,FRES!T118))))</f>
        <v>0.0135930056228386-0.0924205912891646i</v>
      </c>
      <c r="X118" s="2" t="str">
        <f t="shared" si="52"/>
        <v>-0.0000371950534204092-4.86009331664663E-06i</v>
      </c>
      <c r="Y118" s="2" t="str">
        <f t="shared" si="51"/>
        <v>-0.0000380223882447358-5.16637807999159E-06i</v>
      </c>
      <c r="Z118" s="2" t="str">
        <f t="shared" si="51"/>
        <v>-0.0000397854535755793-5.85155198226304E-06i</v>
      </c>
      <c r="AA118" s="44" t="str">
        <f>IMPRODUCT(COMPLEX(0,$D118),U118,E$2,BASE!E$15^2/10000,1/(2*BASE!$U$3))</f>
        <v>0.477976334369242+0.0624547990811207i</v>
      </c>
      <c r="AB118" s="44" t="str">
        <f>IMPRODUCT(COMPLEX(0,$D118),V118,F$2,BASE!F$15^2/10000,1/(2*BASE!$U$3))</f>
        <v>0.488608029454015+0.066390722140622i</v>
      </c>
      <c r="AC118" s="44" t="str">
        <f>IMPRODUCT(COMPLEX(0,$D118),W118,G$2,BASE!G$15^2/10000,1/(2*BASE!$U$3))</f>
        <v>0.511264362127211+0.0751955733263842i</v>
      </c>
      <c r="AD118" s="44">
        <f t="shared" si="32"/>
        <v>0.12992894055878729</v>
      </c>
      <c r="AE118" s="44">
        <f t="shared" si="33"/>
        <v>0.13505018943319799</v>
      </c>
      <c r="AF118" s="44">
        <f t="shared" si="34"/>
        <v>0.1460307093743772</v>
      </c>
      <c r="AG118" s="31">
        <f t="shared" si="35"/>
        <v>87.641050737302322</v>
      </c>
      <c r="AH118" s="31">
        <f t="shared" si="36"/>
        <v>87.83806306475924</v>
      </c>
      <c r="AI118" s="31">
        <f t="shared" si="37"/>
        <v>88.24525471496672</v>
      </c>
      <c r="AJ118" s="2" t="str">
        <f>IMSUM(R118,IMDIV(BASE!K$21^2,FRES!O118))</f>
        <v>7.28575179227408-0.035097141782479i</v>
      </c>
      <c r="AK118" s="2" t="str">
        <f>IMSUM(S118,IMDIV(BASE!L$21^2,FRES!P118))</f>
        <v>7.28983427772197-0.050875761349335i</v>
      </c>
      <c r="AL118" s="2" t="str">
        <f>IMSUM(T118,IMDIV(BASE!M$21^2,FRES!Q118))</f>
        <v>7.29891914361919-0.084686177082954i</v>
      </c>
      <c r="AM118" s="31">
        <f t="shared" si="50"/>
        <v>8.7137632099601944E-2</v>
      </c>
      <c r="AN118" s="31">
        <f t="shared" si="50"/>
        <v>8.9136662812420608E-2</v>
      </c>
      <c r="AO118" s="31">
        <f t="shared" si="50"/>
        <v>9.341485693454403E-2</v>
      </c>
      <c r="AP118" s="31">
        <f t="shared" si="38"/>
        <v>5.304889265561738E-2</v>
      </c>
      <c r="AQ118" s="31">
        <f t="shared" si="39"/>
        <v>5.4265891134281409E-2</v>
      </c>
      <c r="AR118" s="31">
        <f t="shared" si="40"/>
        <v>5.6870431276994947E-2</v>
      </c>
      <c r="AS118" s="2">
        <f t="shared" si="41"/>
        <v>110.41357666281247</v>
      </c>
      <c r="AT118" s="2">
        <f t="shared" si="42"/>
        <v>110.4298781042758</v>
      </c>
      <c r="AU118" s="2">
        <f t="shared" si="43"/>
        <v>110.46483018480296</v>
      </c>
      <c r="AV118" s="2">
        <f t="shared" si="44"/>
        <v>110.41357666281247</v>
      </c>
      <c r="AW118" s="2">
        <f t="shared" si="45"/>
        <v>110.4298781042758</v>
      </c>
      <c r="AX118" s="2">
        <f t="shared" si="46"/>
        <v>110.46483018480296</v>
      </c>
      <c r="AY118">
        <f t="shared" si="47"/>
        <v>7.2858363272850335</v>
      </c>
      <c r="AZ118">
        <f t="shared" si="48"/>
        <v>7.2900118065571782</v>
      </c>
      <c r="BA118">
        <f t="shared" si="49"/>
        <v>7.2994104154842265</v>
      </c>
    </row>
    <row r="119" spans="1:53" x14ac:dyDescent="0.2">
      <c r="A119" s="2">
        <v>115</v>
      </c>
      <c r="B119" s="2"/>
      <c r="C119" s="1">
        <v>380.54627680087071</v>
      </c>
      <c r="D119" s="2">
        <f t="shared" si="53"/>
        <v>2391.0427750971267</v>
      </c>
      <c r="E119" s="2"/>
      <c r="F119" s="2">
        <f>$D119*BASE!E$15/100/E$3</f>
        <v>0.4378944617183691</v>
      </c>
      <c r="G119" s="2">
        <f>$D119*BASE!F$15/100/F$3</f>
        <v>0.4378944617183691</v>
      </c>
      <c r="H119" s="2">
        <f>$D119*BASE!G$15/100/G$3</f>
        <v>0.4378944617183691</v>
      </c>
      <c r="I119" s="2">
        <f>(1-BESSELJ(2*F119,1)/F119)*BASE!K$13*E$2*E$3</f>
        <v>0.47796970186926946</v>
      </c>
      <c r="J119" s="2">
        <f>(1-BESSELJ(2*G119,1)/G119)*BASE!L$13*F$2*F$3</f>
        <v>0.47796970186926946</v>
      </c>
      <c r="K119" s="2">
        <f>(1-BESSELJ(2*H119,1)/H119)*BASE!M$13*G$2*G$3</f>
        <v>0.47796970186926946</v>
      </c>
      <c r="L119" s="2" t="str">
        <f>IMPRODUCT(COMPLEX(1-BESSELJ(2*F119,1)/F119,(STRUVE(2*F119)/(2*F119^2))),PI()*(BASE!E$15/100)^2*E$2*E$3)</f>
        <v>0.47796970186927+1.81748302458752i</v>
      </c>
      <c r="M119" s="2" t="str">
        <f>IMPRODUCT(COMPLEX(1-BESSELJ(2*G119,1)/G119,(STRUVE(2*G119)/(2*G119^2))),PI()*(BASE!F$15/100)^2*F$2*F$3)</f>
        <v>0.47796970186927+1.81748302458752i</v>
      </c>
      <c r="N119" s="2" t="str">
        <f>IMPRODUCT(COMPLEX(1-BESSELJ(2*H119,1)/H119,(STRUVE(2*H119)/(2*H119^2))),PI()*(BASE!G$15/100)^2*G$2*G$3)</f>
        <v>0.47796970186927+1.81748302458752i</v>
      </c>
      <c r="O119" s="2" t="str">
        <f>IMSUM(IMPRODUCT(IF($O$3=1,L119,COMPLEX(I119,$D119*BASE!K$15)),2),COMPLEX(BASE!E$36,$D119*BASE!K$14-BASE!K$10/$D119))</f>
        <v>1.75593940373854+13.963194043387i</v>
      </c>
      <c r="P119" s="2" t="str">
        <f>IMSUM(IMPRODUCT(IF($O$3=1,M119,COMPLEX(J119,$D119*BASE!L$15)),2),COMPLEX(BASE!F$36,$D119*BASE!L$14-BASE!L$10/$D119))</f>
        <v>1.75593940373854+13.6557967823864i</v>
      </c>
      <c r="Q119" s="2" t="str">
        <f>IMSUM(IMPRODUCT(IF($O$3=1,N119,COMPLEX(K119,$D119*BASE!M$15)),2),COMPLEX(BASE!G$36,$D119*BASE!M$14-BASE!M$10/$D119))</f>
        <v>1.75593940373854+13.0410022603853i</v>
      </c>
      <c r="R119" s="2" t="str">
        <f>COMPLEX(BASE!E$19,FRES!$D119*BASE!K$36)</f>
        <v>7.2+0.66567501151869i</v>
      </c>
      <c r="S119" s="2" t="str">
        <f>COMPLEX(BASE!F$19,FRES!$D119*BASE!L$36)</f>
        <v>7.2+0.66567501151869i</v>
      </c>
      <c r="T119" s="2" t="str">
        <f>COMPLEX(BASE!G$19,FRES!$D119*BASE!M$36)</f>
        <v>7.2+0.66567501151869i</v>
      </c>
      <c r="U119" s="2" t="str">
        <f>IMDIV(BASE!K$21*BASE!E$38,IMPRODUCT(FRES!R119,IMSUM(FRES!O119,IMDIV(BASE!K$21^2,FRES!R119))))</f>
        <v>0.0105052991255568-0.0839220974296084i</v>
      </c>
      <c r="V119" s="2" t="str">
        <f>IMDIV(BASE!L$21*BASE!F$38,IMPRODUCT(FRES!S119,IMSUM(FRES!P119,IMDIV(BASE!L$21^2,FRES!S119))))</f>
        <v>0.0111407915063372-0.0856847877474169i</v>
      </c>
      <c r="W119" s="2" t="str">
        <f>IMDIV(BASE!M$21*BASE!G$38,IMPRODUCT(FRES!T119,IMSUM(FRES!Q119,IMDIV(BASE!M$21^2,FRES!T119))))</f>
        <v>0.0125539263397325-0.0894282372133552i</v>
      </c>
      <c r="X119" s="2" t="str">
        <f t="shared" si="52"/>
        <v>-0.0000350985345405204-4.39360568324841E-06i</v>
      </c>
      <c r="Y119" s="2" t="str">
        <f t="shared" si="51"/>
        <v>-0.0000358357402217266-4.65938611486557E-06i</v>
      </c>
      <c r="Z119" s="2" t="str">
        <f t="shared" si="51"/>
        <v>-0.0000374013539802618-5.25039805664812E-06i</v>
      </c>
      <c r="AA119" s="44" t="str">
        <f>IMPRODUCT(COMPLEX(0,$D119),U119,E$2,BASE!E$15^2/10000,1/(2*BASE!$U$3))</f>
        <v>0.477854878712171+0.0598174806544685i</v>
      </c>
      <c r="AB119" s="44" t="str">
        <f>IMPRODUCT(COMPLEX(0,$D119),V119,F$2,BASE!F$15^2/10000,1/(2*BASE!$U$3))</f>
        <v>0.487891688966228+0.0634359928680728i</v>
      </c>
      <c r="AC119" s="44" t="str">
        <f>IMPRODUCT(COMPLEX(0,$D119),W119,G$2,BASE!G$15^2/10000,1/(2*BASE!$U$3))</f>
        <v>0.509206999775893+0.0714824239642743i</v>
      </c>
      <c r="AD119" s="44">
        <f t="shared" si="32"/>
        <v>0.12453141152174871</v>
      </c>
      <c r="AE119" s="44">
        <f t="shared" si="33"/>
        <v>0.12929530746168796</v>
      </c>
      <c r="AF119" s="44">
        <f t="shared" si="34"/>
        <v>0.13946851191706439</v>
      </c>
      <c r="AG119" s="31">
        <f t="shared" si="35"/>
        <v>87.632846079784116</v>
      </c>
      <c r="AH119" s="31">
        <f t="shared" si="36"/>
        <v>87.818673890757168</v>
      </c>
      <c r="AI119" s="31">
        <f t="shared" si="37"/>
        <v>88.202039324548181</v>
      </c>
      <c r="AJ119" s="2" t="str">
        <f>IMSUM(R119,IMDIV(BASE!K$21^2,FRES!O119))</f>
        <v>7.28319277540577+0.00412777160515498i</v>
      </c>
      <c r="AK119" s="2" t="str">
        <f>IMSUM(S119,IMDIV(BASE!L$21^2,FRES!P119))</f>
        <v>7.28691872777314-0.010284808351181i</v>
      </c>
      <c r="AL119" s="2" t="str">
        <f>IMSUM(T119,IMDIV(BASE!M$21^2,FRES!Q119))</f>
        <v>7.29515778235627-0.04104234567446i</v>
      </c>
      <c r="AM119" s="31">
        <f t="shared" si="50"/>
        <v>8.4577063951771878E-2</v>
      </c>
      <c r="AN119" s="31">
        <f t="shared" si="50"/>
        <v>8.6406018810656696E-2</v>
      </c>
      <c r="AO119" s="31">
        <f t="shared" si="50"/>
        <v>9.0305097738895973E-2</v>
      </c>
      <c r="AP119" s="31">
        <f t="shared" si="38"/>
        <v>5.0024212093584777E-2</v>
      </c>
      <c r="AQ119" s="31">
        <f t="shared" si="39"/>
        <v>5.1105971396823588E-2</v>
      </c>
      <c r="AR119" s="31">
        <f t="shared" si="40"/>
        <v>5.3412132691179809E-2</v>
      </c>
      <c r="AS119" s="2">
        <f t="shared" si="41"/>
        <v>110.39639579427795</v>
      </c>
      <c r="AT119" s="2">
        <f t="shared" si="42"/>
        <v>110.41155974602228</v>
      </c>
      <c r="AU119" s="2">
        <f t="shared" si="43"/>
        <v>110.44394206154543</v>
      </c>
      <c r="AV119" s="2">
        <f t="shared" si="44"/>
        <v>110.39639579427795</v>
      </c>
      <c r="AW119" s="2">
        <f t="shared" si="45"/>
        <v>110.41155974602228</v>
      </c>
      <c r="AX119" s="2">
        <f t="shared" si="46"/>
        <v>110.44394206154543</v>
      </c>
      <c r="AY119">
        <f t="shared" si="47"/>
        <v>7.2831939451192165</v>
      </c>
      <c r="AZ119">
        <f t="shared" si="48"/>
        <v>7.2869259857949524</v>
      </c>
      <c r="BA119">
        <f t="shared" si="49"/>
        <v>7.2952732329647336</v>
      </c>
    </row>
    <row r="120" spans="1:53" x14ac:dyDescent="0.2">
      <c r="A120" s="2">
        <v>116</v>
      </c>
      <c r="B120" s="2"/>
      <c r="C120" s="1">
        <v>391.69713385748969</v>
      </c>
      <c r="D120" s="2">
        <f t="shared" si="53"/>
        <v>2461.1056763177348</v>
      </c>
      <c r="E120" s="2"/>
      <c r="F120" s="2">
        <f>$D120*BASE!E$15/100/E$3</f>
        <v>0.45072574886051542</v>
      </c>
      <c r="G120" s="2">
        <f>$D120*BASE!F$15/100/F$3</f>
        <v>0.45072574886051542</v>
      </c>
      <c r="H120" s="2">
        <f>$D120*BASE!G$15/100/G$3</f>
        <v>0.45072574886051542</v>
      </c>
      <c r="I120" s="2">
        <f>(1-BESSELJ(2*F120,1)/F120)*BASE!K$13*E$2*E$3</f>
        <v>0.50542990176208014</v>
      </c>
      <c r="J120" s="2">
        <f>(1-BESSELJ(2*G120,1)/G120)*BASE!L$13*F$2*F$3</f>
        <v>0.50542990176208014</v>
      </c>
      <c r="K120" s="2">
        <f>(1-BESSELJ(2*H120,1)/H120)*BASE!M$13*G$2*G$3</f>
        <v>0.50542990176208014</v>
      </c>
      <c r="L120" s="2" t="str">
        <f>IMPRODUCT(COMPLEX(1-BESSELJ(2*F120,1)/F120,(STRUVE(2*F120)/(2*F120^2))),PI()*(BASE!E$15/100)^2*E$2*E$3)</f>
        <v>0.50542990176208+1.86501688937897i</v>
      </c>
      <c r="M120" s="2" t="str">
        <f>IMPRODUCT(COMPLEX(1-BESSELJ(2*G120,1)/G120,(STRUVE(2*G120)/(2*G120^2))),PI()*(BASE!F$15/100)^2*F$2*F$3)</f>
        <v>0.50542990176208+1.86501688937897i</v>
      </c>
      <c r="N120" s="2" t="str">
        <f>IMPRODUCT(COMPLEX(1-BESSELJ(2*H120,1)/H120,(STRUVE(2*H120)/(2*H120^2))),PI()*(BASE!G$15/100)^2*G$2*G$3)</f>
        <v>0.50542990176208+1.86501688937897i</v>
      </c>
      <c r="O120" s="2" t="str">
        <f>IMSUM(IMPRODUCT(IF($O$3=1,L120,COMPLEX(I120,$D120*BASE!K$15)),2),COMPLEX(BASE!E$36,$D120*BASE!K$14-BASE!K$10/$D120))</f>
        <v>1.81085980352416+14.3900933251673i</v>
      </c>
      <c r="P120" s="2" t="str">
        <f>IMSUM(IMPRODUCT(IF($O$3=1,M120,COMPLEX(J120,$D120*BASE!L$15)),2),COMPLEX(BASE!F$36,$D120*BASE!L$14-BASE!L$10/$D120))</f>
        <v>1.81085980352416+14.0914470674821i</v>
      </c>
      <c r="Q120" s="2" t="str">
        <f>IMSUM(IMPRODUCT(IF($O$3=1,N120,COMPLEX(K120,$D120*BASE!M$15)),2),COMPLEX(BASE!G$36,$D120*BASE!M$14-BASE!M$10/$D120))</f>
        <v>1.81085980352416+13.4941545521118i</v>
      </c>
      <c r="R120" s="2" t="str">
        <f>COMPLEX(BASE!E$19,FRES!$D120*BASE!K$36)</f>
        <v>7.2+0.68518077823387i</v>
      </c>
      <c r="S120" s="2" t="str">
        <f>COMPLEX(BASE!F$19,FRES!$D120*BASE!L$36)</f>
        <v>7.2+0.68518077823387i</v>
      </c>
      <c r="T120" s="2" t="str">
        <f>COMPLEX(BASE!G$19,FRES!$D120*BASE!M$36)</f>
        <v>7.2+0.68518077823387i</v>
      </c>
      <c r="U120" s="2" t="str">
        <f>IMDIV(BASE!K$21*BASE!E$38,IMPRODUCT(FRES!R120,IMSUM(FRES!O120,IMDIV(BASE!K$21^2,FRES!R120))))</f>
        <v>0.00976552301580669-0.0815099837289904i</v>
      </c>
      <c r="V120" s="2" t="str">
        <f>IMDIV(BASE!L$21*BASE!F$38,IMPRODUCT(FRES!S120,IMSUM(FRES!P120,IMDIV(BASE!L$21^2,FRES!S120))))</f>
        <v>0.0103333478617847-0.0831265469756244i</v>
      </c>
      <c r="W120" s="2" t="str">
        <f>IMDIV(BASE!M$21*BASE!G$38,IMPRODUCT(FRES!T120,IMSUM(FRES!Q120,IMDIV(BASE!M$21^2,FRES!T120))))</f>
        <v>0.0115889007600542-0.0865484886570763i</v>
      </c>
      <c r="X120" s="2" t="str">
        <f t="shared" si="52"/>
        <v>-0.0000331192538838659-3.96794136463808E-06i</v>
      </c>
      <c r="Y120" s="2" t="str">
        <f t="shared" si="51"/>
        <v>-0.0000337760981885171-4.19866077317139E-06i</v>
      </c>
      <c r="Z120" s="2" t="str">
        <f t="shared" si="51"/>
        <v>-0.0000351665064567926-4.70881883357132E-06i</v>
      </c>
      <c r="AA120" s="44" t="str">
        <f>IMPRODUCT(COMPLEX(0,$D120),U120,E$2,BASE!E$15^2/10000,1/(2*BASE!$U$3))</f>
        <v>0.477719993601207+0.0572345297986406i</v>
      </c>
      <c r="AB120" s="44" t="str">
        <f>IMPRODUCT(COMPLEX(0,$D120),V120,F$2,BASE!F$15^2/10000,1/(2*BASE!$U$3))</f>
        <v>0.487194472045536+0.0605624814111587i</v>
      </c>
      <c r="AC120" s="44" t="str">
        <f>IMPRODUCT(COMPLEX(0,$D120),W120,G$2,BASE!G$15^2/10000,1/(2*BASE!$U$3))</f>
        <v>0.507250051538744+0.0679211225872083i</v>
      </c>
      <c r="AD120" s="44">
        <f t="shared" si="32"/>
        <v>0.11923934351444394</v>
      </c>
      <c r="AE120" s="44">
        <f t="shared" si="33"/>
        <v>0.12367421136533807</v>
      </c>
      <c r="AF120" s="44">
        <f t="shared" si="34"/>
        <v>0.13310891927277715</v>
      </c>
      <c r="AG120" s="31">
        <f t="shared" si="35"/>
        <v>87.624763403601406</v>
      </c>
      <c r="AH120" s="31">
        <f t="shared" si="36"/>
        <v>87.800043845068984</v>
      </c>
      <c r="AI120" s="31">
        <f t="shared" si="37"/>
        <v>88.161018619193271</v>
      </c>
      <c r="AJ120" s="2" t="str">
        <f>IMSUM(R120,IMDIV(BASE!K$21^2,FRES!O120))</f>
        <v>7.28077816917472+0.043272779172788i</v>
      </c>
      <c r="AK120" s="2" t="str">
        <f>IMSUM(S120,IMDIV(BASE!L$21^2,FRES!P120))</f>
        <v>7.28418217194232+0.030105980260914i</v>
      </c>
      <c r="AL120" s="2" t="str">
        <f>IMSUM(T120,IMDIV(BASE!M$21^2,FRES!Q120))</f>
        <v>7.29166467463439+0.00211448890638399i</v>
      </c>
      <c r="AM120" s="31">
        <f t="shared" si="50"/>
        <v>8.2092891819404989E-2</v>
      </c>
      <c r="AN120" s="31">
        <f t="shared" si="50"/>
        <v>8.3766347002381211E-2</v>
      </c>
      <c r="AO120" s="31">
        <f t="shared" si="50"/>
        <v>8.732092251946523E-2</v>
      </c>
      <c r="AP120" s="31">
        <f t="shared" si="38"/>
        <v>4.7172651748596299E-2</v>
      </c>
      <c r="AQ120" s="31">
        <f t="shared" si="39"/>
        <v>4.8134261418006953E-2</v>
      </c>
      <c r="AR120" s="31">
        <f t="shared" si="40"/>
        <v>5.0176810404469356E-2</v>
      </c>
      <c r="AS120" s="2">
        <f t="shared" si="41"/>
        <v>110.37955061862712</v>
      </c>
      <c r="AT120" s="2">
        <f t="shared" si="42"/>
        <v>110.39366724143571</v>
      </c>
      <c r="AU120" s="2">
        <f t="shared" si="43"/>
        <v>110.42369884943766</v>
      </c>
      <c r="AV120" s="2">
        <f t="shared" si="44"/>
        <v>110.37955061862712</v>
      </c>
      <c r="AW120" s="2">
        <f t="shared" si="45"/>
        <v>110.39366724143571</v>
      </c>
      <c r="AX120" s="2">
        <f t="shared" si="46"/>
        <v>110.42369884943766</v>
      </c>
      <c r="AY120">
        <f t="shared" si="47"/>
        <v>7.2809067623578674</v>
      </c>
      <c r="AZ120">
        <f t="shared" si="48"/>
        <v>7.2842443866258231</v>
      </c>
      <c r="BA120">
        <f t="shared" si="49"/>
        <v>7.2916649812216674</v>
      </c>
    </row>
    <row r="121" spans="1:53" x14ac:dyDescent="0.2">
      <c r="A121" s="2">
        <v>117</v>
      </c>
      <c r="B121" s="2"/>
      <c r="C121" s="1">
        <v>403.17473596635926</v>
      </c>
      <c r="D121" s="2">
        <f t="shared" si="53"/>
        <v>2533.2215772498375</v>
      </c>
      <c r="E121" s="2"/>
      <c r="F121" s="2">
        <f>$D121*BASE!E$15/100/E$3</f>
        <v>0.46393302141494119</v>
      </c>
      <c r="G121" s="2">
        <f>$D121*BASE!F$15/100/F$3</f>
        <v>0.46393302141494119</v>
      </c>
      <c r="H121" s="2">
        <f>$D121*BASE!G$15/100/G$3</f>
        <v>0.46393302141494119</v>
      </c>
      <c r="I121" s="2">
        <f>(1-BESSELJ(2*F121,1)/F121)*BASE!K$13*E$2*E$3</f>
        <v>0.53440735699198161</v>
      </c>
      <c r="J121" s="2">
        <f>(1-BESSELJ(2*G121,1)/G121)*BASE!L$13*F$2*F$3</f>
        <v>0.53440735699198161</v>
      </c>
      <c r="K121" s="2">
        <f>(1-BESSELJ(2*H121,1)/H121)*BASE!M$13*G$2*G$3</f>
        <v>0.53440735699198161</v>
      </c>
      <c r="L121" s="2" t="str">
        <f>IMPRODUCT(COMPLEX(1-BESSELJ(2*F121,1)/F121,(STRUVE(2*F121)/(2*F121^2))),PI()*(BASE!E$15/100)^2*E$2*E$3)</f>
        <v>0.534407356991982+1.91344253209867i</v>
      </c>
      <c r="M121" s="2" t="str">
        <f>IMPRODUCT(COMPLEX(1-BESSELJ(2*G121,1)/G121,(STRUVE(2*G121)/(2*G121^2))),PI()*(BASE!F$15/100)^2*F$2*F$3)</f>
        <v>0.534407356991982+1.91344253209867i</v>
      </c>
      <c r="N121" s="2" t="str">
        <f>IMPRODUCT(COMPLEX(1-BESSELJ(2*H121,1)/H121,(STRUVE(2*H121)/(2*H121^2))),PI()*(BASE!G$15/100)^2*G$2*G$3)</f>
        <v>0.534407356991982+1.91344253209867i</v>
      </c>
      <c r="O121" s="2" t="str">
        <f>IMSUM(IMPRODUCT(IF($O$3=1,L121,COMPLEX(I121,$D121*BASE!K$15)),2),COMPLEX(BASE!E$36,$D121*BASE!K$14-BASE!K$10/$D121))</f>
        <v>1.86881471398396+14.8289965032976i</v>
      </c>
      <c r="P121" s="2" t="str">
        <f>IMSUM(IMPRODUCT(IF($O$3=1,M121,COMPLEX(J121,$D121*BASE!L$15)),2),COMPLEX(BASE!F$36,$D121*BASE!L$14-BASE!L$10/$D121))</f>
        <v>1.86881471398396+14.5388521248505i</v>
      </c>
      <c r="Q121" s="2" t="str">
        <f>IMSUM(IMPRODUCT(IF($O$3=1,N121,COMPLEX(K121,$D121*BASE!M$15)),2),COMPLEX(BASE!G$36,$D121*BASE!M$14-BASE!M$10/$D121))</f>
        <v>1.86881471398396+13.9585633679563i</v>
      </c>
      <c r="R121" s="2" t="str">
        <f>COMPLEX(BASE!E$19,FRES!$D121*BASE!K$36)</f>
        <v>7.2+0.705258107541251i</v>
      </c>
      <c r="S121" s="2" t="str">
        <f>COMPLEX(BASE!F$19,FRES!$D121*BASE!L$36)</f>
        <v>7.2+0.705258107541251i</v>
      </c>
      <c r="T121" s="2" t="str">
        <f>COMPLEX(BASE!G$19,FRES!$D121*BASE!M$36)</f>
        <v>7.2+0.705258107541251i</v>
      </c>
      <c r="U121" s="2" t="str">
        <f>IMDIV(BASE!K$21*BASE!E$38,IMPRODUCT(FRES!R121,IMSUM(FRES!O121,IMDIV(BASE!K$21^2,FRES!R121))))</f>
        <v>0.00906779556824459-0.0791649475016051i</v>
      </c>
      <c r="V121" s="2" t="str">
        <f>IMDIV(BASE!L$21*BASE!F$38,IMPRODUCT(FRES!S121,IMSUM(FRES!P121,IMDIV(BASE!L$21^2,FRES!S121))))</f>
        <v>0.0095753451678303-0.0806473902560111i</v>
      </c>
      <c r="W121" s="2" t="str">
        <f>IMDIV(BASE!M$21*BASE!G$38,IMPRODUCT(FRES!T121,IMSUM(FRES!Q121,IMDIV(BASE!M$21^2,FRES!T121))))</f>
        <v>0.0106916609376745-0.0837757303018631i</v>
      </c>
      <c r="X121" s="2" t="str">
        <f t="shared" si="52"/>
        <v>-0.0000312506999832007-3.57955089664479E-06i</v>
      </c>
      <c r="Y121" s="2" t="str">
        <f t="shared" si="51"/>
        <v>-0.0000318359005703579-3.77990826141062E-06i</v>
      </c>
      <c r="Z121" s="2" t="str">
        <f t="shared" si="51"/>
        <v>-0.0000330708261188953-4.22057866303261E-06i</v>
      </c>
      <c r="AA121" s="44" t="str">
        <f>IMPRODUCT(COMPLEX(0,$D121),U121,E$2,BASE!E$15^2/10000,1/(2*BASE!$U$3))</f>
        <v>0.477571559845984+0.0547025092614792i</v>
      </c>
      <c r="AB121" s="44" t="str">
        <f>IMPRODUCT(COMPLEX(0,$D121),V121,F$2,BASE!F$15^2/10000,1/(2*BASE!$U$3))</f>
        <v>0.486514564558893+0.0577643600126395i</v>
      </c>
      <c r="AC121" s="44" t="str">
        <f>IMPRODUCT(COMPLEX(0,$D121),W121,G$2,BASE!G$15^2/10000,1/(2*BASE!$U$3))</f>
        <v>0.505386632091003+0.0644986620024735i</v>
      </c>
      <c r="AD121" s="44">
        <f t="shared" si="32"/>
        <v>0.11404603051463069</v>
      </c>
      <c r="AE121" s="44">
        <f t="shared" si="33"/>
        <v>0.11817775151853811</v>
      </c>
      <c r="AF121" s="44">
        <f t="shared" si="34"/>
        <v>0.12693622488978545</v>
      </c>
      <c r="AG121" s="31">
        <f t="shared" si="35"/>
        <v>87.61677857991458</v>
      </c>
      <c r="AH121" s="31">
        <f t="shared" si="36"/>
        <v>87.782112201676782</v>
      </c>
      <c r="AI121" s="31">
        <f t="shared" si="37"/>
        <v>88.12204084848311</v>
      </c>
      <c r="AJ121" s="2" t="str">
        <f>IMSUM(R121,IMDIV(BASE!K$21^2,FRES!O121))</f>
        <v>7.27849813616637+0.0823774238564779i</v>
      </c>
      <c r="AK121" s="2" t="str">
        <f>IMSUM(S121,IMDIV(BASE!L$21^2,FRES!P121))</f>
        <v>7.28161105976007+0.070347048287828i</v>
      </c>
      <c r="AL121" s="2" t="str">
        <f>IMSUM(T121,IMDIV(BASE!M$21^2,FRES!Q121))</f>
        <v>7.28841564353716+0.044863391148443i</v>
      </c>
      <c r="AM121" s="31">
        <f t="shared" si="50"/>
        <v>7.9682581718963946E-2</v>
      </c>
      <c r="AN121" s="31">
        <f t="shared" si="50"/>
        <v>8.1213846049725091E-2</v>
      </c>
      <c r="AO121" s="31">
        <f t="shared" si="50"/>
        <v>8.4455222462655896E-2</v>
      </c>
      <c r="AP121" s="31">
        <f t="shared" si="38"/>
        <v>4.4484141759995571E-2</v>
      </c>
      <c r="AQ121" s="31">
        <f t="shared" si="39"/>
        <v>4.5338995833396997E-2</v>
      </c>
      <c r="AR121" s="31">
        <f t="shared" si="40"/>
        <v>4.7148548746213895E-2</v>
      </c>
      <c r="AS121" s="2">
        <f t="shared" si="41"/>
        <v>110.36301978992826</v>
      </c>
      <c r="AT121" s="2">
        <f t="shared" si="42"/>
        <v>110.37617146635323</v>
      </c>
      <c r="AU121" s="2">
        <f t="shared" si="43"/>
        <v>110.40405055297268</v>
      </c>
      <c r="AV121" s="2">
        <f t="shared" si="44"/>
        <v>110.36301978992826</v>
      </c>
      <c r="AW121" s="2">
        <f t="shared" si="45"/>
        <v>110.37617146635323</v>
      </c>
      <c r="AX121" s="2">
        <f t="shared" si="46"/>
        <v>110.40405055297268</v>
      </c>
      <c r="AY121">
        <f t="shared" si="47"/>
        <v>7.2789642915828718</v>
      </c>
      <c r="AZ121">
        <f t="shared" si="48"/>
        <v>7.2819508603685987</v>
      </c>
      <c r="BA121">
        <f t="shared" si="49"/>
        <v>7.2885537191422642</v>
      </c>
    </row>
    <row r="122" spans="1:53" x14ac:dyDescent="0.2">
      <c r="A122" s="2">
        <v>118</v>
      </c>
      <c r="B122" s="2"/>
      <c r="C122" s="1">
        <v>414.98865748832293</v>
      </c>
      <c r="D122" s="2">
        <f t="shared" si="53"/>
        <v>2607.4506353768124</v>
      </c>
      <c r="E122" s="2"/>
      <c r="F122" s="2">
        <f>$D122*BASE!E$15/100/E$3</f>
        <v>0.47752729659517201</v>
      </c>
      <c r="G122" s="2">
        <f>$D122*BASE!F$15/100/F$3</f>
        <v>0.47752729659517201</v>
      </c>
      <c r="H122" s="2">
        <f>$D122*BASE!G$15/100/G$3</f>
        <v>0.47752729659517201</v>
      </c>
      <c r="I122" s="2">
        <f>(1-BESSELJ(2*F122,1)/F122)*BASE!K$13*E$2*E$3</f>
        <v>0.56497852595426767</v>
      </c>
      <c r="J122" s="2">
        <f>(1-BESSELJ(2*G122,1)/G122)*BASE!L$13*F$2*F$3</f>
        <v>0.56497852595426767</v>
      </c>
      <c r="K122" s="2">
        <f>(1-BESSELJ(2*H122,1)/H122)*BASE!M$13*G$2*G$3</f>
        <v>0.56497852595426767</v>
      </c>
      <c r="L122" s="2" t="str">
        <f>IMPRODUCT(COMPLEX(1-BESSELJ(2*F122,1)/F122,(STRUVE(2*F122)/(2*F122^2))),PI()*(BASE!E$15/100)^2*E$2*E$3)</f>
        <v>0.564978525954268+1.9627433065523i</v>
      </c>
      <c r="M122" s="2" t="str">
        <f>IMPRODUCT(COMPLEX(1-BESSELJ(2*G122,1)/G122,(STRUVE(2*G122)/(2*G122^2))),PI()*(BASE!F$15/100)^2*F$2*F$3)</f>
        <v>0.564978525954268+1.9627433065523i</v>
      </c>
      <c r="N122" s="2" t="str">
        <f>IMPRODUCT(COMPLEX(1-BESSELJ(2*H122,1)/H122,(STRUVE(2*H122)/(2*H122^2))),PI()*(BASE!G$15/100)^2*G$2*G$3)</f>
        <v>0.564978525954268+1.9627433065523i</v>
      </c>
      <c r="O122" s="2" t="str">
        <f>IMSUM(IMPRODUCT(IF($O$3=1,L122,COMPLEX(I122,$D122*BASE!K$15)),2),COMPLEX(BASE!E$36,$D122*BASE!K$14-BASE!K$10/$D122))</f>
        <v>1.92995705190854+15.2802697010642i</v>
      </c>
      <c r="P122" s="2" t="str">
        <f>IMSUM(IMPRODUCT(IF($O$3=1,M122,COMPLEX(J122,$D122*BASE!L$15)),2),COMPLEX(BASE!F$36,$D122*BASE!L$14-BASE!L$10/$D122))</f>
        <v>1.92995705190854+14.9983851698567i</v>
      </c>
      <c r="Q122" s="2" t="str">
        <f>IMSUM(IMPRODUCT(IF($O$3=1,N122,COMPLEX(K122,$D122*BASE!M$15)),2),COMPLEX(BASE!G$36,$D122*BASE!M$14-BASE!M$10/$D122))</f>
        <v>1.92995705190854+14.4346161074416i</v>
      </c>
      <c r="R122" s="2" t="str">
        <f>COMPLEX(BASE!E$19,FRES!$D122*BASE!K$36)</f>
        <v>7.2+0.725923747503166i</v>
      </c>
      <c r="S122" s="2" t="str">
        <f>COMPLEX(BASE!F$19,FRES!$D122*BASE!L$36)</f>
        <v>7.2+0.725923747503166i</v>
      </c>
      <c r="T122" s="2" t="str">
        <f>COMPLEX(BASE!G$19,FRES!$D122*BASE!M$36)</f>
        <v>7.2+0.725923747503166i</v>
      </c>
      <c r="U122" s="2" t="str">
        <f>IMDIV(BASE!K$21*BASE!E$38,IMPRODUCT(FRES!R122,IMSUM(FRES!O122,IMDIV(BASE!K$21^2,FRES!R122))))</f>
        <v>0.00840953991283443-0.0768851581357646i</v>
      </c>
      <c r="V122" s="2" t="str">
        <f>IMDIV(BASE!L$21*BASE!F$38,IMPRODUCT(FRES!S122,IMSUM(FRES!P122,IMDIV(BASE!L$21^2,FRES!S122))))</f>
        <v>0.00886337586815143-0.0782445152527509i</v>
      </c>
      <c r="W122" s="2" t="str">
        <f>IMDIV(BASE!M$21*BASE!G$38,IMPRODUCT(FRES!T122,IMSUM(FRES!Q122,IMDIV(BASE!M$21^2,FRES!T122))))</f>
        <v>0.00985655501069424-0.0811047054912079i</v>
      </c>
      <c r="X122" s="2" t="str">
        <f t="shared" si="52"/>
        <v>-0.0000294867166774391-3.22519621224551E-06i</v>
      </c>
      <c r="Y122" s="2" t="str">
        <f t="shared" si="51"/>
        <v>-0.0000300080523831062-3.39924972994572E-06i</v>
      </c>
      <c r="Z122" s="2" t="str">
        <f t="shared" si="51"/>
        <v>-0.0000311049821579795-0.0000037801501884502i</v>
      </c>
      <c r="AA122" s="44" t="str">
        <f>IMPRODUCT(COMPLEX(0,$D122),U122,E$2,BASE!E$15^2/10000,1/(2*BASE!$U$3))</f>
        <v>0.477409389504712+0.0522180536939578i</v>
      </c>
      <c r="AB122" s="44" t="str">
        <f>IMPRODUCT(COMPLEX(0,$D122),V122,F$2,BASE!F$15^2/10000,1/(2*BASE!$U$3))</f>
        <v>0.48585015840049+0.0550360949338625i</v>
      </c>
      <c r="AC122" s="44" t="str">
        <f>IMPRODUCT(COMPLEX(0,$D122),W122,G$2,BASE!G$15^2/10000,1/(2*BASE!$U$3))</f>
        <v>0.503610174881147+0.061203124560997i</v>
      </c>
      <c r="AD122" s="44">
        <f t="shared" si="32"/>
        <v>0.10894485836992755</v>
      </c>
      <c r="AE122" s="44">
        <f t="shared" si="33"/>
        <v>0.11279709249467403</v>
      </c>
      <c r="AF122" s="44">
        <f t="shared" si="34"/>
        <v>0.1209357195146443</v>
      </c>
      <c r="AG122" s="31">
        <f t="shared" si="35"/>
        <v>87.60886783814891</v>
      </c>
      <c r="AH122" s="31">
        <f t="shared" si="36"/>
        <v>87.764820717553562</v>
      </c>
      <c r="AI122" s="31">
        <f t="shared" si="37"/>
        <v>88.084962955864</v>
      </c>
      <c r="AJ122" s="2" t="str">
        <f>IMSUM(R122,IMDIV(BASE!K$21^2,FRES!O122))</f>
        <v>7.27634350260454+0.121480602735971i</v>
      </c>
      <c r="AK122" s="2" t="str">
        <f>IMSUM(S122,IMDIV(BASE!L$21^2,FRES!P122))</f>
        <v>7.27919293765188+0.110487160217099i</v>
      </c>
      <c r="AL122" s="2" t="str">
        <f>IMSUM(T122,IMDIV(BASE!M$21^2,FRES!Q122))</f>
        <v>7.28538901224398+0.087278648993561i</v>
      </c>
      <c r="AM122" s="31">
        <f t="shared" si="50"/>
        <v>7.7343699828150744E-2</v>
      </c>
      <c r="AN122" s="31">
        <f t="shared" si="50"/>
        <v>7.8744927448808399E-2</v>
      </c>
      <c r="AO122" s="31">
        <f t="shared" si="50"/>
        <v>8.170143774435315E-2</v>
      </c>
      <c r="AP122" s="31">
        <f t="shared" si="38"/>
        <v>4.1949215750072086E-2</v>
      </c>
      <c r="AQ122" s="31">
        <f t="shared" si="39"/>
        <v>4.2709205250245096E-2</v>
      </c>
      <c r="AR122" s="31">
        <f t="shared" si="40"/>
        <v>4.431273971434091E-2</v>
      </c>
      <c r="AS122" s="2">
        <f t="shared" si="41"/>
        <v>110.34678225468041</v>
      </c>
      <c r="AT122" s="2">
        <f t="shared" si="42"/>
        <v>110.35904429673842</v>
      </c>
      <c r="AU122" s="2">
        <f t="shared" si="43"/>
        <v>110.38495035114261</v>
      </c>
      <c r="AV122" s="2">
        <f t="shared" si="44"/>
        <v>110.34678225468041</v>
      </c>
      <c r="AW122" s="2">
        <f t="shared" si="45"/>
        <v>110.35904429673842</v>
      </c>
      <c r="AX122" s="2">
        <f t="shared" si="46"/>
        <v>110.38495035114261</v>
      </c>
      <c r="AY122">
        <f t="shared" si="47"/>
        <v>7.2773575083773645</v>
      </c>
      <c r="AZ122">
        <f t="shared" si="48"/>
        <v>7.2800314035128899</v>
      </c>
      <c r="BA122">
        <f t="shared" si="49"/>
        <v>7.2859117907297968</v>
      </c>
    </row>
    <row r="123" spans="1:53" x14ac:dyDescent="0.2">
      <c r="A123" s="2">
        <v>119</v>
      </c>
      <c r="B123" s="2"/>
      <c r="C123" s="1">
        <v>427.14875333441108</v>
      </c>
      <c r="D123" s="2">
        <f t="shared" si="53"/>
        <v>2683.8547709308491</v>
      </c>
      <c r="E123" s="2"/>
      <c r="F123" s="2">
        <f>$D123*BASE!E$15/100/E$3</f>
        <v>0.49151991444373111</v>
      </c>
      <c r="G123" s="2">
        <f>$D123*BASE!F$15/100/F$3</f>
        <v>0.49151991444373111</v>
      </c>
      <c r="H123" s="2">
        <f>$D123*BASE!G$15/100/G$3</f>
        <v>0.49151991444373111</v>
      </c>
      <c r="I123" s="2">
        <f>(1-BESSELJ(2*F123,1)/F123)*BASE!K$13*E$2*E$3</f>
        <v>0.59722280186738008</v>
      </c>
      <c r="J123" s="2">
        <f>(1-BESSELJ(2*G123,1)/G123)*BASE!L$13*F$2*F$3</f>
        <v>0.59722280186738008</v>
      </c>
      <c r="K123" s="2">
        <f>(1-BESSELJ(2*H123,1)/H123)*BASE!M$13*G$2*G$3</f>
        <v>0.59722280186738008</v>
      </c>
      <c r="L123" s="2" t="str">
        <f>IMPRODUCT(COMPLEX(1-BESSELJ(2*F123,1)/F123,(STRUVE(2*F123)/(2*F123^2))),PI()*(BASE!E$15/100)^2*E$2*E$3)</f>
        <v>0.59722280186738+2.01289859690881i</v>
      </c>
      <c r="M123" s="2" t="str">
        <f>IMPRODUCT(COMPLEX(1-BESSELJ(2*G123,1)/G123,(STRUVE(2*G123)/(2*G123^2))),PI()*(BASE!F$15/100)^2*F$2*F$3)</f>
        <v>0.59722280186738+2.01289859690881i</v>
      </c>
      <c r="N123" s="2" t="str">
        <f>IMPRODUCT(COMPLEX(1-BESSELJ(2*H123,1)/H123,(STRUVE(2*H123)/(2*H123^2))),PI()*(BASE!G$15/100)^2*G$2*G$3)</f>
        <v>0.59722280186738+2.01289859690881i</v>
      </c>
      <c r="O123" s="2" t="str">
        <f>IMSUM(IMPRODUCT(IF($O$3=1,L123,COMPLEX(I123,$D123*BASE!K$15)),2),COMPLEX(BASE!E$36,$D123*BASE!K$14-BASE!K$10/$D123))</f>
        <v>1.99444560373476+15.7442893605493i</v>
      </c>
      <c r="P123" s="2" t="str">
        <f>IMSUM(IMPRODUCT(IF($O$3=1,M123,COMPLEX(J123,$D123*BASE!L$15)),2),COMPLEX(BASE!F$36,$D123*BASE!L$14-BASE!L$10/$D123))</f>
        <v>1.99444560373476+15.470429534764i</v>
      </c>
      <c r="Q123" s="2" t="str">
        <f>IMSUM(IMPRODUCT(IF($O$3=1,N123,COMPLEX(K123,$D123*BASE!M$15)),2),COMPLEX(BASE!G$36,$D123*BASE!M$14-BASE!M$10/$D123))</f>
        <v>1.99444560373476+14.9227098831936i</v>
      </c>
      <c r="R123" s="2" t="str">
        <f>COMPLEX(BASE!E$19,FRES!$D123*BASE!K$36)</f>
        <v>7.2+0.747194936937634i</v>
      </c>
      <c r="S123" s="2" t="str">
        <f>COMPLEX(BASE!F$19,FRES!$D123*BASE!L$36)</f>
        <v>7.2+0.747194936937634i</v>
      </c>
      <c r="T123" s="2" t="str">
        <f>COMPLEX(BASE!G$19,FRES!$D123*BASE!M$36)</f>
        <v>7.2+0.747194936937634i</v>
      </c>
      <c r="U123" s="2" t="str">
        <f>IMDIV(BASE!K$21*BASE!E$38,IMPRODUCT(FRES!R123,IMSUM(FRES!O123,IMDIV(BASE!K$21^2,FRES!R123))))</f>
        <v>0.00778833904420505-0.0746688245768495i</v>
      </c>
      <c r="V123" s="2" t="str">
        <f>IMDIV(BASE!L$21*BASE!F$38,IMPRODUCT(FRES!S123,IMSUM(FRES!P123,IMDIV(BASE!L$21^2,FRES!S123))))</f>
        <v>0.00819428810111129-0.0759152353402248i</v>
      </c>
      <c r="W123" s="2" t="str">
        <f>IMDIV(BASE!M$21*BASE!G$38,IMPRODUCT(FRES!T123,IMSUM(FRES!Q123,IMDIV(BASE!M$21^2,FRES!T123))))</f>
        <v>0.00907847613740682-0.0785304908744865i</v>
      </c>
      <c r="X123" s="2" t="str">
        <f t="shared" si="52"/>
        <v>-0.0000278214847485775-2.90192268544538E-06i</v>
      </c>
      <c r="Y123" s="2" t="str">
        <f t="shared" si="51"/>
        <v>-0.0000282858954077813-3.05317865551616E-06i</v>
      </c>
      <c r="Z123" s="2" t="str">
        <f t="shared" si="51"/>
        <v>-0.0000292603354417905-3.38262570528662E-06i</v>
      </c>
      <c r="AA123" s="44" t="str">
        <f>IMPRODUCT(COMPLEX(0,$D123),U123,E$2,BASE!E$15^2/10000,1/(2*BASE!$U$3))</f>
        <v>0.477233229364808+0.0497778586246338i</v>
      </c>
      <c r="AB123" s="44" t="str">
        <f>IMPRODUCT(COMPLEX(0,$D123),V123,F$2,BASE!F$15^2/10000,1/(2*BASE!$U$3))</f>
        <v>0.485199454052173+0.052372413721528i</v>
      </c>
      <c r="AC123" s="44" t="str">
        <f>IMPRODUCT(COMPLEX(0,$D123),W123,G$2,BASE!G$15^2/10000,1/(2*BASE!$U$3))</f>
        <v>0.501914419786572+0.0580235527921954i</v>
      </c>
      <c r="AD123" s="44">
        <f t="shared" si="32"/>
        <v>0.10392928360758226</v>
      </c>
      <c r="AE123" s="44">
        <f t="shared" si="33"/>
        <v>0.10752367051451796</v>
      </c>
      <c r="AF123" s="44">
        <f t="shared" si="34"/>
        <v>0.11509357053317663</v>
      </c>
      <c r="AG123" s="31">
        <f t="shared" si="35"/>
        <v>87.60100772284396</v>
      </c>
      <c r="AH123" s="31">
        <f t="shared" si="36"/>
        <v>87.748113466649187</v>
      </c>
      <c r="AI123" s="31">
        <f t="shared" si="37"/>
        <v>88.049649954864748</v>
      </c>
      <c r="AJ123" s="2" t="str">
        <f>IMSUM(R123,IMDIV(BASE!K$21^2,FRES!O123))</f>
        <v>7.27430570388662+0.160620652364788i</v>
      </c>
      <c r="AK123" s="2" t="str">
        <f>IMSUM(S123,IMDIV(BASE!L$21^2,FRES!P123))</f>
        <v>7.27691634019552+0.150573590715676i</v>
      </c>
      <c r="AL123" s="2" t="str">
        <f>IMSUM(T123,IMDIV(BASE!M$21^2,FRES!Q123))</f>
        <v>7.28256529203855+0.129430332475532i</v>
      </c>
      <c r="AM123" s="31">
        <f t="shared" si="50"/>
        <v>7.5073907509572269E-2</v>
      </c>
      <c r="AN123" s="31">
        <f t="shared" si="50"/>
        <v>7.6356200234465127E-2</v>
      </c>
      <c r="AO123" s="31">
        <f t="shared" si="50"/>
        <v>7.9053505462852641E-2</v>
      </c>
      <c r="AP123" s="31">
        <f t="shared" si="38"/>
        <v>3.9558972911025718E-2</v>
      </c>
      <c r="AQ123" s="31">
        <f t="shared" si="39"/>
        <v>4.0234656179031596E-2</v>
      </c>
      <c r="AR123" s="31">
        <f t="shared" si="40"/>
        <v>4.1655957240907739E-2</v>
      </c>
      <c r="AS123" s="2">
        <f t="shared" si="41"/>
        <v>110.33081718436293</v>
      </c>
      <c r="AT123" s="2">
        <f t="shared" si="42"/>
        <v>110.34225847323539</v>
      </c>
      <c r="AU123" s="2">
        <f t="shared" si="43"/>
        <v>110.36635421336902</v>
      </c>
      <c r="AV123" s="2">
        <f t="shared" si="44"/>
        <v>110.33081718436293</v>
      </c>
      <c r="AW123" s="2">
        <f t="shared" si="45"/>
        <v>110.34225847323539</v>
      </c>
      <c r="AX123" s="2">
        <f t="shared" si="46"/>
        <v>110.36635421336902</v>
      </c>
      <c r="AY123">
        <f t="shared" si="47"/>
        <v>7.2760787837655725</v>
      </c>
      <c r="AZ123">
        <f t="shared" si="48"/>
        <v>7.2784740041045408</v>
      </c>
      <c r="BA123">
        <f t="shared" si="49"/>
        <v>7.283715359881195</v>
      </c>
    </row>
    <row r="124" spans="1:53" x14ac:dyDescent="0.2">
      <c r="A124" s="2">
        <v>120</v>
      </c>
      <c r="B124" s="2"/>
      <c r="C124" s="1">
        <v>439.66516718658846</v>
      </c>
      <c r="D124" s="2">
        <f t="shared" si="53"/>
        <v>2762.4977185454291</v>
      </c>
      <c r="E124" s="2"/>
      <c r="F124" s="2">
        <f>$D124*BASE!E$15/100/E$3</f>
        <v>0.50592254729175012</v>
      </c>
      <c r="G124" s="2">
        <f>$D124*BASE!F$15/100/F$3</f>
        <v>0.50592254729175012</v>
      </c>
      <c r="H124" s="2">
        <f>$D124*BASE!G$15/100/G$3</f>
        <v>0.50592254729175012</v>
      </c>
      <c r="I124" s="2">
        <f>(1-BESSELJ(2*F124,1)/F124)*BASE!K$13*E$2*E$3</f>
        <v>0.63122250356976095</v>
      </c>
      <c r="J124" s="2">
        <f>(1-BESSELJ(2*G124,1)/G124)*BASE!L$13*F$2*F$3</f>
        <v>0.63122250356976095</v>
      </c>
      <c r="K124" s="2">
        <f>(1-BESSELJ(2*H124,1)/H124)*BASE!M$13*G$2*G$3</f>
        <v>0.63122250356976095</v>
      </c>
      <c r="L124" s="2" t="str">
        <f>IMPRODUCT(COMPLEX(1-BESSELJ(2*F124,1)/F124,(STRUVE(2*F124)/(2*F124^2))),PI()*(BASE!E$15/100)^2*E$2*E$3)</f>
        <v>0.631222503569759+2.06388344459802i</v>
      </c>
      <c r="M124" s="2" t="str">
        <f>IMPRODUCT(COMPLEX(1-BESSELJ(2*G124,1)/G124,(STRUVE(2*G124)/(2*G124^2))),PI()*(BASE!F$15/100)^2*F$2*F$3)</f>
        <v>0.631222503569759+2.06388344459802i</v>
      </c>
      <c r="N124" s="2" t="str">
        <f>IMPRODUCT(COMPLEX(1-BESSELJ(2*H124,1)/H124,(STRUVE(2*H124)/(2*H124^2))),PI()*(BASE!G$15/100)^2*G$2*G$3)</f>
        <v>0.631222503569759+2.06388344459802i</v>
      </c>
      <c r="O124" s="2" t="str">
        <f>IMSUM(IMPRODUCT(IF($O$3=1,L124,COMPLEX(I124,$D124*BASE!K$15)),2),COMPLEX(BASE!E$36,$D124*BASE!K$14-BASE!K$10/$D124))</f>
        <v>2.06244500713952+16.2214425566498i</v>
      </c>
      <c r="P124" s="2" t="str">
        <f>IMSUM(IMPRODUCT(IF($O$3=1,M124,COMPLEX(J124,$D124*BASE!L$15)),2),COMPLEX(BASE!F$36,$D124*BASE!L$14-BASE!L$10/$D124))</f>
        <v>2.06244500713952+15.9553789885007i</v>
      </c>
      <c r="Q124" s="2" t="str">
        <f>IMSUM(IMPRODUCT(IF($O$3=1,N124,COMPLEX(K124,$D124*BASE!M$15)),2),COMPLEX(BASE!G$36,$D124*BASE!M$14-BASE!M$10/$D124))</f>
        <v>2.06244500713952+15.4232518522024i</v>
      </c>
      <c r="R124" s="2" t="str">
        <f>COMPLEX(BASE!E$19,FRES!$D124*BASE!K$36)</f>
        <v>7.2+0.7690894197986i</v>
      </c>
      <c r="S124" s="2" t="str">
        <f>COMPLEX(BASE!F$19,FRES!$D124*BASE!L$36)</f>
        <v>7.2+0.7690894197986i</v>
      </c>
      <c r="T124" s="2" t="str">
        <f>COMPLEX(BASE!G$19,FRES!$D124*BASE!M$36)</f>
        <v>7.2+0.7690894197986i</v>
      </c>
      <c r="U124" s="2" t="str">
        <f>IMDIV(BASE!K$21*BASE!E$38,IMPRODUCT(FRES!R124,IMSUM(FRES!O124,IMDIV(BASE!K$21^2,FRES!R124))))</f>
        <v>0.007201924853996-0.0725141958518926i</v>
      </c>
      <c r="V124" s="2" t="str">
        <f>IMDIV(BASE!L$21*BASE!F$38,IMPRODUCT(FRES!S124,IMSUM(FRES!P124,IMDIV(BASE!L$21^2,FRES!S124))))</f>
        <v>0.00756516337057608-0.0736569746256913i</v>
      </c>
      <c r="W124" s="2" t="str">
        <f>IMDIV(BASE!M$21*BASE!G$38,IMPRODUCT(FRES!T124,IMSUM(FRES!Q124,IMDIV(BASE!M$21^2,FRES!T124))))</f>
        <v>0.00835280069472872-0.0760484725287924i</v>
      </c>
      <c r="X124" s="2" t="str">
        <f t="shared" si="52"/>
        <v>-0.0000262495043398893-2.60703377441633E-06i</v>
      </c>
      <c r="Y124" s="2" t="str">
        <f t="shared" si="51"/>
        <v>-0.0000266631802557559-2.73852293878435E-06i</v>
      </c>
      <c r="Z124" s="2" t="str">
        <f t="shared" si="51"/>
        <v>-0.0000275288815691168-0.0000030236407576571i</v>
      </c>
      <c r="AA124" s="44" t="str">
        <f>IMPRODUCT(COMPLEX(0,$D124),U124,E$2,BASE!E$15^2/10000,1/(2*BASE!$U$3))</f>
        <v>0.477042763856007+0.0473786697497226i</v>
      </c>
      <c r="AB124" s="44" t="str">
        <f>IMPRODUCT(COMPLEX(0,$D124),V124,F$2,BASE!F$15^2/10000,1/(2*BASE!$U$3))</f>
        <v>0.484560662087167+0.0497682750380752i</v>
      </c>
      <c r="AC124" s="44" t="str">
        <f>IMPRODUCT(COMPLEX(0,$D124),W124,G$2,BASE!G$15^2/10000,1/(2*BASE!$U$3))</f>
        <v>0.50029339905058+0.0549498354431213i</v>
      </c>
      <c r="AD124" s="44">
        <f t="shared" si="32"/>
        <v>9.8992812564301869E-2</v>
      </c>
      <c r="AE124" s="44">
        <f t="shared" si="33"/>
        <v>0.10234915340167657</v>
      </c>
      <c r="AF124" s="44">
        <f t="shared" si="34"/>
        <v>0.10939671365089791</v>
      </c>
      <c r="AG124" s="31">
        <f t="shared" si="35"/>
        <v>87.593175051454736</v>
      </c>
      <c r="AH124" s="31">
        <f t="shared" si="36"/>
        <v>87.731936681415021</v>
      </c>
      <c r="AI124" s="31">
        <f t="shared" si="37"/>
        <v>88.015974347803279</v>
      </c>
      <c r="AJ124" s="2" t="str">
        <f>IMSUM(R124,IMDIV(BASE!K$21^2,FRES!O124))</f>
        <v>7.27237673514935+0.199835428735155i</v>
      </c>
      <c r="AK124" s="2" t="str">
        <f>IMSUM(S124,IMDIV(BASE!L$21^2,FRES!P124))</f>
        <v>7.27477069368429+0.190652297433581i</v>
      </c>
      <c r="AL124" s="2" t="str">
        <f>IMSUM(T124,IMDIV(BASE!M$21^2,FRES!Q124))</f>
        <v>7.27992691474013+0.171384786928787i</v>
      </c>
      <c r="AM124" s="31">
        <f t="shared" si="50"/>
        <v>7.2870956640140538E-2</v>
      </c>
      <c r="AN124" s="31">
        <f t="shared" si="50"/>
        <v>7.4044456968994241E-2</v>
      </c>
      <c r="AO124" s="31">
        <f t="shared" si="50"/>
        <v>7.650581320009843E-2</v>
      </c>
      <c r="AP124" s="31">
        <f t="shared" si="38"/>
        <v>3.7305042640126143E-2</v>
      </c>
      <c r="AQ124" s="31">
        <f t="shared" si="39"/>
        <v>3.7905796106589805E-2</v>
      </c>
      <c r="AR124" s="31">
        <f t="shared" si="40"/>
        <v>3.9165845423731735E-2</v>
      </c>
      <c r="AS124" s="2">
        <f t="shared" si="41"/>
        <v>110.31510390900357</v>
      </c>
      <c r="AT124" s="2">
        <f t="shared" si="42"/>
        <v>110.32578747370295</v>
      </c>
      <c r="AU124" s="2">
        <f t="shared" si="43"/>
        <v>110.34822055471098</v>
      </c>
      <c r="AV124" s="2">
        <f t="shared" si="44"/>
        <v>110.31510390900357</v>
      </c>
      <c r="AW124" s="2">
        <f t="shared" si="45"/>
        <v>110.32578747370295</v>
      </c>
      <c r="AX124" s="2">
        <f t="shared" si="46"/>
        <v>110.34822055471098</v>
      </c>
      <c r="AY124">
        <f t="shared" si="47"/>
        <v>7.2751218255448666</v>
      </c>
      <c r="AZ124">
        <f t="shared" si="48"/>
        <v>7.2772685084586852</v>
      </c>
      <c r="BA124">
        <f t="shared" si="49"/>
        <v>7.281944014420076</v>
      </c>
    </row>
    <row r="125" spans="1:53" x14ac:dyDescent="0.2">
      <c r="A125" s="2">
        <v>121</v>
      </c>
      <c r="B125" s="2"/>
      <c r="C125" s="1">
        <v>452.54833995939038</v>
      </c>
      <c r="D125" s="2">
        <f t="shared" si="53"/>
        <v>2843.4450804213539</v>
      </c>
      <c r="E125" s="2"/>
      <c r="F125" s="2">
        <f>$D125*BASE!E$15/100/E$3</f>
        <v>0.52074720949577125</v>
      </c>
      <c r="G125" s="2">
        <f>$D125*BASE!F$15/100/F$3</f>
        <v>0.52074720949577125</v>
      </c>
      <c r="H125" s="2">
        <f>$D125*BASE!G$15/100/G$3</f>
        <v>0.52074720949577125</v>
      </c>
      <c r="I125" s="2">
        <f>(1-BESSELJ(2*F125,1)/F125)*BASE!K$13*E$2*E$3</f>
        <v>0.66706284577531794</v>
      </c>
      <c r="J125" s="2">
        <f>(1-BESSELJ(2*G125,1)/G125)*BASE!L$13*F$2*F$3</f>
        <v>0.66706284577531794</v>
      </c>
      <c r="K125" s="2">
        <f>(1-BESSELJ(2*H125,1)/H125)*BASE!M$13*G$2*G$3</f>
        <v>0.66706284577531794</v>
      </c>
      <c r="L125" s="2" t="str">
        <f>IMPRODUCT(COMPLEX(1-BESSELJ(2*F125,1)/F125,(STRUVE(2*F125)/(2*F125^2))),PI()*(BASE!E$15/100)^2*E$2*E$3)</f>
        <v>0.667062845775318+2.11566814961547i</v>
      </c>
      <c r="M125" s="2" t="str">
        <f>IMPRODUCT(COMPLEX(1-BESSELJ(2*G125,1)/G125,(STRUVE(2*G125)/(2*G125^2))),PI()*(BASE!F$15/100)^2*F$2*F$3)</f>
        <v>0.667062845775318+2.11566814961547i</v>
      </c>
      <c r="N125" s="2" t="str">
        <f>IMPRODUCT(COMPLEX(1-BESSELJ(2*H125,1)/H125,(STRUVE(2*H125)/(2*H125^2))),PI()*(BASE!G$15/100)^2*G$2*G$3)</f>
        <v>0.667062845775318+2.11566814961547i</v>
      </c>
      <c r="O125" s="2" t="str">
        <f>IMSUM(IMPRODUCT(IF($O$3=1,L125,COMPLEX(I125,$D125*BASE!K$15)),2),COMPLEX(BASE!E$36,$D125*BASE!K$14-BASE!K$10/$D125))</f>
        <v>2.13412569155064+16.7121273199681i</v>
      </c>
      <c r="P125" s="2" t="str">
        <f>IMSUM(IMPRODUCT(IF($O$3=1,M125,COMPLEX(J125,$D125*BASE!L$15)),2),COMPLEX(BASE!F$36,$D125*BASE!L$14-BASE!L$10/$D125))</f>
        <v>2.13412569155064+16.4536380651339i</v>
      </c>
      <c r="Q125" s="2" t="str">
        <f>IMSUM(IMPRODUCT(IF($O$3=1,N125,COMPLEX(K125,$D125*BASE!M$15)),2),COMPLEX(BASE!G$36,$D125*BASE!M$14-BASE!M$10/$D125))</f>
        <v>2.13412569155064+15.9366595554656i</v>
      </c>
      <c r="R125" s="2" t="str">
        <f>COMPLEX(BASE!E$19,FRES!$D125*BASE!K$36)</f>
        <v>7.2+0.791625459977544i</v>
      </c>
      <c r="S125" s="2" t="str">
        <f>COMPLEX(BASE!F$19,FRES!$D125*BASE!L$36)</f>
        <v>7.2+0.791625459977544i</v>
      </c>
      <c r="T125" s="2" t="str">
        <f>COMPLEX(BASE!G$19,FRES!$D125*BASE!M$36)</f>
        <v>7.2+0.791625459977544i</v>
      </c>
      <c r="U125" s="2" t="str">
        <f>IMDIV(BASE!K$21*BASE!E$38,IMPRODUCT(FRES!R125,IMSUM(FRES!O125,IMDIV(BASE!K$21^2,FRES!R125))))</f>
        <v>0.0066481679856669-0.0704195613583657i</v>
      </c>
      <c r="V125" s="2" t="str">
        <f>IMDIV(BASE!L$21*BASE!F$38,IMPRODUCT(FRES!S125,IMSUM(FRES!P125,IMDIV(BASE!L$21^2,FRES!S125))))</f>
        <v>0.00697329642820822-0.0714672630410233i</v>
      </c>
      <c r="W125" s="2" t="str">
        <f>IMDIV(BASE!M$21*BASE!G$38,IMPRODUCT(FRES!T125,IMSUM(FRES!Q125,IMDIV(BASE!M$21^2,FRES!T125))))</f>
        <v>0.00767533440840273-0.0736543235955274i</v>
      </c>
      <c r="X125" s="2" t="str">
        <f t="shared" si="52"/>
        <v>-0.0000247655781513919-2.33806801173798E-06i</v>
      </c>
      <c r="Y125" s="2" t="str">
        <f t="shared" si="51"/>
        <v>-0.0000251340402292676-2.45241115301404E-06i</v>
      </c>
      <c r="Z125" s="2" t="str">
        <f t="shared" si="51"/>
        <v>-0.0000259031989408472-2.69930812494025E-06i</v>
      </c>
      <c r="AA125" s="44" t="str">
        <f>IMPRODUCT(COMPLEX(0,$D125),U125,E$2,BASE!E$15^2/10000,1/(2*BASE!$U$3))</f>
        <v>0.476837617454935+0.0450172724961028i</v>
      </c>
      <c r="AB125" s="44" t="str">
        <f>IMPRODUCT(COMPLEX(0,$D125),V125,F$2,BASE!F$15^2/10000,1/(2*BASE!$U$3))</f>
        <v>0.483932003794827+0.0472188407665904i</v>
      </c>
      <c r="AC125" s="44" t="str">
        <f>IMPRODUCT(COMPLEX(0,$D125),W125,G$2,BASE!G$15^2/10000,1/(2*BASE!$U$3))</f>
        <v>0.498741422142837+0.0519726067853141i</v>
      </c>
      <c r="AD125" s="44">
        <f t="shared" si="32"/>
        <v>9.4128980735060319E-2</v>
      </c>
      <c r="AE125" s="44">
        <f t="shared" si="33"/>
        <v>9.7265402704025547E-2</v>
      </c>
      <c r="AF125" s="44">
        <f t="shared" si="34"/>
        <v>0.103832755215558</v>
      </c>
      <c r="AG125" s="31">
        <f t="shared" si="35"/>
        <v>87.585346873369488</v>
      </c>
      <c r="AH125" s="31">
        <f t="shared" si="36"/>
        <v>87.716238601919798</v>
      </c>
      <c r="AI125" s="31">
        <f t="shared" si="37"/>
        <v>87.983815584702981</v>
      </c>
      <c r="AJ125" s="2" t="str">
        <f>IMSUM(R125,IMDIV(BASE!K$21^2,FRES!O125))</f>
        <v>7.27054910634016+0.239162382411528i</v>
      </c>
      <c r="AK125" s="2" t="str">
        <f>IMSUM(S125,IMDIV(BASE!L$21^2,FRES!P125))</f>
        <v>7.27274623042756+0.230768078991565i</v>
      </c>
      <c r="AL125" s="2" t="str">
        <f>IMSUM(T125,IMDIV(BASE!M$21^2,FRES!Q125))</f>
        <v>7.27745800247672+0.213205069742253i</v>
      </c>
      <c r="AM125" s="31">
        <f t="shared" si="50"/>
        <v>7.0732685227342232E-2</v>
      </c>
      <c r="AN125" s="31">
        <f t="shared" si="50"/>
        <v>7.1806660900298622E-2</v>
      </c>
      <c r="AO125" s="31">
        <f t="shared" si="50"/>
        <v>7.4053157546423873E-2</v>
      </c>
      <c r="AP125" s="31">
        <f t="shared" si="38"/>
        <v>3.5179551537795714E-2</v>
      </c>
      <c r="AQ125" s="31">
        <f t="shared" si="39"/>
        <v>3.5713703216268954E-2</v>
      </c>
      <c r="AR125" s="31">
        <f t="shared" si="40"/>
        <v>3.6831018984613398E-2</v>
      </c>
      <c r="AS125" s="2">
        <f t="shared" si="41"/>
        <v>110.29962185144373</v>
      </c>
      <c r="AT125" s="2">
        <f t="shared" si="42"/>
        <v>110.30960539264339</v>
      </c>
      <c r="AU125" s="2">
        <f t="shared" si="43"/>
        <v>110.33050992494813</v>
      </c>
      <c r="AV125" s="2">
        <f t="shared" si="44"/>
        <v>110.29962185144373</v>
      </c>
      <c r="AW125" s="2">
        <f t="shared" si="45"/>
        <v>110.30960539264339</v>
      </c>
      <c r="AX125" s="2">
        <f t="shared" si="46"/>
        <v>110.33050992494813</v>
      </c>
      <c r="AY125">
        <f t="shared" si="47"/>
        <v>7.2744816277769546</v>
      </c>
      <c r="AZ125">
        <f t="shared" si="48"/>
        <v>7.276406505857115</v>
      </c>
      <c r="BA125">
        <f t="shared" si="49"/>
        <v>7.2805804287554068</v>
      </c>
    </row>
    <row r="126" spans="1:53" x14ac:dyDescent="0.2">
      <c r="A126" s="2">
        <v>122</v>
      </c>
      <c r="B126" s="2"/>
      <c r="C126" s="1">
        <v>465.80901850949999</v>
      </c>
      <c r="D126" s="2">
        <f t="shared" si="53"/>
        <v>2926.7643810506343</v>
      </c>
      <c r="E126" s="2"/>
      <c r="F126" s="2">
        <f>$D126*BASE!E$15/100/E$3</f>
        <v>0.53600626745985458</v>
      </c>
      <c r="G126" s="2">
        <f>$D126*BASE!F$15/100/F$3</f>
        <v>0.53600626745985458</v>
      </c>
      <c r="H126" s="2">
        <f>$D126*BASE!G$15/100/G$3</f>
        <v>0.53600626745985458</v>
      </c>
      <c r="I126" s="2">
        <f>(1-BESSELJ(2*F126,1)/F126)*BASE!K$13*E$2*E$3</f>
        <v>0.70483188557145282</v>
      </c>
      <c r="J126" s="2">
        <f>(1-BESSELJ(2*G126,1)/G126)*BASE!L$13*F$2*F$3</f>
        <v>0.70483188557145282</v>
      </c>
      <c r="K126" s="2">
        <f>(1-BESSELJ(2*H126,1)/H126)*BASE!M$13*G$2*G$3</f>
        <v>0.70483188557145282</v>
      </c>
      <c r="L126" s="2" t="str">
        <f>IMPRODUCT(COMPLEX(1-BESSELJ(2*F126,1)/F126,(STRUVE(2*F126)/(2*F126^2))),PI()*(BASE!E$15/100)^2*E$2*E$3)</f>
        <v>0.704831885571454+2.16821784538505i</v>
      </c>
      <c r="M126" s="2" t="str">
        <f>IMPRODUCT(COMPLEX(1-BESSELJ(2*G126,1)/G126,(STRUVE(2*G126)/(2*G126^2))),PI()*(BASE!F$15/100)^2*F$2*F$3)</f>
        <v>0.704831885571454+2.16821784538505i</v>
      </c>
      <c r="N126" s="2" t="str">
        <f>IMPRODUCT(COMPLEX(1-BESSELJ(2*H126,1)/H126,(STRUVE(2*H126)/(2*H126^2))),PI()*(BASE!G$15/100)^2*G$2*G$3)</f>
        <v>0.704831885571454+2.16821784538505i</v>
      </c>
      <c r="O126" s="2" t="str">
        <f>IMSUM(IMPRODUCT(IF($O$3=1,L126,COMPLEX(I126,$D126*BASE!K$15)),2),COMPLEX(BASE!E$36,$D126*BASE!K$14-BASE!K$10/$D126))</f>
        <v>2.20966377114291+17.2167529688389i</v>
      </c>
      <c r="P126" s="2" t="str">
        <f>IMSUM(IMPRODUCT(IF($O$3=1,M126,COMPLEX(J126,$D126*BASE!L$15)),2),COMPLEX(BASE!F$36,$D126*BASE!L$14-BASE!L$10/$D126))</f>
        <v>2.20966377114291+16.9656224013225i</v>
      </c>
      <c r="Q126" s="2" t="str">
        <f>IMSUM(IMPRODUCT(IF($O$3=1,N126,COMPLEX(K126,$D126*BASE!M$15)),2),COMPLEX(BASE!G$36,$D126*BASE!M$14-BASE!M$10/$D126))</f>
        <v>2.20966377114291+16.4633612662897i</v>
      </c>
      <c r="R126" s="2" t="str">
        <f>COMPLEX(BASE!E$19,FRES!$D126*BASE!K$36)</f>
        <v>7.2+0.81482185653882i</v>
      </c>
      <c r="S126" s="2" t="str">
        <f>COMPLEX(BASE!F$19,FRES!$D126*BASE!L$36)</f>
        <v>7.2+0.81482185653882i</v>
      </c>
      <c r="T126" s="2" t="str">
        <f>COMPLEX(BASE!G$19,FRES!$D126*BASE!M$36)</f>
        <v>7.2+0.81482185653882i</v>
      </c>
      <c r="U126" s="2" t="str">
        <f>IMDIV(BASE!K$21*BASE!E$38,IMPRODUCT(FRES!R126,IMSUM(FRES!O126,IMDIV(BASE!K$21^2,FRES!R126))))</f>
        <v>0.00612506844513207-0.068383250954067i</v>
      </c>
      <c r="V126" s="2" t="str">
        <f>IMDIV(BASE!L$21*BASE!F$38,IMPRODUCT(FRES!S126,IMSUM(FRES!P126,IMDIV(BASE!L$21^2,FRES!S126))))</f>
        <v>0.00641617712492036-0.0693437315437586i</v>
      </c>
      <c r="W126" s="2" t="str">
        <f>IMDIV(BASE!M$21*BASE!G$38,IMPRODUCT(FRES!T126,IMSUM(FRES!Q126,IMDIV(BASE!M$21^2,FRES!T126))))</f>
        <v>0.00704226529151696-0.0713439834241775i</v>
      </c>
      <c r="X126" s="2" t="str">
        <f t="shared" si="52"/>
        <v>-0.0000233647954023273-2.09277811524183E-06i</v>
      </c>
      <c r="Y126" s="2" t="str">
        <f t="shared" si="51"/>
        <v>-0.0000236929668793038-2.19224245260807E-06i</v>
      </c>
      <c r="Z126" s="2" t="str">
        <f t="shared" si="51"/>
        <v>-0.0000243764014233927-2.40616065205392E-06i</v>
      </c>
      <c r="AA126" s="44" t="str">
        <f>IMPRODUCT(COMPLEX(0,$D126),U126,E$2,BASE!E$15^2/10000,1/(2*BASE!$U$3))</f>
        <v>0.476617356632101+0.0426904818179885i</v>
      </c>
      <c r="AB126" s="44" t="str">
        <f>IMPRODUCT(COMPLEX(0,$D126),V126,F$2,BASE!F$15^2/10000,1/(2*BASE!$U$3))</f>
        <v>0.483311711073699+0.0447194501328548i</v>
      </c>
      <c r="AC126" s="44" t="str">
        <f>IMPRODUCT(COMPLEX(0,$D126),W126,G$2,BASE!G$15^2/10000,1/(2*BASE!$U$3))</f>
        <v>0.497253060023079+0.0490831573684519i</v>
      </c>
      <c r="AD126" s="44">
        <f t="shared" si="32"/>
        <v>8.9331332247086212E-2</v>
      </c>
      <c r="AE126" s="44">
        <f t="shared" si="33"/>
        <v>9.2264437675562E-2</v>
      </c>
      <c r="AF126" s="44">
        <f t="shared" si="34"/>
        <v>9.838988372313448E-2</v>
      </c>
      <c r="AG126" s="31">
        <f t="shared" si="35"/>
        <v>87.577500430387829</v>
      </c>
      <c r="AH126" s="31">
        <f t="shared" si="36"/>
        <v>87.700969332562408</v>
      </c>
      <c r="AI126" s="31">
        <f t="shared" si="37"/>
        <v>87.953059560111427</v>
      </c>
      <c r="AJ126" s="2" t="str">
        <f>IMSUM(R126,IMDIV(BASE!K$21^2,FRES!O126))</f>
        <v>7.26881580133221+0.278638629315705i</v>
      </c>
      <c r="AK126" s="2" t="str">
        <f>IMSUM(S126,IMDIV(BASE!L$21^2,FRES!P126))</f>
        <v>7.27083391244339+0.270964719802863i</v>
      </c>
      <c r="AL126" s="2" t="str">
        <f>IMSUM(T126,IMDIV(BASE!M$21^2,FRES!Q126))</f>
        <v>7.27514416896515+0.25495133827961i</v>
      </c>
      <c r="AM126" s="31">
        <f t="shared" si="50"/>
        <v>6.8657013294378441E-2</v>
      </c>
      <c r="AN126" s="31">
        <f t="shared" si="50"/>
        <v>6.9639934185144178E-2</v>
      </c>
      <c r="AO126" s="31">
        <f t="shared" si="50"/>
        <v>7.1690707007710686E-2</v>
      </c>
      <c r="AP126" s="31">
        <f t="shared" si="38"/>
        <v>3.3175092597677855E-2</v>
      </c>
      <c r="AQ126" s="31">
        <f t="shared" si="39"/>
        <v>3.3650040312451453E-2</v>
      </c>
      <c r="AR126" s="31">
        <f t="shared" si="40"/>
        <v>3.4640974450435839E-2</v>
      </c>
      <c r="AS126" s="2">
        <f t="shared" si="41"/>
        <v>110.28435046200217</v>
      </c>
      <c r="AT126" s="2">
        <f t="shared" si="42"/>
        <v>110.2936868265532</v>
      </c>
      <c r="AU126" s="2">
        <f t="shared" si="43"/>
        <v>110.31318472689547</v>
      </c>
      <c r="AV126" s="2">
        <f t="shared" si="44"/>
        <v>110.28435046200217</v>
      </c>
      <c r="AW126" s="2">
        <f t="shared" si="45"/>
        <v>110.2936868265532</v>
      </c>
      <c r="AX126" s="2">
        <f t="shared" si="46"/>
        <v>110.31318472689547</v>
      </c>
      <c r="AY126">
        <f t="shared" si="47"/>
        <v>7.274154427797348</v>
      </c>
      <c r="AZ126">
        <f t="shared" si="48"/>
        <v>7.2758812292199151</v>
      </c>
      <c r="BA126">
        <f t="shared" si="49"/>
        <v>7.2796100763789671</v>
      </c>
    </row>
    <row r="127" spans="1:53" x14ac:dyDescent="0.2">
      <c r="A127" s="2">
        <v>123</v>
      </c>
      <c r="B127" s="2"/>
      <c r="C127" s="1">
        <v>479.45826460053797</v>
      </c>
      <c r="D127" s="2">
        <f t="shared" si="53"/>
        <v>3012.5251235439227</v>
      </c>
      <c r="E127" s="2"/>
      <c r="F127" s="2">
        <f>$D127*BASE!E$15/100/E$3</f>
        <v>0.55171244995135782</v>
      </c>
      <c r="G127" s="2">
        <f>$D127*BASE!F$15/100/F$3</f>
        <v>0.55171244995135782</v>
      </c>
      <c r="H127" s="2">
        <f>$D127*BASE!G$15/100/G$3</f>
        <v>0.55171244995135782</v>
      </c>
      <c r="I127" s="2">
        <f>(1-BESSELJ(2*F127,1)/F127)*BASE!K$13*E$2*E$3</f>
        <v>0.74462044158891583</v>
      </c>
      <c r="J127" s="2">
        <f>(1-BESSELJ(2*G127,1)/G127)*BASE!L$13*F$2*F$3</f>
        <v>0.74462044158891583</v>
      </c>
      <c r="K127" s="2">
        <f>(1-BESSELJ(2*H127,1)/H127)*BASE!M$13*G$2*G$3</f>
        <v>0.74462044158891583</v>
      </c>
      <c r="L127" s="2" t="str">
        <f>IMPRODUCT(COMPLEX(1-BESSELJ(2*F127,1)/F127,(STRUVE(2*F127)/(2*F127^2))),PI()*(BASE!E$15/100)^2*E$2*E$3)</f>
        <v>0.744620441588917+2.22149204646388i</v>
      </c>
      <c r="M127" s="2" t="str">
        <f>IMPRODUCT(COMPLEX(1-BESSELJ(2*G127,1)/G127,(STRUVE(2*G127)/(2*G127^2))),PI()*(BASE!F$15/100)^2*F$2*F$3)</f>
        <v>0.744620441588917+2.22149204646388i</v>
      </c>
      <c r="N127" s="2" t="str">
        <f>IMPRODUCT(COMPLEX(1-BESSELJ(2*H127,1)/H127,(STRUVE(2*H127)/(2*H127^2))),PI()*(BASE!G$15/100)^2*G$2*G$3)</f>
        <v>0.744620441588917+2.22149204646388i</v>
      </c>
      <c r="O127" s="2" t="str">
        <f>IMSUM(IMPRODUCT(IF($O$3=1,L127,COMPLEX(I127,$D127*BASE!K$15)),2),COMPLEX(BASE!E$36,$D127*BASE!K$14-BASE!K$10/$D127))</f>
        <v>2.28924088317783+17.7357404507744i</v>
      </c>
      <c r="P127" s="2" t="str">
        <f>IMSUM(IMPRODUCT(IF($O$3=1,M127,COMPLEX(J127,$D127*BASE!L$15)),2),COMPLEX(BASE!F$36,$D127*BASE!L$14-BASE!L$10/$D127))</f>
        <v>2.28924088317783+17.4917590830322i</v>
      </c>
      <c r="Q127" s="2" t="str">
        <f>IMSUM(IMPRODUCT(IF($O$3=1,N127,COMPLEX(K127,$D127*BASE!M$15)),2),COMPLEX(BASE!G$36,$D127*BASE!M$14-BASE!M$10/$D127))</f>
        <v>2.28924088317783+17.0037963475478i</v>
      </c>
      <c r="R127" s="2" t="str">
        <f>COMPLEX(BASE!E$19,FRES!$D127*BASE!K$36)</f>
        <v>7.2+0.838697959401409i</v>
      </c>
      <c r="S127" s="2" t="str">
        <f>COMPLEX(BASE!F$19,FRES!$D127*BASE!L$36)</f>
        <v>7.2+0.838697959401409i</v>
      </c>
      <c r="T127" s="2" t="str">
        <f>COMPLEX(BASE!G$19,FRES!$D127*BASE!M$36)</f>
        <v>7.2+0.838697959401409i</v>
      </c>
      <c r="U127" s="2" t="str">
        <f>IMDIV(BASE!K$21*BASE!E$38,IMPRODUCT(FRES!R127,IMSUM(FRES!O127,IMDIV(BASE!K$21^2,FRES!R127))))</f>
        <v>0.00563074690656993-0.0664036348795928i</v>
      </c>
      <c r="V127" s="2" t="str">
        <f>IMDIV(BASE!L$21*BASE!F$38,IMPRODUCT(FRES!S127,IMSUM(FRES!P127,IMDIV(BASE!L$21^2,FRES!S127))))</f>
        <v>0.00589147401817876-0.0672841074565091i</v>
      </c>
      <c r="W127" s="2" t="str">
        <f>IMDIV(BASE!M$21*BASE!G$38,IMPRODUCT(FRES!T127,IMSUM(FRES!Q127,IMDIV(BASE!M$21^2,FRES!T127))))</f>
        <v>0.00645012244070677-0.0691136381853094i</v>
      </c>
      <c r="X127" s="2" t="str">
        <f t="shared" si="52"/>
        <v>-0.000022042516545547-1.86911201588452E-06i</v>
      </c>
      <c r="Y127" s="2" t="str">
        <f t="shared" si="51"/>
        <v>-0.0000223347871626566-1.95565971288832E-06i</v>
      </c>
      <c r="Z127" s="2" t="str">
        <f t="shared" si="51"/>
        <v>-0.0000229420952028458-2.14110162610657E-06i</v>
      </c>
      <c r="AA127" s="44" t="str">
        <f>IMPRODUCT(COMPLEX(0,$D127),U127,E$2,BASE!E$15^2/10000,1/(2*BASE!$U$3))</f>
        <v>0.476381491384914+0.0403951321915832i</v>
      </c>
      <c r="AB127" s="44" t="str">
        <f>IMPRODUCT(COMPLEX(0,$D127),V127,F$2,BASE!F$15^2/10000,1/(2*BASE!$U$3))</f>
        <v>0.48269802571433+0.0422655956157303i</v>
      </c>
      <c r="AC127" s="44" t="str">
        <f>IMPRODUCT(COMPLEX(0,$D127),W127,G$2,BASE!G$15^2/10000,1/(2*BASE!$U$3))</f>
        <v>0.495823129162368+0.0462733546663649i</v>
      </c>
      <c r="AD127" s="44">
        <f t="shared" si="32"/>
        <v>8.4593399372235784E-2</v>
      </c>
      <c r="AE127" s="44">
        <f t="shared" si="33"/>
        <v>8.7338400844896094E-2</v>
      </c>
      <c r="AF127" s="44">
        <f t="shared" si="34"/>
        <v>9.3056789250644395E-2</v>
      </c>
      <c r="AG127" s="31">
        <f t="shared" si="35"/>
        <v>87.56961311888503</v>
      </c>
      <c r="AH127" s="31">
        <f t="shared" si="36"/>
        <v>87.686080706349031</v>
      </c>
      <c r="AI127" s="31">
        <f t="shared" si="37"/>
        <v>87.923598145536886</v>
      </c>
      <c r="AJ127" s="2" t="str">
        <f>IMSUM(R127,IMDIV(BASE!K$21^2,FRES!O127))</f>
        <v>7.26717024067614+0.318301017601923i</v>
      </c>
      <c r="AK127" s="2" t="str">
        <f>IMSUM(S127,IMDIV(BASE!L$21^2,FRES!P127))</f>
        <v>7.26902536338661+0.311285123185905i</v>
      </c>
      <c r="AL127" s="2" t="str">
        <f>IMSUM(T127,IMDIV(BASE!M$21^2,FRES!Q127))</f>
        <v>7.27297234747027+0.296681195457993i</v>
      </c>
      <c r="AM127" s="31">
        <f t="shared" si="50"/>
        <v>6.6641939017019314E-2</v>
      </c>
      <c r="AN127" s="31">
        <f t="shared" si="50"/>
        <v>6.7541547082710054E-2</v>
      </c>
      <c r="AO127" s="31">
        <f t="shared" si="50"/>
        <v>6.9413968786620803E-2</v>
      </c>
      <c r="AP127" s="31">
        <f t="shared" si="38"/>
        <v>3.1284696430959255E-2</v>
      </c>
      <c r="AQ127" s="31">
        <f t="shared" si="39"/>
        <v>3.1707012552865475E-2</v>
      </c>
      <c r="AR127" s="31">
        <f t="shared" si="40"/>
        <v>3.2586010755223063E-2</v>
      </c>
      <c r="AS127" s="2">
        <f t="shared" si="41"/>
        <v>110.26926915326077</v>
      </c>
      <c r="AT127" s="2">
        <f t="shared" si="42"/>
        <v>110.27800676432413</v>
      </c>
      <c r="AU127" s="2">
        <f t="shared" si="43"/>
        <v>110.29620895995002</v>
      </c>
      <c r="AV127" s="2">
        <f t="shared" si="44"/>
        <v>110.26926915326077</v>
      </c>
      <c r="AW127" s="2">
        <f t="shared" si="45"/>
        <v>110.27800676432413</v>
      </c>
      <c r="AX127" s="2">
        <f t="shared" si="46"/>
        <v>110.29620895995002</v>
      </c>
      <c r="AY127">
        <f t="shared" si="47"/>
        <v>7.2741376701829967</v>
      </c>
      <c r="AZ127">
        <f t="shared" si="48"/>
        <v>7.2756874700247192</v>
      </c>
      <c r="BA127">
        <f t="shared" si="49"/>
        <v>7.2790209849131218</v>
      </c>
    </row>
    <row r="128" spans="1:53" x14ac:dyDescent="0.2">
      <c r="A128" s="2">
        <v>124</v>
      </c>
      <c r="B128" s="2"/>
      <c r="C128" s="1">
        <v>493.50746413054094</v>
      </c>
      <c r="D128" s="2">
        <f t="shared" si="53"/>
        <v>3100.7988476084715</v>
      </c>
      <c r="E128" s="2"/>
      <c r="F128" s="2">
        <f>$D128*BASE!E$15/100/E$3</f>
        <v>0.56787885871899324</v>
      </c>
      <c r="G128" s="2">
        <f>$D128*BASE!F$15/100/F$3</f>
        <v>0.56787885871899324</v>
      </c>
      <c r="H128" s="2">
        <f>$D128*BASE!G$15/100/G$3</f>
        <v>0.56787885871899324</v>
      </c>
      <c r="I128" s="2">
        <f>(1-BESSELJ(2*F128,1)/F128)*BASE!K$13*E$2*E$3</f>
        <v>0.78652198189107492</v>
      </c>
      <c r="J128" s="2">
        <f>(1-BESSELJ(2*G128,1)/G128)*BASE!L$13*F$2*F$3</f>
        <v>0.78652198189107492</v>
      </c>
      <c r="K128" s="2">
        <f>(1-BESSELJ(2*H128,1)/H128)*BASE!M$13*G$2*G$3</f>
        <v>0.78652198189107492</v>
      </c>
      <c r="L128" s="2" t="str">
        <f>IMPRODUCT(COMPLEX(1-BESSELJ(2*F128,1)/F128,(STRUVE(2*F128)/(2*F128^2))),PI()*(BASE!E$15/100)^2*E$2*E$3)</f>
        <v>0.786521981891073+2.27544416854738i</v>
      </c>
      <c r="M128" s="2" t="str">
        <f>IMPRODUCT(COMPLEX(1-BESSELJ(2*G128,1)/G128,(STRUVE(2*G128)/(2*G128^2))),PI()*(BASE!F$15/100)^2*F$2*F$3)</f>
        <v>0.786521981891073+2.27544416854738i</v>
      </c>
      <c r="N128" s="2" t="str">
        <f>IMPRODUCT(COMPLEX(1-BESSELJ(2*H128,1)/H128,(STRUVE(2*H128)/(2*H128^2))),PI()*(BASE!G$15/100)^2*G$2*G$3)</f>
        <v>0.786521981891073+2.27544416854738i</v>
      </c>
      <c r="O128" s="2" t="str">
        <f>IMSUM(IMPRODUCT(IF($O$3=1,L128,COMPLEX(I128,$D128*BASE!K$15)),2),COMPLEX(BASE!E$36,$D128*BASE!K$14-BASE!K$10/$D128))</f>
        <v>2.37304396378215+18.2695226936092i</v>
      </c>
      <c r="P128" s="2" t="str">
        <f>IMSUM(IMPRODUCT(IF($O$3=1,M128,COMPLEX(J128,$D128*BASE!L$15)),2),COMPLEX(BASE!F$36,$D128*BASE!L$14-BASE!L$10/$D128))</f>
        <v>2.37304396378215+18.0324870018013i</v>
      </c>
      <c r="Q128" s="2" t="str">
        <f>IMSUM(IMPRODUCT(IF($O$3=1,N128,COMPLEX(K128,$D128*BASE!M$15)),2),COMPLEX(BASE!G$36,$D128*BASE!M$14-BASE!M$10/$D128))</f>
        <v>2.37304396378215+17.5584156181855i</v>
      </c>
      <c r="R128" s="2" t="str">
        <f>COMPLEX(BASE!E$19,FRES!$D128*BASE!K$36)</f>
        <v>7.2+0.863273685480203i</v>
      </c>
      <c r="S128" s="2" t="str">
        <f>COMPLEX(BASE!F$19,FRES!$D128*BASE!L$36)</f>
        <v>7.2+0.863273685480203i</v>
      </c>
      <c r="T128" s="2" t="str">
        <f>COMPLEX(BASE!G$19,FRES!$D128*BASE!M$36)</f>
        <v>7.2+0.863273685480203i</v>
      </c>
      <c r="U128" s="2" t="str">
        <f>IMDIV(BASE!K$21*BASE!E$38,IMPRODUCT(FRES!R128,IMSUM(FRES!O128,IMDIV(BASE!K$21^2,FRES!R128))))</f>
        <v>0.00516343665824596-0.0644791235402882i</v>
      </c>
      <c r="V128" s="2" t="str">
        <f>IMDIV(BASE!L$21*BASE!F$38,IMPRODUCT(FRES!S128,IMSUM(FRES!P128,IMDIV(BASE!L$21^2,FRES!S128))))</f>
        <v>0.00539701954722941-0.0652862099649615i</v>
      </c>
      <c r="W128" s="2" t="str">
        <f>IMDIV(BASE!M$21*BASE!G$38,IMPRODUCT(FRES!T128,IMSUM(FRES!Q128,IMDIV(BASE!M$21^2,FRES!T128))))</f>
        <v>0.00589573988391274-0.0669597028948847i</v>
      </c>
      <c r="X128" s="2" t="str">
        <f t="shared" si="52"/>
        <v>-0.000020794358715019-0.0000016651956195831i</v>
      </c>
      <c r="Y128" s="2" t="str">
        <f t="shared" si="51"/>
        <v>-0.0000210546421014424-1.74052552663709E-06i</v>
      </c>
      <c r="Z128" s="2" t="str">
        <f t="shared" si="51"/>
        <v>-0.0000215943394543404-1.90136160830294E-06i</v>
      </c>
      <c r="AA128" s="44" t="str">
        <f>IMPRODUCT(COMPLEX(0,$D128),U128,E$2,BASE!E$15^2/10000,1/(2*BASE!$U$3))</f>
        <v>0.476129476393857+0.0381280677760358i</v>
      </c>
      <c r="AB128" s="44" t="str">
        <f>IMPRODUCT(COMPLEX(0,$D128),V128,F$2,BASE!F$15^2/10000,1/(2*BASE!$U$3))</f>
        <v>0.482089198171777+0.0398529004431046i</v>
      </c>
      <c r="AC128" s="44" t="str">
        <f>IMPRODUCT(COMPLEX(0,$D128),W128,G$2,BASE!G$15^2/10000,1/(2*BASE!$U$3))</f>
        <v>0.494446675580342+0.0435355722868625i</v>
      </c>
      <c r="AD128" s="44">
        <f t="shared" si="32"/>
        <v>7.9908681998270642E-2</v>
      </c>
      <c r="AE128" s="44">
        <f t="shared" si="33"/>
        <v>8.2479524925503353E-2</v>
      </c>
      <c r="AF128" s="44">
        <f t="shared" si="34"/>
        <v>8.7822589731527539E-2</v>
      </c>
      <c r="AG128" s="31">
        <f t="shared" si="35"/>
        <v>87.561662453878384</v>
      </c>
      <c r="AH128" s="31">
        <f t="shared" si="36"/>
        <v>87.671526156683825</v>
      </c>
      <c r="AI128" s="31">
        <f t="shared" si="37"/>
        <v>87.895328755298848</v>
      </c>
      <c r="AJ128" s="2" t="str">
        <f>IMSUM(R128,IMDIV(BASE!K$21^2,FRES!O128))</f>
        <v>7.26560624762954+0.358186191020078i</v>
      </c>
      <c r="AK128" s="2" t="str">
        <f>IMSUM(S128,IMDIV(BASE!L$21^2,FRES!P128))</f>
        <v>7.26731280771643+0.351771434056809i</v>
      </c>
      <c r="AL128" s="2" t="str">
        <f>IMSUM(T128,IMDIV(BASE!M$21^2,FRES!Q128))</f>
        <v>7.27093064143409+0.338449998531216i</v>
      </c>
      <c r="AM128" s="31">
        <f t="shared" si="50"/>
        <v>6.4685535095935207E-2</v>
      </c>
      <c r="AN128" s="31">
        <f t="shared" si="50"/>
        <v>6.5508908032283777E-2</v>
      </c>
      <c r="AO128" s="31">
        <f t="shared" si="50"/>
        <v>6.7218758992932851E-2</v>
      </c>
      <c r="AP128" s="31">
        <f t="shared" si="38"/>
        <v>2.950180437940586E-2</v>
      </c>
      <c r="AQ128" s="31">
        <f t="shared" si="39"/>
        <v>2.9877328633219742E-2</v>
      </c>
      <c r="AR128" s="31">
        <f t="shared" si="40"/>
        <v>3.0657158134269745E-2</v>
      </c>
      <c r="AS128" s="2">
        <f t="shared" si="41"/>
        <v>110.25435723471966</v>
      </c>
      <c r="AT128" s="2">
        <f t="shared" si="42"/>
        <v>110.26254048191529</v>
      </c>
      <c r="AU128" s="2">
        <f t="shared" si="43"/>
        <v>110.27954798541808</v>
      </c>
      <c r="AV128" s="2">
        <f t="shared" si="44"/>
        <v>110.25435723471966</v>
      </c>
      <c r="AW128" s="2">
        <f t="shared" si="45"/>
        <v>110.26254048191529</v>
      </c>
      <c r="AX128" s="2">
        <f t="shared" si="46"/>
        <v>110.27954798541808</v>
      </c>
      <c r="AY128">
        <f t="shared" si="47"/>
        <v>7.274429977189337</v>
      </c>
      <c r="AZ128">
        <f t="shared" si="48"/>
        <v>7.2758215059893852</v>
      </c>
      <c r="BA128">
        <f t="shared" si="49"/>
        <v>7.2788035276445626</v>
      </c>
    </row>
    <row r="129" spans="1:53" x14ac:dyDescent="0.2">
      <c r="A129" s="2">
        <v>125</v>
      </c>
      <c r="B129" s="2"/>
      <c r="C129" s="1">
        <v>507.96833662982397</v>
      </c>
      <c r="D129" s="2">
        <f t="shared" si="53"/>
        <v>3191.6591892249639</v>
      </c>
      <c r="E129" s="2"/>
      <c r="F129" s="2">
        <f>$D129*BASE!E$15/100/E$3</f>
        <v>0.5845189794220137</v>
      </c>
      <c r="G129" s="2">
        <f>$D129*BASE!F$15/100/F$3</f>
        <v>0.5845189794220137</v>
      </c>
      <c r="H129" s="2">
        <f>$D129*BASE!G$15/100/G$3</f>
        <v>0.5845189794220137</v>
      </c>
      <c r="I129" s="2">
        <f>(1-BESSELJ(2*F129,1)/F129)*BASE!K$13*E$2*E$3</f>
        <v>0.83063247622125536</v>
      </c>
      <c r="J129" s="2">
        <f>(1-BESSELJ(2*G129,1)/G129)*BASE!L$13*F$2*F$3</f>
        <v>0.83063247622125536</v>
      </c>
      <c r="K129" s="2">
        <f>(1-BESSELJ(2*H129,1)/H129)*BASE!M$13*G$2*G$3</f>
        <v>0.83063247622125536</v>
      </c>
      <c r="L129" s="2" t="str">
        <f>IMPRODUCT(COMPLEX(1-BESSELJ(2*F129,1)/F129,(STRUVE(2*F129)/(2*F129^2))),PI()*(BASE!E$15/100)^2*E$2*E$3)</f>
        <v>0.830632476221257+2.33002102045192i</v>
      </c>
      <c r="M129" s="2" t="str">
        <f>IMPRODUCT(COMPLEX(1-BESSELJ(2*G129,1)/G129,(STRUVE(2*G129)/(2*G129^2))),PI()*(BASE!F$15/100)^2*F$2*F$3)</f>
        <v>0.830632476221257+2.33002102045192i</v>
      </c>
      <c r="N129" s="2" t="str">
        <f>IMPRODUCT(COMPLEX(1-BESSELJ(2*H129,1)/H129,(STRUVE(2*H129)/(2*H129^2))),PI()*(BASE!G$15/100)^2*G$2*G$3)</f>
        <v>0.830632476221257+2.33002102045192i</v>
      </c>
      <c r="O129" s="2" t="str">
        <f>IMSUM(IMPRODUCT(IF($O$3=1,L129,COMPLEX(I129,$D129*BASE!K$15)),2),COMPLEX(BASE!E$36,$D129*BASE!K$14-BASE!K$10/$D129))</f>
        <v>2.46126495244251+18.8185449666385i</v>
      </c>
      <c r="P129" s="2" t="str">
        <f>IMSUM(IMPRODUCT(IF($O$3=1,M129,COMPLEX(J129,$D129*BASE!L$15)),2),COMPLEX(BASE!F$36,$D129*BASE!L$14-BASE!L$10/$D129))</f>
        <v>2.46126495244251+18.5882572208537i</v>
      </c>
      <c r="Q129" s="2" t="str">
        <f>IMSUM(IMPRODUCT(IF($O$3=1,N129,COMPLEX(K129,$D129*BASE!M$15)),2),COMPLEX(BASE!G$36,$D129*BASE!M$14-BASE!M$10/$D129))</f>
        <v>2.46126495244251+18.1276817292841i</v>
      </c>
      <c r="R129" s="2" t="str">
        <f>COMPLEX(BASE!E$19,FRES!$D129*BASE!K$36)</f>
        <v>7.2+0.888569535300244i</v>
      </c>
      <c r="S129" s="2" t="str">
        <f>COMPLEX(BASE!F$19,FRES!$D129*BASE!L$36)</f>
        <v>7.2+0.888569535300244i</v>
      </c>
      <c r="T129" s="2" t="str">
        <f>COMPLEX(BASE!G$19,FRES!$D129*BASE!M$36)</f>
        <v>7.2+0.888569535300244i</v>
      </c>
      <c r="U129" s="2" t="str">
        <f>IMDIV(BASE!K$21*BASE!E$38,IMPRODUCT(FRES!R129,IMSUM(FRES!O129,IMDIV(BASE!K$21^2,FRES!R129))))</f>
        <v>0.00472147613817851-0.062608167170569i</v>
      </c>
      <c r="V129" s="2" t="str">
        <f>IMDIV(BASE!L$21*BASE!F$38,IMPRODUCT(FRES!S129,IMSUM(FRES!P129,IMDIV(BASE!L$21^2,FRES!S129))))</f>
        <v>0.00493079661052537-0.0633479457876693i</v>
      </c>
      <c r="W129" s="2" t="str">
        <f>IMDIV(BASE!M$21*BASE!G$38,IMPRODUCT(FRES!T129,IMSUM(FRES!Q129,IMDIV(BASE!M$21^2,FRES!T129))))</f>
        <v>0.00537622479458832-0.0648788047794689i</v>
      </c>
      <c r="X129" s="2" t="str">
        <f t="shared" si="52"/>
        <v>-0.0000196161818849375-1.47931713828288E-06i</v>
      </c>
      <c r="Y129" s="2" t="str">
        <f t="shared" si="51"/>
        <v>-0.0000198479668510761-1.54490072974324E-06i</v>
      </c>
      <c r="Z129" s="2" t="str">
        <f t="shared" si="51"/>
        <v>-0.000020327610478744-1.68446080105873E-06i</v>
      </c>
      <c r="AA129" s="44" t="str">
        <f>IMPRODUCT(COMPLEX(0,$D129),U129,E$2,BASE!E$15^2/10000,1/(2*BASE!$U$3))</f>
        <v>0.475860711832639+0.035886132713219i</v>
      </c>
      <c r="AB129" s="44" t="str">
        <f>IMPRODUCT(COMPLEX(0,$D129),V129,F$2,BASE!F$15^2/10000,1/(2*BASE!$U$3))</f>
        <v>0.481483485908948+0.0374770974942316i</v>
      </c>
      <c r="AC129" s="44" t="str">
        <f>IMPRODUCT(COMPLEX(0,$D129),W129,G$2,BASE!G$15^2/10000,1/(2*BASE!$U$3))</f>
        <v>0.493118959082416+0.0408626266083654i</v>
      </c>
      <c r="AD129" s="44">
        <f t="shared" si="32"/>
        <v>7.5270626986891478E-2</v>
      </c>
      <c r="AE129" s="44">
        <f t="shared" si="33"/>
        <v>7.7680100849148059E-2</v>
      </c>
      <c r="AF129" s="44">
        <f t="shared" si="34"/>
        <v>8.2676763136493484E-2</v>
      </c>
      <c r="AG129" s="31">
        <f t="shared" si="35"/>
        <v>87.553626035197837</v>
      </c>
      <c r="AH129" s="31">
        <f t="shared" si="36"/>
        <v>87.65726059660183</v>
      </c>
      <c r="AI129" s="31">
        <f t="shared" si="37"/>
        <v>87.868153943683822</v>
      </c>
      <c r="AJ129" s="2" t="str">
        <f>IMSUM(R129,IMDIV(BASE!K$21^2,FRES!O129))</f>
        <v>7.2641180171472+0.398330649129621i</v>
      </c>
      <c r="AK129" s="2" t="str">
        <f>IMSUM(S129,IMDIV(BASE!L$21^2,FRES!P129))</f>
        <v>7.26568901624371+0.392465152344187i</v>
      </c>
      <c r="AL129" s="2" t="str">
        <f>IMSUM(T129,IMDIV(BASE!M$21^2,FRES!Q129))</f>
        <v>7.26900819443336+0.380311135830052i</v>
      </c>
      <c r="AM129" s="31">
        <f t="shared" si="50"/>
        <v>6.2785945349109001E-2</v>
      </c>
      <c r="AN129" s="31">
        <f t="shared" si="50"/>
        <v>6.35395545367754E-2</v>
      </c>
      <c r="AO129" s="31">
        <f t="shared" si="50"/>
        <v>6.51011758930235E-2</v>
      </c>
      <c r="AP129" s="31">
        <f t="shared" si="38"/>
        <v>2.7820243382780375E-2</v>
      </c>
      <c r="AQ129" s="31">
        <f t="shared" si="39"/>
        <v>2.8154165105226506E-2</v>
      </c>
      <c r="AR129" s="31">
        <f t="shared" si="40"/>
        <v>2.8846114329865866E-2</v>
      </c>
      <c r="AS129" s="2">
        <f t="shared" si="41"/>
        <v>110.2395938470918</v>
      </c>
      <c r="AT129" s="2">
        <f t="shared" si="42"/>
        <v>110.24726344060038</v>
      </c>
      <c r="AU129" s="2">
        <f t="shared" si="43"/>
        <v>110.26316831064021</v>
      </c>
      <c r="AV129" s="2">
        <f t="shared" si="44"/>
        <v>110.2395938470918</v>
      </c>
      <c r="AW129" s="2">
        <f t="shared" si="45"/>
        <v>110.24726344060038</v>
      </c>
      <c r="AX129" s="2">
        <f t="shared" si="46"/>
        <v>110.26316831064021</v>
      </c>
      <c r="AY129">
        <f t="shared" si="47"/>
        <v>7.2750311252309157</v>
      </c>
      <c r="AZ129">
        <f t="shared" si="48"/>
        <v>7.2762810402408888</v>
      </c>
      <c r="BA129">
        <f t="shared" si="49"/>
        <v>7.2789502464830518</v>
      </c>
    </row>
    <row r="130" spans="1:53" x14ac:dyDescent="0.2">
      <c r="A130" s="2">
        <v>126</v>
      </c>
      <c r="B130" s="2"/>
      <c r="C130" s="1">
        <v>522.85294503715193</v>
      </c>
      <c r="D130" s="2">
        <f t="shared" si="53"/>
        <v>3285.1819420730089</v>
      </c>
      <c r="E130" s="2"/>
      <c r="F130" s="2">
        <f>$D130*BASE!E$15/100/E$3</f>
        <v>0.60164669287964978</v>
      </c>
      <c r="G130" s="2">
        <f>$D130*BASE!F$15/100/F$3</f>
        <v>0.60164669287964978</v>
      </c>
      <c r="H130" s="2">
        <f>$D130*BASE!G$15/100/G$3</f>
        <v>0.60164669287964978</v>
      </c>
      <c r="I130" s="2">
        <f>(1-BESSELJ(2*F130,1)/F130)*BASE!K$13*E$2*E$3</f>
        <v>0.87705020781149934</v>
      </c>
      <c r="J130" s="2">
        <f>(1-BESSELJ(2*G130,1)/G130)*BASE!L$13*F$2*F$3</f>
        <v>0.87705020781149934</v>
      </c>
      <c r="K130" s="2">
        <f>(1-BESSELJ(2*H130,1)/H130)*BASE!M$13*G$2*G$3</f>
        <v>0.87705020781149934</v>
      </c>
      <c r="L130" s="2" t="str">
        <f>IMPRODUCT(COMPLEX(1-BESSELJ(2*F130,1)/F130,(STRUVE(2*F130)/(2*F130^2))),PI()*(BASE!E$15/100)^2*E$2*E$3)</f>
        <v>0.877050207811501+2.38516226802569i</v>
      </c>
      <c r="M130" s="2" t="str">
        <f>IMPRODUCT(COMPLEX(1-BESSELJ(2*G130,1)/G130,(STRUVE(2*G130)/(2*G130^2))),PI()*(BASE!F$15/100)^2*F$2*F$3)</f>
        <v>0.877050207811501+2.38516226802569i</v>
      </c>
      <c r="N130" s="2" t="str">
        <f>IMPRODUCT(COMPLEX(1-BESSELJ(2*H130,1)/H130,(STRUVE(2*H130)/(2*H130^2))),PI()*(BASE!G$15/100)^2*G$2*G$3)</f>
        <v>0.877050207811501+2.38516226802569i</v>
      </c>
      <c r="O130" s="2" t="str">
        <f>IMSUM(IMPRODUCT(IF($O$3=1,L130,COMPLEX(I130,$D130*BASE!K$15)),2),COMPLEX(BASE!E$36,$D130*BASE!K$14-BASE!K$10/$D130))</f>
        <v>2.554100415623+19.3832652520526i</v>
      </c>
      <c r="P130" s="2" t="str">
        <f>IMSUM(IMPRODUCT(IF($O$3=1,M130,COMPLEX(J130,$D130*BASE!L$15)),2),COMPLEX(BASE!F$36,$D130*BASE!L$14-BASE!L$10/$D130))</f>
        <v>2.554100415623+19.1595333513664i</v>
      </c>
      <c r="Q130" s="2" t="str">
        <f>IMSUM(IMPRODUCT(IF($O$3=1,N130,COMPLEX(K130,$D130*BASE!M$15)),2),COMPLEX(BASE!G$36,$D130*BASE!M$14-BASE!M$10/$D130))</f>
        <v>2.554100415623+18.712069549994i</v>
      </c>
      <c r="R130" s="2" t="str">
        <f>COMPLEX(BASE!E$19,FRES!$D130*BASE!K$36)</f>
        <v>7.2+0.91460661009781i</v>
      </c>
      <c r="S130" s="2" t="str">
        <f>COMPLEX(BASE!F$19,FRES!$D130*BASE!L$36)</f>
        <v>7.2+0.91460661009781i</v>
      </c>
      <c r="T130" s="2" t="str">
        <f>COMPLEX(BASE!G$19,FRES!$D130*BASE!M$36)</f>
        <v>7.2+0.91460661009781i</v>
      </c>
      <c r="U130" s="2" t="str">
        <f>IMDIV(BASE!K$21*BASE!E$38,IMPRODUCT(FRES!R130,IMSUM(FRES!O130,IMDIV(BASE!K$21^2,FRES!R130))))</f>
        <v>0.00430330201403657-0.0607892554000865i</v>
      </c>
      <c r="V130" s="2" t="str">
        <f>IMDIV(BASE!L$21*BASE!F$38,IMPRODUCT(FRES!S130,IMSUM(FRES!P130,IMDIV(BASE!L$21^2,FRES!S130))))</f>
        <v>0.00449092639910699-0.0614673050253721i</v>
      </c>
      <c r="W130" s="2" t="str">
        <f>IMDIV(BASE!M$21*BASE!G$38,IMPRODUCT(FRES!T130,IMSUM(FRES!Q130,IMDIV(BASE!M$21^2,FRES!T130))))</f>
        <v>0.00488892948887277-0.0628677679048783i</v>
      </c>
      <c r="X130" s="2" t="str">
        <f t="shared" si="52"/>
        <v>-0.0000185040757169533-1.30991284194175E-06i</v>
      </c>
      <c r="Y130" s="2" t="str">
        <f t="shared" si="51"/>
        <v>-0.0000187104720862386-1.36702516886268E-06i</v>
      </c>
      <c r="Z130" s="2" t="str">
        <f t="shared" si="51"/>
        <v>-0.0000191367689867453-1.48817617260728E-06i</v>
      </c>
      <c r="AA130" s="44" t="str">
        <f>IMPRODUCT(COMPLEX(0,$D130),U130,E$2,BASE!E$15^2/10000,1/(2*BASE!$U$3))</f>
        <v>0.475574543857337+0.0336661615434574i</v>
      </c>
      <c r="AB130" s="44" t="str">
        <f>IMPRODUCT(COMPLEX(0,$D130),V130,F$2,BASE!F$15^2/10000,1/(2*BASE!$U$3))</f>
        <v>0.480879151376142+0.0351340094511034i</v>
      </c>
      <c r="AC130" s="44" t="str">
        <f>IMPRODUCT(COMPLEX(0,$D130),W130,G$2,BASE!G$15^2/10000,1/(2*BASE!$U$3))</f>
        <v>0.491835437823916+0.0382477198695551i</v>
      </c>
      <c r="AD130" s="44">
        <f t="shared" si="32"/>
        <v>7.0672607354128281E-2</v>
      </c>
      <c r="AE130" s="44">
        <f t="shared" si="33"/>
        <v>7.2932446728352682E-2</v>
      </c>
      <c r="AF130" s="44">
        <f t="shared" si="34"/>
        <v>7.7609084749371907E-2</v>
      </c>
      <c r="AG130" s="31">
        <f t="shared" si="35"/>
        <v>87.545481515953554</v>
      </c>
      <c r="AH130" s="31">
        <f t="shared" si="36"/>
        <v>87.643240305366277</v>
      </c>
      <c r="AI130" s="31">
        <f t="shared" si="37"/>
        <v>87.841981031418953</v>
      </c>
      <c r="AJ130" s="2" t="str">
        <f>IMSUM(R130,IMDIV(BASE!K$21^2,FRES!O130))</f>
        <v>7.262700087552+0.438770804695091i</v>
      </c>
      <c r="AK130" s="2" t="str">
        <f>IMSUM(S130,IMDIV(BASE!L$21^2,FRES!P130))</f>
        <v>7.26414725731426+0.433407238141487i</v>
      </c>
      <c r="AL130" s="2" t="str">
        <f>IMSUM(T130,IMDIV(BASE!M$21^2,FRES!Q130))</f>
        <v>7.26719507667137+0.422316275543665i</v>
      </c>
      <c r="AM130" s="31">
        <f t="shared" si="50"/>
        <v>6.0941381509783288E-2</v>
      </c>
      <c r="AN130" s="31">
        <f t="shared" si="50"/>
        <v>6.1631144780900593E-2</v>
      </c>
      <c r="AO130" s="31">
        <f t="shared" si="50"/>
        <v>6.3057575856425185E-2</v>
      </c>
      <c r="AP130" s="31">
        <f t="shared" si="38"/>
        <v>2.6234202476622948E-2</v>
      </c>
      <c r="AQ130" s="31">
        <f t="shared" si="39"/>
        <v>2.6531133541641893E-2</v>
      </c>
      <c r="AR130" s="31">
        <f t="shared" si="40"/>
        <v>2.7145187255672887E-2</v>
      </c>
      <c r="AS130" s="2">
        <f t="shared" si="41"/>
        <v>110.22495789603204</v>
      </c>
      <c r="AT130" s="2">
        <f t="shared" si="42"/>
        <v>110.23215118817207</v>
      </c>
      <c r="AU130" s="2">
        <f t="shared" si="43"/>
        <v>110.24703738933401</v>
      </c>
      <c r="AV130" s="2">
        <f t="shared" si="44"/>
        <v>110.22495789603204</v>
      </c>
      <c r="AW130" s="2">
        <f t="shared" si="45"/>
        <v>110.23215118817207</v>
      </c>
      <c r="AX130" s="2">
        <f t="shared" si="46"/>
        <v>110.24703738933401</v>
      </c>
      <c r="AY130">
        <f t="shared" si="47"/>
        <v>7.2759420270354411</v>
      </c>
      <c r="AZ130">
        <f t="shared" si="48"/>
        <v>7.277065150870901</v>
      </c>
      <c r="BA130">
        <f t="shared" si="49"/>
        <v>7.2794557021102655</v>
      </c>
    </row>
    <row r="131" spans="1:53" x14ac:dyDescent="0.2">
      <c r="A131" s="2">
        <v>127</v>
      </c>
      <c r="B131" s="2"/>
      <c r="C131" s="1">
        <v>538.17370576237727</v>
      </c>
      <c r="D131" s="2">
        <f t="shared" si="53"/>
        <v>3381.4451207565585</v>
      </c>
      <c r="E131" s="2"/>
      <c r="F131" s="2">
        <f>$D131*BASE!E$15/100/E$3</f>
        <v>0.61927628665018364</v>
      </c>
      <c r="G131" s="2">
        <f>$D131*BASE!F$15/100/F$3</f>
        <v>0.61927628665018364</v>
      </c>
      <c r="H131" s="2">
        <f>$D131*BASE!G$15/100/G$3</f>
        <v>0.61927628665018364</v>
      </c>
      <c r="I131" s="2">
        <f>(1-BESSELJ(2*F131,1)/F131)*BASE!K$13*E$2*E$3</f>
        <v>0.92587553949536838</v>
      </c>
      <c r="J131" s="2">
        <f>(1-BESSELJ(2*G131,1)/G131)*BASE!L$13*F$2*F$3</f>
        <v>0.92587553949536838</v>
      </c>
      <c r="K131" s="2">
        <f>(1-BESSELJ(2*H131,1)/H131)*BASE!M$13*G$2*G$3</f>
        <v>0.92587553949536838</v>
      </c>
      <c r="L131" s="2" t="str">
        <f>IMPRODUCT(COMPLEX(1-BESSELJ(2*F131,1)/F131,(STRUVE(2*F131)/(2*F131^2))),PI()*(BASE!E$15/100)^2*E$2*E$3)</f>
        <v>0.925875539495367+2.44079987027328i</v>
      </c>
      <c r="M131" s="2" t="str">
        <f>IMPRODUCT(COMPLEX(1-BESSELJ(2*G131,1)/G131,(STRUVE(2*G131)/(2*G131^2))),PI()*(BASE!F$15/100)^2*F$2*F$3)</f>
        <v>0.925875539495367+2.44079987027328i</v>
      </c>
      <c r="N131" s="2" t="str">
        <f>IMPRODUCT(COMPLEX(1-BESSELJ(2*H131,1)/H131,(STRUVE(2*H131)/(2*H131^2))),PI()*(BASE!G$15/100)^2*G$2*G$3)</f>
        <v>0.925875539495367+2.44079987027328i</v>
      </c>
      <c r="O131" s="2" t="str">
        <f>IMSUM(IMPRODUCT(IF($O$3=1,L131,COMPLEX(I131,$D131*BASE!K$15)),2),COMPLEX(BASE!E$36,$D131*BASE!K$14-BASE!K$10/$D131))</f>
        <v>2.65175107899074+19.9641546269752i</v>
      </c>
      <c r="P131" s="2" t="str">
        <f>IMSUM(IMPRODUCT(IF($O$3=1,M131,COMPLEX(J131,$D131*BASE!L$15)),2),COMPLEX(BASE!F$36,$D131*BASE!L$14-BASE!L$10/$D131))</f>
        <v>2.65175107899074+19.7467919392036i</v>
      </c>
      <c r="Q131" s="2" t="str">
        <f>IMSUM(IMPRODUCT(IF($O$3=1,N131,COMPLEX(K131,$D131*BASE!M$15)),2),COMPLEX(BASE!G$36,$D131*BASE!M$14-BASE!M$10/$D131))</f>
        <v>2.65175107899074+19.3120665636603i</v>
      </c>
      <c r="R131" s="2" t="str">
        <f>COMPLEX(BASE!E$19,FRES!$D131*BASE!K$36)</f>
        <v>7.2+0.941406629422597i</v>
      </c>
      <c r="S131" s="2" t="str">
        <f>COMPLEX(BASE!F$19,FRES!$D131*BASE!L$36)</f>
        <v>7.2+0.941406629422597i</v>
      </c>
      <c r="T131" s="2" t="str">
        <f>COMPLEX(BASE!G$19,FRES!$D131*BASE!M$36)</f>
        <v>7.2+0.941406629422597i</v>
      </c>
      <c r="U131" s="2" t="str">
        <f>IMDIV(BASE!K$21*BASE!E$38,IMPRODUCT(FRES!R131,IMSUM(FRES!O131,IMDIV(BASE!K$21^2,FRES!R131))))</f>
        <v>0.003907442765821-0.0590209167382587i</v>
      </c>
      <c r="V131" s="2" t="str">
        <f>IMDIV(BASE!L$21*BASE!F$38,IMPRODUCT(FRES!S131,IMSUM(FRES!P131,IMDIV(BASE!L$21^2,FRES!S131))))</f>
        <v>0.00407565735675276-0.0596423571932548i</v>
      </c>
      <c r="W131" s="2" t="str">
        <f>IMDIV(BASE!M$21*BASE!G$38,IMPRODUCT(FRES!T131,IMSUM(FRES!Q131,IMDIV(BASE!M$21^2,FRES!T131))))</f>
        <v>0.00443142670773136-0.0609235989875852i</v>
      </c>
      <c r="X131" s="2" t="str">
        <f t="shared" si="52"/>
        <v>-0.0000174543470707144-1.15555409781329E-06i</v>
      </c>
      <c r="Y131" s="2" t="str">
        <f t="shared" si="51"/>
        <v>-0.0000176381266184531-1.20530045918382E-06i</v>
      </c>
      <c r="Z131" s="2" t="str">
        <f t="shared" si="51"/>
        <v>-0.0000180170302376382-1.31051268007564E-06i</v>
      </c>
      <c r="AA131" s="44" t="str">
        <f>IMPRODUCT(COMPLEX(0,$D131),U131,E$2,BASE!E$15^2/10000,1/(2*BASE!$U$3))</f>
        <v>0.475270264793948+0.031464969719373i</v>
      </c>
      <c r="AB131" s="44" t="str">
        <f>IMPRODUCT(COMPLEX(0,$D131),V131,F$2,BASE!F$15^2/10000,1/(2*BASE!$U$3))</f>
        <v>0.480274459678102+0.0328195300615799i</v>
      </c>
      <c r="AC131" s="44" t="str">
        <f>IMPRODUCT(COMPLEX(0,$D131),W131,G$2,BASE!G$15^2/10000,1/(2*BASE!$U$3))</f>
        <v>0.490591753283638+0.0356843888775658i</v>
      </c>
      <c r="AD131" s="44">
        <f t="shared" si="32"/>
        <v>6.6107901216993128E-2</v>
      </c>
      <c r="AE131" s="44">
        <f t="shared" si="33"/>
        <v>6.8228877576598498E-2</v>
      </c>
      <c r="AF131" s="44">
        <f t="shared" si="34"/>
        <v>7.2609568836817504E-2</v>
      </c>
      <c r="AG131" s="31">
        <f t="shared" si="35"/>
        <v>87.537206573483743</v>
      </c>
      <c r="AH131" s="31">
        <f t="shared" si="36"/>
        <v>87.629422822344466</v>
      </c>
      <c r="AI131" s="31">
        <f t="shared" si="37"/>
        <v>87.816721759596163</v>
      </c>
      <c r="AJ131" s="2" t="str">
        <f>IMSUM(R131,IMDIV(BASE!K$21^2,FRES!O131))</f>
        <v>7.26134731463891+0.479543038565844i</v>
      </c>
      <c r="AK131" s="2" t="str">
        <f>IMSUM(S131,IMDIV(BASE!L$21^2,FRES!P131))</f>
        <v>7.26268125298415+0.474638209500729i</v>
      </c>
      <c r="AL131" s="2" t="str">
        <f>IMSUM(T131,IMDIV(BASE!M$21^2,FRES!Q131))</f>
        <v>7.26548218565925+0.464515590062023i</v>
      </c>
      <c r="AM131" s="31">
        <f t="shared" si="50"/>
        <v>5.9150120216214547E-2</v>
      </c>
      <c r="AN131" s="31">
        <f t="shared" si="50"/>
        <v>5.9781449919330709E-2</v>
      </c>
      <c r="AO131" s="31">
        <f t="shared" si="50"/>
        <v>6.1084551698985946E-2</v>
      </c>
      <c r="AP131" s="31">
        <f t="shared" si="38"/>
        <v>2.4738210805873958E-2</v>
      </c>
      <c r="AQ131" s="31">
        <f t="shared" si="39"/>
        <v>2.5002250290943516E-2</v>
      </c>
      <c r="AR131" s="31">
        <f t="shared" si="40"/>
        <v>2.5547243376482256E-2</v>
      </c>
      <c r="AS131" s="2">
        <f t="shared" si="41"/>
        <v>110.21042798512231</v>
      </c>
      <c r="AT131" s="2">
        <f t="shared" si="42"/>
        <v>110.21717926255855</v>
      </c>
      <c r="AU131" s="2">
        <f t="shared" si="43"/>
        <v>110.23112343592301</v>
      </c>
      <c r="AV131" s="2">
        <f t="shared" si="44"/>
        <v>110.21042798512231</v>
      </c>
      <c r="AW131" s="2">
        <f t="shared" si="45"/>
        <v>110.21717926255855</v>
      </c>
      <c r="AX131" s="2">
        <f t="shared" si="46"/>
        <v>110.23112343592301</v>
      </c>
      <c r="AY131">
        <f t="shared" si="47"/>
        <v>7.2771647191506315</v>
      </c>
      <c r="AZ131">
        <f t="shared" si="48"/>
        <v>7.2781742499314683</v>
      </c>
      <c r="BA131">
        <f t="shared" si="49"/>
        <v>7.2803163477655684</v>
      </c>
    </row>
    <row r="132" spans="1:53" x14ac:dyDescent="0.2">
      <c r="A132" s="2">
        <v>128</v>
      </c>
      <c r="B132" s="2"/>
      <c r="C132" s="1">
        <v>553.94339904393155</v>
      </c>
      <c r="D132" s="2">
        <f t="shared" si="53"/>
        <v>3480.5290258819491</v>
      </c>
      <c r="E132" s="2"/>
      <c r="F132" s="2">
        <f>$D132*BASE!E$15/100/E$3</f>
        <v>0.63742246694931037</v>
      </c>
      <c r="G132" s="2">
        <f>$D132*BASE!F$15/100/F$3</f>
        <v>0.63742246694931037</v>
      </c>
      <c r="H132" s="2">
        <f>$D132*BASE!G$15/100/G$3</f>
        <v>0.63742246694931037</v>
      </c>
      <c r="I132" s="2">
        <f>(1-BESSELJ(2*F132,1)/F132)*BASE!K$13*E$2*E$3</f>
        <v>0.97721062838365336</v>
      </c>
      <c r="J132" s="2">
        <f>(1-BESSELJ(2*G132,1)/G132)*BASE!L$13*F$2*F$3</f>
        <v>0.97721062838365336</v>
      </c>
      <c r="K132" s="2">
        <f>(1-BESSELJ(2*H132,1)/H132)*BASE!M$13*G$2*G$3</f>
        <v>0.97721062838365336</v>
      </c>
      <c r="L132" s="2" t="str">
        <f>IMPRODUCT(COMPLEX(1-BESSELJ(2*F132,1)/F132,(STRUVE(2*F132)/(2*F132^2))),PI()*(BASE!E$15/100)^2*E$2*E$3)</f>
        <v>0.977210628383653+2.49685748838641i</v>
      </c>
      <c r="M132" s="2" t="str">
        <f>IMPRODUCT(COMPLEX(1-BESSELJ(2*G132,1)/G132,(STRUVE(2*G132)/(2*G132^2))),PI()*(BASE!F$15/100)^2*F$2*F$3)</f>
        <v>0.977210628383653+2.49685748838641i</v>
      </c>
      <c r="N132" s="2" t="str">
        <f>IMPRODUCT(COMPLEX(1-BESSELJ(2*H132,1)/H132,(STRUVE(2*H132)/(2*H132^2))),PI()*(BASE!G$15/100)^2*G$2*G$3)</f>
        <v>0.977210628383653+2.49685748838641i</v>
      </c>
      <c r="O132" s="2" t="str">
        <f>IMSUM(IMPRODUCT(IF($O$3=1,L132,COMPLEX(I132,$D132*BASE!K$15)),2),COMPLEX(BASE!E$36,$D132*BASE!K$14-BASE!K$10/$D132))</f>
        <v>2.75442125676731+20.5616976564256i</v>
      </c>
      <c r="P132" s="2" t="str">
        <f>IMSUM(IMPRODUCT(IF($O$3=1,M132,COMPLEX(J132,$D132*BASE!L$15)),2),COMPLEX(BASE!F$36,$D132*BASE!L$14-BASE!L$10/$D132))</f>
        <v>2.75442125676731+20.3505228624404i</v>
      </c>
      <c r="Q132" s="2" t="str">
        <f>IMSUM(IMPRODUCT(IF($O$3=1,N132,COMPLEX(K132,$D132*BASE!M$15)),2),COMPLEX(BASE!G$36,$D132*BASE!M$14-BASE!M$10/$D132))</f>
        <v>2.75442125676731+19.9281732744701i</v>
      </c>
      <c r="R132" s="2" t="str">
        <f>COMPLEX(BASE!E$19,FRES!$D132*BASE!K$36)</f>
        <v>7.2+0.968991949255691i</v>
      </c>
      <c r="S132" s="2" t="str">
        <f>COMPLEX(BASE!F$19,FRES!$D132*BASE!L$36)</f>
        <v>7.2+0.968991949255691i</v>
      </c>
      <c r="T132" s="2" t="str">
        <f>COMPLEX(BASE!G$19,FRES!$D132*BASE!M$36)</f>
        <v>7.2+0.968991949255691i</v>
      </c>
      <c r="U132" s="2" t="str">
        <f>IMDIV(BASE!K$21*BASE!E$38,IMPRODUCT(FRES!R132,IMSUM(FRES!O132,IMDIV(BASE!K$21^2,FRES!R132))))</f>
        <v>0.00353251273367423-0.0573017179911326i</v>
      </c>
      <c r="V132" s="2" t="str">
        <f>IMDIV(BASE!L$21*BASE!F$38,IMPRODUCT(FRES!S132,IMSUM(FRES!P132,IMDIV(BASE!L$21^2,FRES!S132))))</f>
        <v>0.00368335515271816-0.057871247436243i</v>
      </c>
      <c r="W132" s="2" t="str">
        <f>IMDIV(BASE!M$21*BASE!G$38,IMPRODUCT(FRES!T132,IMSUM(FRES!Q132,IMDIV(BASE!M$21^2,FRES!T132))))</f>
        <v>0.00400148775816946-0.0590434743077565i</v>
      </c>
      <c r="X132" s="2" t="str">
        <f t="shared" si="52"/>
        <v>-0.0000164635081520725-1.01493557657635E-06i</v>
      </c>
      <c r="Y132" s="2" t="str">
        <f t="shared" si="51"/>
        <v>-0.000016627141163283-1.05827451095163E-06i</v>
      </c>
      <c r="Z132" s="2" t="str">
        <f t="shared" si="51"/>
        <v>-0.0000169639367661343-0.0000011496780312457i</v>
      </c>
      <c r="AA132" s="44" t="str">
        <f>IMPRODUCT(COMPLEX(0,$D132),U132,E$2,BASE!E$15^2/10000,1/(2*BASE!$U$3))</f>
        <v>0.474947113038254+0.0292793442055102i</v>
      </c>
      <c r="AB132" s="44" t="str">
        <f>IMPRODUCT(COMPLEX(0,$D132),V132,F$2,BASE!F$15^2/10000,1/(2*BASE!$U$3))</f>
        <v>0.479667675967752+0.0305296063958987i</v>
      </c>
      <c r="AC132" s="44" t="str">
        <f>IMPRODUCT(COMPLEX(0,$D132),W132,G$2,BASE!G$15^2/10000,1/(2*BASE!$U$3))</f>
        <v>0.489383715695171+0.0331664586198725i</v>
      </c>
      <c r="AD132" s="44">
        <f t="shared" si="32"/>
        <v>6.1569670459245059E-2</v>
      </c>
      <c r="AE132" s="44">
        <f t="shared" si="33"/>
        <v>6.3561675636838025E-2</v>
      </c>
      <c r="AF132" s="44">
        <f t="shared" si="34"/>
        <v>6.7668414106057395E-2</v>
      </c>
      <c r="AG132" s="31">
        <f t="shared" si="35"/>
        <v>87.528778882954043</v>
      </c>
      <c r="AH132" s="31">
        <f t="shared" si="36"/>
        <v>87.615766848073164</v>
      </c>
      <c r="AI132" s="31">
        <f t="shared" si="37"/>
        <v>87.792291969308906</v>
      </c>
      <c r="AJ132" s="2" t="str">
        <f>IMSUM(R132,IMDIV(BASE!K$21^2,FRES!O132))</f>
        <v>7.26005484799274+0.520683752317615i</v>
      </c>
      <c r="AK132" s="2" t="str">
        <f>IMSUM(S132,IMDIV(BASE!L$21^2,FRES!P132))</f>
        <v>7.26128513962801+0.516198233674429i</v>
      </c>
      <c r="AL132" s="2" t="str">
        <f>IMSUM(T132,IMDIV(BASE!M$21^2,FRES!Q132))</f>
        <v>7.26386115911367+0.506957958921398i</v>
      </c>
      <c r="AM132" s="31">
        <f t="shared" si="50"/>
        <v>5.7410500180270684E-2</v>
      </c>
      <c r="AN132" s="31">
        <f t="shared" si="50"/>
        <v>5.7988346975990944E-2</v>
      </c>
      <c r="AO132" s="31">
        <f t="shared" si="50"/>
        <v>5.9178913158400279E-2</v>
      </c>
      <c r="AP132" s="31">
        <f t="shared" si="38"/>
        <v>2.3327117048532076E-2</v>
      </c>
      <c r="AQ132" s="31">
        <f t="shared" si="39"/>
        <v>2.3561908590106616E-2</v>
      </c>
      <c r="AR132" s="31">
        <f t="shared" si="40"/>
        <v>2.4045661154600516E-2</v>
      </c>
      <c r="AS132" s="2">
        <f t="shared" si="41"/>
        <v>110.19598234796256</v>
      </c>
      <c r="AT132" s="2">
        <f t="shared" si="42"/>
        <v>110.20232309737612</v>
      </c>
      <c r="AU132" s="2">
        <f t="shared" si="43"/>
        <v>110.21539525192337</v>
      </c>
      <c r="AV132" s="2">
        <f t="shared" si="44"/>
        <v>110.19598234796256</v>
      </c>
      <c r="AW132" s="2">
        <f t="shared" si="45"/>
        <v>110.20232309737612</v>
      </c>
      <c r="AX132" s="2">
        <f t="shared" si="46"/>
        <v>110.21539525192337</v>
      </c>
      <c r="AY132">
        <f t="shared" si="47"/>
        <v>7.2787023545265574</v>
      </c>
      <c r="AZ132">
        <f t="shared" si="48"/>
        <v>7.2796100510556991</v>
      </c>
      <c r="BA132">
        <f t="shared" si="49"/>
        <v>7.281530423681132</v>
      </c>
    </row>
    <row r="133" spans="1:53" x14ac:dyDescent="0.2">
      <c r="A133" s="2">
        <v>129</v>
      </c>
      <c r="B133" s="2"/>
      <c r="C133" s="1">
        <v>570.17517960981695</v>
      </c>
      <c r="D133" s="2">
        <f t="shared" si="53"/>
        <v>3582.5163110428834</v>
      </c>
      <c r="E133" s="2"/>
      <c r="F133" s="2">
        <f>$D133*BASE!E$15/100/E$3</f>
        <v>0.65610037091773732</v>
      </c>
      <c r="G133" s="2">
        <f>$D133*BASE!F$15/100/F$3</f>
        <v>0.65610037091773732</v>
      </c>
      <c r="H133" s="2">
        <f>$D133*BASE!G$15/100/G$3</f>
        <v>0.65610037091773732</v>
      </c>
      <c r="I133" s="2">
        <f>(1-BESSELJ(2*F133,1)/F133)*BASE!K$13*E$2*E$3</f>
        <v>1.0311590828580761</v>
      </c>
      <c r="J133" s="2">
        <f>(1-BESSELJ(2*G133,1)/G133)*BASE!L$13*F$2*F$3</f>
        <v>1.0311590828580761</v>
      </c>
      <c r="K133" s="2">
        <f>(1-BESSELJ(2*H133,1)/H133)*BASE!M$13*G$2*G$3</f>
        <v>1.0311590828580761</v>
      </c>
      <c r="L133" s="2" t="str">
        <f>IMPRODUCT(COMPLEX(1-BESSELJ(2*F133,1)/F133,(STRUVE(2*F133)/(2*F133^2))),PI()*(BASE!E$15/100)^2*E$2*E$3)</f>
        <v>1.03115908285807+2.55324986886074i</v>
      </c>
      <c r="M133" s="2" t="str">
        <f>IMPRODUCT(COMPLEX(1-BESSELJ(2*G133,1)/G133,(STRUVE(2*G133)/(2*G133^2))),PI()*(BASE!F$15/100)^2*F$2*F$3)</f>
        <v>1.03115908285807+2.55324986886074i</v>
      </c>
      <c r="N133" s="2" t="str">
        <f>IMPRODUCT(COMPLEX(1-BESSELJ(2*H133,1)/H133,(STRUVE(2*H133)/(2*H133^2))),PI()*(BASE!G$15/100)^2*G$2*G$3)</f>
        <v>1.03115908285807+2.55324986886074i</v>
      </c>
      <c r="O133" s="2" t="str">
        <f>IMSUM(IMPRODUCT(IF($O$3=1,L133,COMPLEX(I133,$D133*BASE!K$15)),2),COMPLEX(BASE!E$36,$D133*BASE!K$14-BASE!K$10/$D133))</f>
        <v>2.86231816571616+21.1763927975315i</v>
      </c>
      <c r="P133" s="2" t="str">
        <f>IMSUM(IMPRODUCT(IF($O$3=1,M133,COMPLEX(J133,$D133*BASE!L$15)),2),COMPLEX(BASE!F$36,$D133*BASE!L$14-BASE!L$10/$D133))</f>
        <v>2.86231816571616+20.9712297400084i</v>
      </c>
      <c r="Q133" s="2" t="str">
        <f>IMSUM(IMPRODUCT(IF($O$3=1,N133,COMPLEX(K133,$D133*BASE!M$15)),2),COMPLEX(BASE!G$36,$D133*BASE!M$14-BASE!M$10/$D133))</f>
        <v>2.86231816571616+20.5609036249622i</v>
      </c>
      <c r="R133" s="2" t="str">
        <f>COMPLEX(BASE!E$19,FRES!$D133*BASE!K$36)</f>
        <v>7.2+0.997385580658419i</v>
      </c>
      <c r="S133" s="2" t="str">
        <f>COMPLEX(BASE!F$19,FRES!$D133*BASE!L$36)</f>
        <v>7.2+0.997385580658419i</v>
      </c>
      <c r="T133" s="2" t="str">
        <f>COMPLEX(BASE!G$19,FRES!$D133*BASE!M$36)</f>
        <v>7.2+0.997385580658419i</v>
      </c>
      <c r="U133" s="2" t="str">
        <f>IMDIV(BASE!K$21*BASE!E$38,IMPRODUCT(FRES!R133,IMSUM(FRES!O133,IMDIV(BASE!K$21^2,FRES!R133))))</f>
        <v>0.00317720659662713-0.055630263622333i</v>
      </c>
      <c r="V133" s="2" t="str">
        <f>IMDIV(BASE!L$21*BASE!F$38,IMPRODUCT(FRES!S133,IMSUM(FRES!P133,IMDIV(BASE!L$21^2,FRES!S133))))</f>
        <v>0.00331249356605156-0.0561521929248347i</v>
      </c>
      <c r="W133" s="2" t="str">
        <f>IMDIV(BASE!M$21*BASE!G$38,IMPRODUCT(FRES!T133,IMSUM(FRES!Q133,IMDIV(BASE!M$21^2,FRES!T133))))</f>
        <v>0.00359706314854869-0.0572247276441693i</v>
      </c>
      <c r="X133" s="2" t="str">
        <f t="shared" ref="X133:X164" si="54">IMDIV(U133,COMPLEX(0,$D133))</f>
        <v>-0.0000155282652728911-8.86864516662099E-07i</v>
      </c>
      <c r="Y133" s="2" t="str">
        <f t="shared" si="51"/>
        <v>-0.0000156739531797103-9.24627629982035E-07i</v>
      </c>
      <c r="Z133" s="2" t="str">
        <f t="shared" si="51"/>
        <v>-0.0000159733334549734-1.00406050838093E-06i</v>
      </c>
      <c r="AA133" s="44" t="str">
        <f>IMPRODUCT(COMPLEX(0,$D133),U133,E$2,BASE!E$15^2/10000,1/(2*BASE!$U$3))</f>
        <v>0.474604272676344+0.0271060341574463i</v>
      </c>
      <c r="AB133" s="44" t="str">
        <f>IMPRODUCT(COMPLEX(0,$D133),V133,F$2,BASE!F$15^2/10000,1/(2*BASE!$U$3))</f>
        <v>0.479057062594507+0.0282602219959611i</v>
      </c>
      <c r="AC133" s="44" t="str">
        <f>IMPRODUCT(COMPLEX(0,$D133),W133,G$2,BASE!G$15^2/10000,1/(2*BASE!$U$3))</f>
        <v>0.488207289957183+0.0306880001679962i</v>
      </c>
      <c r="AD133" s="44">
        <f t="shared" si="32"/>
        <v>5.705093907891897E-2</v>
      </c>
      <c r="AE133" s="44">
        <f t="shared" si="33"/>
        <v>5.8923061189950984E-2</v>
      </c>
      <c r="AF133" s="44">
        <f t="shared" si="34"/>
        <v>6.277595242833714E-2</v>
      </c>
      <c r="AG133" s="31">
        <f t="shared" si="35"/>
        <v>87.520176093765954</v>
      </c>
      <c r="AH133" s="31">
        <f t="shared" si="36"/>
        <v>87.602232152415539</v>
      </c>
      <c r="AI133" s="31">
        <f t="shared" si="37"/>
        <v>87.768611305380205</v>
      </c>
      <c r="AJ133" s="2" t="str">
        <f>IMSUM(R133,IMDIV(BASE!K$21^2,FRES!O133))</f>
        <v>7.25881810932585+0.562229418911227i</v>
      </c>
      <c r="AK133" s="2" t="str">
        <f>IMSUM(S133,IMDIV(BASE!L$21^2,FRES!P133))</f>
        <v>7.25995343249449+0.558127212527479i</v>
      </c>
      <c r="AL133" s="2" t="str">
        <f>IMSUM(T133,IMDIV(BASE!M$21^2,FRES!Q133))</f>
        <v>7.26232429840537+0.549691152989661i</v>
      </c>
      <c r="AM133" s="31">
        <f t="shared" si="50"/>
        <v>5.5720919522634554E-2</v>
      </c>
      <c r="AN133" s="31">
        <f t="shared" si="50"/>
        <v>5.6249812300957852E-2</v>
      </c>
      <c r="AO133" s="31">
        <f t="shared" si="50"/>
        <v>5.7337669269372997E-2</v>
      </c>
      <c r="AP133" s="31">
        <f t="shared" si="38"/>
        <v>2.1996070151560711E-2</v>
      </c>
      <c r="AQ133" s="31">
        <f t="shared" si="39"/>
        <v>2.2204852826978018E-2</v>
      </c>
      <c r="AR133" s="31">
        <f t="shared" si="40"/>
        <v>2.2634288995604109E-2</v>
      </c>
      <c r="AS133" s="2">
        <f t="shared" si="41"/>
        <v>110.18159877924889</v>
      </c>
      <c r="AT133" s="2">
        <f t="shared" si="42"/>
        <v>110.18755792900974</v>
      </c>
      <c r="AU133" s="2">
        <f t="shared" si="43"/>
        <v>110.19982206272543</v>
      </c>
      <c r="AV133" s="2">
        <f t="shared" si="44"/>
        <v>110.18159877924889</v>
      </c>
      <c r="AW133" s="2">
        <f t="shared" si="45"/>
        <v>110.18755792900974</v>
      </c>
      <c r="AX133" s="2">
        <f t="shared" si="46"/>
        <v>110.19982206272543</v>
      </c>
      <c r="AY133">
        <f t="shared" si="47"/>
        <v>7.2805591999355501</v>
      </c>
      <c r="AZ133">
        <f t="shared" si="48"/>
        <v>7.2813755450019348</v>
      </c>
      <c r="BA133">
        <f t="shared" si="49"/>
        <v>7.2830978696488868</v>
      </c>
    </row>
    <row r="134" spans="1:53" x14ac:dyDescent="0.2">
      <c r="A134" s="2">
        <v>130</v>
      </c>
      <c r="B134" s="2"/>
      <c r="C134" s="1">
        <v>586.88258765098942</v>
      </c>
      <c r="D134" s="2">
        <f t="shared" si="53"/>
        <v>3687.4920517682326</v>
      </c>
      <c r="E134" s="2"/>
      <c r="F134" s="2">
        <f>$D134*BASE!E$15/100/E$3</f>
        <v>0.67532557924825187</v>
      </c>
      <c r="G134" s="2">
        <f>$D134*BASE!F$15/100/F$3</f>
        <v>0.67532557924825187</v>
      </c>
      <c r="H134" s="2">
        <f>$D134*BASE!G$15/100/G$3</f>
        <v>0.67532557924825187</v>
      </c>
      <c r="I134" s="2">
        <f>(1-BESSELJ(2*F134,1)/F134)*BASE!K$13*E$2*E$3</f>
        <v>1.08782555511916</v>
      </c>
      <c r="J134" s="2">
        <f>(1-BESSELJ(2*G134,1)/G134)*BASE!L$13*F$2*F$3</f>
        <v>1.08782555511916</v>
      </c>
      <c r="K134" s="2">
        <f>(1-BESSELJ(2*H134,1)/H134)*BASE!M$13*G$2*G$3</f>
        <v>1.08782555511916</v>
      </c>
      <c r="L134" s="2" t="str">
        <f>IMPRODUCT(COMPLEX(1-BESSELJ(2*F134,1)/F134,(STRUVE(2*F134)/(2*F134^2))),PI()*(BASE!E$15/100)^2*E$2*E$3)</f>
        <v>1.08782555511916+2.60988220246028i</v>
      </c>
      <c r="M134" s="2" t="str">
        <f>IMPRODUCT(COMPLEX(1-BESSELJ(2*G134,1)/G134,(STRUVE(2*G134)/(2*G134^2))),PI()*(BASE!F$15/100)^2*F$2*F$3)</f>
        <v>1.08782555511916+2.60988220246028i</v>
      </c>
      <c r="N134" s="2" t="str">
        <f>IMPRODUCT(COMPLEX(1-BESSELJ(2*H134,1)/H134,(STRUVE(2*H134)/(2*H134^2))),PI()*(BASE!G$15/100)^2*G$2*G$3)</f>
        <v>1.08782555511916+2.60988220246028i</v>
      </c>
      <c r="O134" s="2" t="str">
        <f>IMSUM(IMPRODUCT(IF($O$3=1,L134,COMPLEX(I134,$D134*BASE!K$15)),2),COMPLEX(BASE!E$36,$D134*BASE!K$14-BASE!K$10/$D134))</f>
        <v>2.97565111023832+21.8087528153317i</v>
      </c>
      <c r="P134" s="2" t="str">
        <f>IMSUM(IMPRODUCT(IF($O$3=1,M134,COMPLEX(J134,$D134*BASE!L$15)),2),COMPLEX(BASE!F$36,$D134*BASE!L$14-BASE!L$10/$D134))</f>
        <v>2.97565111023832+21.6094303518033i</v>
      </c>
      <c r="Q134" s="2" t="str">
        <f>IMSUM(IMPRODUCT(IF($O$3=1,N134,COMPLEX(K134,$D134*BASE!M$15)),2),COMPLEX(BASE!G$36,$D134*BASE!M$14-BASE!M$10/$D134))</f>
        <v>2.97565111023832+21.2107854247464i</v>
      </c>
      <c r="R134" s="2" t="str">
        <f>COMPLEX(BASE!E$19,FRES!$D134*BASE!K$36)</f>
        <v>7.2+1.02661120896768i</v>
      </c>
      <c r="S134" s="2" t="str">
        <f>COMPLEX(BASE!F$19,FRES!$D134*BASE!L$36)</f>
        <v>7.2+1.02661120896768i</v>
      </c>
      <c r="T134" s="2" t="str">
        <f>COMPLEX(BASE!G$19,FRES!$D134*BASE!M$36)</f>
        <v>7.2+1.02661120896768i</v>
      </c>
      <c r="U134" s="2" t="str">
        <f>IMDIV(BASE!K$21*BASE!E$38,IMPRODUCT(FRES!R134,IMSUM(FRES!O134,IMDIV(BASE!K$21^2,FRES!R134))))</f>
        <v>0.00284029425125977-0.0540051950679441i</v>
      </c>
      <c r="V134" s="2" t="str">
        <f>IMDIV(BASE!L$21*BASE!F$38,IMPRODUCT(FRES!S134,IMSUM(FRES!P134,IMDIV(BASE!L$21^2,FRES!S134))))</f>
        <v>0.00296164619208686-0.0544834794270464i</v>
      </c>
      <c r="W134" s="2" t="str">
        <f>IMDIV(BASE!M$21*BASE!G$38,IMPRODUCT(FRES!T134,IMSUM(FRES!Q134,IMDIV(BASE!M$21^2,FRES!T134))))</f>
        <v>0.00321626540465559-0.0554648391539355i</v>
      </c>
      <c r="X134" s="2" t="str">
        <f t="shared" si="54"/>
        <v>-0.000014645508196295-0.0000007702509487167i</v>
      </c>
      <c r="Y134" s="2" t="str">
        <f t="shared" si="51"/>
        <v>-0.0000147752127088438-8.03160020552909E-07i</v>
      </c>
      <c r="Z134" s="2" t="str">
        <f t="shared" si="51"/>
        <v>-0.0000150413447338385-8.72209447370422E-07i</v>
      </c>
      <c r="AA134" s="44" t="str">
        <f>IMPRODUCT(COMPLEX(0,$D134),U134,E$2,BASE!E$15^2/10000,1/(2*BASE!$U$3))</f>
        <v>0.474240872828617+0.0249417416808308i</v>
      </c>
      <c r="AB134" s="44" t="str">
        <f>IMPRODUCT(COMPLEX(0,$D134),V134,F$2,BASE!F$15^2/10000,1/(2*BASE!$U$3))</f>
        <v>0.478440876025265+0.0260073808339693i</v>
      </c>
      <c r="AC134" s="44" t="str">
        <f>IMPRODUCT(COMPLEX(0,$D134),W134,G$2,BASE!G$15^2/10000,1/(2*BASE!$U$3))</f>
        <v>0.487058582022868+0.0282432923505486i</v>
      </c>
      <c r="AD134" s="44">
        <f t="shared" ref="AD134:AD188" si="55">IMARGUMENT(AA134)</f>
        <v>5.2544571191229836E-2</v>
      </c>
      <c r="AE134" s="44">
        <f t="shared" ref="AE134:AE188" si="56">IMARGUMENT(AB134)</f>
        <v>5.4305163735756536E-2</v>
      </c>
      <c r="AF134" s="44">
        <f t="shared" ref="AF134:AF188" si="57">IMARGUMENT(AC134)</f>
        <v>5.7922600379928461E-2</v>
      </c>
      <c r="AG134" s="31">
        <f t="shared" ref="AG134:AG188" si="58">20*LOG10(IMABS(AA134)/0.00002)</f>
        <v>87.511375808916156</v>
      </c>
      <c r="AH134" s="31">
        <f t="shared" ref="AH134:AH188" si="59">20*LOG10(IMABS(AB134)/0.00002)</f>
        <v>87.588779489710447</v>
      </c>
      <c r="AI134" s="31">
        <f t="shared" ref="AI134:AI188" si="60">20*LOG10(IMABS(AC134)/0.00002)</f>
        <v>87.745602942678872</v>
      </c>
      <c r="AJ134" s="2" t="str">
        <f>IMSUM(R134,IMDIV(BASE!K$21^2,FRES!O134))</f>
        <v>7.25763277266396+0.604216631604159i</v>
      </c>
      <c r="AK134" s="2" t="str">
        <f>IMSUM(S134,IMDIV(BASE!L$21^2,FRES!P134))</f>
        <v>7.25868099378621+0.600464862766432i</v>
      </c>
      <c r="AL134" s="2" t="str">
        <f>IMSUM(T134,IMDIV(BASE!M$21^2,FRES!Q134))</f>
        <v>7.26086450114848+0.59276200218308i</v>
      </c>
      <c r="AM134" s="31">
        <f t="shared" si="50"/>
        <v>5.4079833263060574E-2</v>
      </c>
      <c r="AN134" s="31">
        <f t="shared" si="50"/>
        <v>5.456391553622679E-2</v>
      </c>
      <c r="AO134" s="31">
        <f t="shared" si="50"/>
        <v>5.555801243317763E-2</v>
      </c>
      <c r="AP134" s="31">
        <f t="shared" ref="AP134:AP188" si="61">IMABS(X134)*SQRT(2)*1000</f>
        <v>2.0740501288625739E-2</v>
      </c>
      <c r="AQ134" s="31">
        <f t="shared" ref="AQ134:AQ188" si="62">IMABS(Y134)*SQRT(2)*1000</f>
        <v>2.0926154764322757E-2</v>
      </c>
      <c r="AR134" s="31">
        <f t="shared" ref="AR134:AR188" si="63">IMABS(Z134)*SQRT(2)*1000</f>
        <v>2.1307407196665362E-2</v>
      </c>
      <c r="AS134" s="2">
        <f t="shared" ref="AS134:AS188" si="64">$AS$2+AD134/PI()*10</f>
        <v>110.16725456475456</v>
      </c>
      <c r="AT134" s="2">
        <f t="shared" ref="AT134:AT188" si="65">$AS$2+AE134/PI()*10</f>
        <v>110.1728587048792</v>
      </c>
      <c r="AU134" s="2">
        <f t="shared" ref="AU134:AU188" si="66">$AS$2+AF134/PI()*10</f>
        <v>110.18437336334404</v>
      </c>
      <c r="AV134" s="2">
        <f t="shared" ref="AV134:AV188" si="67">IF(OR($AG$166&gt;$AV$2-4,$AH$166&gt;$AV$2-4,$AI$166&gt;$AV$2-4),"",$AV$2+AD134/PI()*10)</f>
        <v>110.16725456475456</v>
      </c>
      <c r="AW134" s="2">
        <f t="shared" ref="AW134:AW188" si="68">IF(OR($AG$166&gt;$AV$2-4,$AH$166&gt;$AV$2-4,$AI$166&gt;$AV$2-4),"",$AV$2+AE134/PI()*10)</f>
        <v>110.1728587048792</v>
      </c>
      <c r="AX134" s="2">
        <f t="shared" ref="AX134:AX188" si="69">IF(OR($AG$166&gt;$AV$2-4,$AH$166&gt;$AV$2-4,$AI$166&gt;$AV$2-4),"",$AV$2+AF134/PI()*10)</f>
        <v>110.18437336334404</v>
      </c>
      <c r="AY134">
        <f t="shared" ref="AY134:AY188" si="70">IMABS(AJ134)</f>
        <v>7.2827406380258406</v>
      </c>
      <c r="AZ134">
        <f t="shared" ref="AZ134:AZ188" si="71">IMABS(AK134)</f>
        <v>7.2834749825183209</v>
      </c>
      <c r="BA134">
        <f t="shared" ref="BA134:BA188" si="72">IMABS(AL134)</f>
        <v>7.2850202535936894</v>
      </c>
    </row>
    <row r="135" spans="1:53" x14ac:dyDescent="0.2">
      <c r="A135" s="2">
        <v>131</v>
      </c>
      <c r="B135" s="2"/>
      <c r="C135" s="1">
        <v>604.07956011628403</v>
      </c>
      <c r="D135" s="2">
        <f t="shared" si="53"/>
        <v>3795.5438164901434</v>
      </c>
      <c r="E135" s="2"/>
      <c r="F135" s="2">
        <f>$D135*BASE!E$15/100/E$3</f>
        <v>0.69511412918278781</v>
      </c>
      <c r="G135" s="2">
        <f>$D135*BASE!F$15/100/F$3</f>
        <v>0.69511412918278781</v>
      </c>
      <c r="H135" s="2">
        <f>$D135*BASE!G$15/100/G$3</f>
        <v>0.69511412918278781</v>
      </c>
      <c r="I135" s="2">
        <f>(1-BESSELJ(2*F135,1)/F135)*BASE!K$13*E$2*E$3</f>
        <v>1.1473152619962685</v>
      </c>
      <c r="J135" s="2">
        <f>(1-BESSELJ(2*G135,1)/G135)*BASE!L$13*F$2*F$3</f>
        <v>1.1473152619962685</v>
      </c>
      <c r="K135" s="2">
        <f>(1-BESSELJ(2*H135,1)/H135)*BASE!M$13*G$2*G$3</f>
        <v>1.1473152619962685</v>
      </c>
      <c r="L135" s="2" t="str">
        <f>IMPRODUCT(COMPLEX(1-BESSELJ(2*F135,1)/F135,(STRUVE(2*F135)/(2*F135^2))),PI()*(BASE!E$15/100)^2*E$2*E$3)</f>
        <v>1.14731526199627+2.66664946147714i</v>
      </c>
      <c r="M135" s="2" t="str">
        <f>IMPRODUCT(COMPLEX(1-BESSELJ(2*G135,1)/G135,(STRUVE(2*G135)/(2*G135^2))),PI()*(BASE!F$15/100)^2*F$2*F$3)</f>
        <v>1.14731526199627+2.66664946147714i</v>
      </c>
      <c r="N135" s="2" t="str">
        <f>IMPRODUCT(COMPLEX(1-BESSELJ(2*H135,1)/H135,(STRUVE(2*H135)/(2*H135^2))),PI()*(BASE!G$15/100)^2*G$2*G$3)</f>
        <v>1.14731526199627+2.66664946147714i</v>
      </c>
      <c r="O135" s="2" t="str">
        <f>IMSUM(IMPRODUCT(IF($O$3=1,L135,COMPLEX(I135,$D135*BASE!K$15)),2),COMPLEX(BASE!E$36,$D135*BASE!K$14-BASE!K$10/$D135))</f>
        <v>3.09463052399254+22.459305210513i</v>
      </c>
      <c r="P135" s="2" t="str">
        <f>IMSUM(IMPRODUCT(IF($O$3=1,M135,COMPLEX(J135,$D135*BASE!L$15)),2),COMPLEX(BASE!F$36,$D135*BASE!L$14-BASE!L$10/$D135))</f>
        <v>3.09463052399254+22.2656570706057i</v>
      </c>
      <c r="Q135" s="2" t="str">
        <f>IMSUM(IMPRODUCT(IF($O$3=1,N135,COMPLEX(K135,$D135*BASE!M$15)),2),COMPLEX(BASE!G$36,$D135*BASE!M$14-BASE!M$10/$D135))</f>
        <v>3.09463052399254+21.878360790791i</v>
      </c>
      <c r="R135" s="2" t="str">
        <f>COMPLEX(BASE!E$19,FRES!$D135*BASE!K$36)</f>
        <v>7.2+1.05669321355371i</v>
      </c>
      <c r="S135" s="2" t="str">
        <f>COMPLEX(BASE!F$19,FRES!$D135*BASE!L$36)</f>
        <v>7.2+1.05669321355371i</v>
      </c>
      <c r="T135" s="2" t="str">
        <f>COMPLEX(BASE!G$19,FRES!$D135*BASE!M$36)</f>
        <v>7.2+1.05669321355371i</v>
      </c>
      <c r="U135" s="2" t="str">
        <f>IMDIV(BASE!K$21*BASE!E$38,IMPRODUCT(FRES!R135,IMSUM(FRES!O135,IMDIV(BASE!K$21^2,FRES!R135))))</f>
        <v>0.00252061606214386-0.052425190013513i</v>
      </c>
      <c r="V135" s="2" t="str">
        <f>IMDIV(BASE!L$21*BASE!F$38,IMPRODUCT(FRES!S135,IMSUM(FRES!P135,IMDIV(BASE!L$21^2,FRES!S135))))</f>
        <v>0.00262947889192897-0.0528634580505528i</v>
      </c>
      <c r="W135" s="2" t="str">
        <f>IMDIV(BASE!M$21*BASE!G$38,IMPRODUCT(FRES!T135,IMSUM(FRES!Q135,IMDIV(BASE!M$21^2,FRES!T135))))</f>
        <v>0.00285735379698313-0.0537614251234088i</v>
      </c>
      <c r="X135" s="2" t="str">
        <f t="shared" si="54"/>
        <v>-0.0000138123000413659-6.64098791638968E-07i</v>
      </c>
      <c r="Y135" s="2" t="str">
        <f t="shared" si="51"/>
        <v>-0.0000139277691436157-0.0000006927805392484i</v>
      </c>
      <c r="Z135" s="2" t="str">
        <f t="shared" si="51"/>
        <v>-0.0000141643537060056-7.52818024276009E-07i</v>
      </c>
      <c r="AA135" s="44" t="str">
        <f>IMPRODUCT(COMPLEX(0,$D135),U135,E$2,BASE!E$15^2/10000,1/(2*BASE!$U$3))</f>
        <v>0.473855986714279+0.0227831126782215i</v>
      </c>
      <c r="AB135" s="44" t="str">
        <f>IMPRODUCT(COMPLEX(0,$D135),V135,F$2,BASE!F$15^2/10000,1/(2*BASE!$U$3))</f>
        <v>0.477817363546357+0.023767092013557i</v>
      </c>
      <c r="AC135" s="44" t="str">
        <f>IMPRODUCT(COMPLEX(0,$D135),W135,G$2,BASE!G$15^2/10000,1/(2*BASE!$U$3))</f>
        <v>0.485933825751557+0.0258267867510301i</v>
      </c>
      <c r="AD135" s="44">
        <f t="shared" si="55"/>
        <v>4.8043248672615661E-2</v>
      </c>
      <c r="AE135" s="44">
        <f t="shared" si="56"/>
        <v>4.9699993460097652E-2</v>
      </c>
      <c r="AF135" s="44">
        <f t="shared" si="57"/>
        <v>5.3098813218896201E-2</v>
      </c>
      <c r="AG135" s="31">
        <f t="shared" si="58"/>
        <v>87.50235556742652</v>
      </c>
      <c r="AH135" s="31">
        <f t="shared" si="59"/>
        <v>87.575370520796923</v>
      </c>
      <c r="AI135" s="31">
        <f t="shared" si="60"/>
        <v>87.723193333620657</v>
      </c>
      <c r="AJ135" s="2" t="str">
        <f>IMSUM(R135,IMDIV(BASE!K$21^2,FRES!O135))</f>
        <v>7.25649474622788+0.646682151333108i</v>
      </c>
      <c r="AK135" s="2" t="str">
        <f>IMSUM(S135,IMDIV(BASE!L$21^2,FRES!P135))</f>
        <v>7.25746300389573+0.643250791568419i</v>
      </c>
      <c r="AL135" s="2" t="str">
        <f>IMSUM(T135,IMDIV(BASE!M$21^2,FRES!Q135))</f>
        <v>7.25947520173418+0.636216548712069i</v>
      </c>
      <c r="AM135" s="31">
        <f t="shared" ref="AM135:AO188" si="73">IMABS(U135)</f>
        <v>5.2485750954765625E-2</v>
      </c>
      <c r="AN135" s="31">
        <f t="shared" si="73"/>
        <v>5.2928814045901836E-2</v>
      </c>
      <c r="AO135" s="31">
        <f t="shared" si="73"/>
        <v>5.3837304000302837E-2</v>
      </c>
      <c r="AP135" s="31">
        <f t="shared" si="61"/>
        <v>1.9556106956026439E-2</v>
      </c>
      <c r="AQ135" s="31">
        <f t="shared" si="62"/>
        <v>1.9721191555959031E-2</v>
      </c>
      <c r="AR135" s="31">
        <f t="shared" si="63"/>
        <v>2.005969346159155E-2</v>
      </c>
      <c r="AS135" s="2">
        <f t="shared" si="64"/>
        <v>110.1529264101688</v>
      </c>
      <c r="AT135" s="2">
        <f t="shared" si="65"/>
        <v>110.15819999261619</v>
      </c>
      <c r="AU135" s="2">
        <f t="shared" si="66"/>
        <v>110.16901877192201</v>
      </c>
      <c r="AV135" s="2">
        <f t="shared" si="67"/>
        <v>110.1529264101688</v>
      </c>
      <c r="AW135" s="2">
        <f t="shared" si="68"/>
        <v>110.15819999261619</v>
      </c>
      <c r="AX135" s="2">
        <f t="shared" si="69"/>
        <v>110.16901877192201</v>
      </c>
      <c r="AY135">
        <f t="shared" si="70"/>
        <v>7.2852531738358728</v>
      </c>
      <c r="AZ135">
        <f t="shared" si="71"/>
        <v>7.285913864009693</v>
      </c>
      <c r="BA135">
        <f t="shared" si="72"/>
        <v>7.2873007143556663</v>
      </c>
    </row>
    <row r="136" spans="1:53" x14ac:dyDescent="0.2">
      <c r="A136" s="2">
        <v>132</v>
      </c>
      <c r="B136" s="2"/>
      <c r="C136" s="1">
        <v>621.78044233830735</v>
      </c>
      <c r="D136" s="2">
        <f t="shared" si="53"/>
        <v>3906.7617395916768</v>
      </c>
      <c r="E136" s="2"/>
      <c r="F136" s="2">
        <f>$D136*BASE!E$15/100/E$3</f>
        <v>0.71548252789033617</v>
      </c>
      <c r="G136" s="2">
        <f>$D136*BASE!F$15/100/F$3</f>
        <v>0.71548252789033617</v>
      </c>
      <c r="H136" s="2">
        <f>$D136*BASE!G$15/100/G$3</f>
        <v>0.71548252789033617</v>
      </c>
      <c r="I136" s="2">
        <f>(1-BESSELJ(2*F136,1)/F136)*BASE!K$13*E$2*E$3</f>
        <v>1.2097334261990074</v>
      </c>
      <c r="J136" s="2">
        <f>(1-BESSELJ(2*G136,1)/G136)*BASE!L$13*F$2*F$3</f>
        <v>1.2097334261990074</v>
      </c>
      <c r="K136" s="2">
        <f>(1-BESSELJ(2*H136,1)/H136)*BASE!M$13*G$2*G$3</f>
        <v>1.2097334261990074</v>
      </c>
      <c r="L136" s="2" t="str">
        <f>IMPRODUCT(COMPLEX(1-BESSELJ(2*F136,1)/F136,(STRUVE(2*F136)/(2*F136^2))),PI()*(BASE!E$15/100)^2*E$2*E$3)</f>
        <v>1.20973342619901+2.7234357185401i</v>
      </c>
      <c r="M136" s="2" t="str">
        <f>IMPRODUCT(COMPLEX(1-BESSELJ(2*G136,1)/G136,(STRUVE(2*G136)/(2*G136^2))),PI()*(BASE!F$15/100)^2*F$2*F$3)</f>
        <v>1.20973342619901+2.7234357185401i</v>
      </c>
      <c r="N136" s="2" t="str">
        <f>IMPRODUCT(COMPLEX(1-BESSELJ(2*H136,1)/H136,(STRUVE(2*H136)/(2*H136^2))),PI()*(BASE!G$15/100)^2*G$2*G$3)</f>
        <v>1.20973342619901+2.7234357185401i</v>
      </c>
      <c r="O136" s="2" t="str">
        <f>IMSUM(IMPRODUCT(IF($O$3=1,L136,COMPLEX(I136,$D136*BASE!K$15)),2),COMPLEX(BASE!E$36,$D136*BASE!K$14-BASE!K$10/$D136))</f>
        <v>3.21946685239802+23.1285926594391i</v>
      </c>
      <c r="P136" s="2" t="str">
        <f>IMSUM(IMPRODUCT(IF($O$3=1,M136,COMPLEX(J136,$D136*BASE!L$15)),2),COMPLEX(BASE!F$36,$D136*BASE!L$14-BASE!L$10/$D136))</f>
        <v>3.21946685239802+22.9404573061742i</v>
      </c>
      <c r="Q136" s="2" t="str">
        <f>IMSUM(IMPRODUCT(IF($O$3=1,N136,COMPLEX(K136,$D136*BASE!M$15)),2),COMPLEX(BASE!G$36,$D136*BASE!M$14-BASE!M$10/$D136))</f>
        <v>3.21946685239802+22.5641865996443i</v>
      </c>
      <c r="R136" s="2" t="str">
        <f>COMPLEX(BASE!E$19,FRES!$D136*BASE!K$36)</f>
        <v>7.2+1.08765668815683i</v>
      </c>
      <c r="S136" s="2" t="str">
        <f>COMPLEX(BASE!F$19,FRES!$D136*BASE!L$36)</f>
        <v>7.2+1.08765668815683i</v>
      </c>
      <c r="T136" s="2" t="str">
        <f>COMPLEX(BASE!G$19,FRES!$D136*BASE!M$36)</f>
        <v>7.2+1.08765668815683i</v>
      </c>
      <c r="U136" s="2" t="str">
        <f>IMDIV(BASE!K$21*BASE!E$38,IMPRODUCT(FRES!R136,IMSUM(FRES!O136,IMDIV(BASE!K$21^2,FRES!R136))))</f>
        <v>0.00221707845858196-0.0508889616399166i</v>
      </c>
      <c r="V136" s="2" t="str">
        <f>IMDIV(BASE!L$21*BASE!F$38,IMPRODUCT(FRES!S136,IMSUM(FRES!P136,IMDIV(BASE!L$21^2,FRES!S136))))</f>
        <v>0.00231474291477831-0.0512905421480498i</v>
      </c>
      <c r="W136" s="2" t="str">
        <f>IMDIV(BASE!M$21*BASE!G$38,IMPRODUCT(FRES!T136,IMSUM(FRES!Q136,IMDIV(BASE!M$21^2,FRES!T136))))</f>
        <v>0.00251872074697105-0.0521122285205882i</v>
      </c>
      <c r="X136" s="2" t="str">
        <f t="shared" si="54"/>
        <v>-0.000013025867721648-5.67497740165153E-07i</v>
      </c>
      <c r="Y136" s="2" t="str">
        <f t="shared" si="51"/>
        <v>-0.0000131286588655418-5.92496565971857E-07i</v>
      </c>
      <c r="Z136" s="2" t="str">
        <f t="shared" si="51"/>
        <v>-0.0000133389830233248-6.44708051030083E-07i</v>
      </c>
      <c r="AA136" s="44" t="str">
        <f>IMPRODUCT(COMPLEX(0,$D136),U136,E$2,BASE!E$15^2/10000,1/(2*BASE!$U$3))</f>
        <v>0.473448630427275+0.0206267277998869i</v>
      </c>
      <c r="AB136" s="44" t="str">
        <f>IMPRODUCT(COMPLEX(0,$D136),V136,F$2,BASE!F$15^2/10000,1/(2*BASE!$U$3))</f>
        <v>0.477184759745992+0.0215353551630225i</v>
      </c>
      <c r="AC136" s="44" t="str">
        <f>IMPRODUCT(COMPLEX(0,$D136),W136,G$2,BASE!G$15^2/10000,1/(2*BASE!$U$3))</f>
        <v>0.484829370191608+0.0234330756544036i</v>
      </c>
      <c r="AD136" s="44">
        <f t="shared" si="55"/>
        <v>4.3539448445413458E-2</v>
      </c>
      <c r="AE136" s="44">
        <f t="shared" si="56"/>
        <v>4.5099412923055547E-2</v>
      </c>
      <c r="AF136" s="44">
        <f t="shared" si="57"/>
        <v>4.8295040976255393E-2</v>
      </c>
      <c r="AG136" s="31">
        <f t="shared" si="58"/>
        <v>87.493092829937581</v>
      </c>
      <c r="AH136" s="31">
        <f t="shared" si="59"/>
        <v>87.561967741786177</v>
      </c>
      <c r="AI136" s="31">
        <f t="shared" si="60"/>
        <v>87.70131197554349</v>
      </c>
      <c r="AJ136" s="2" t="str">
        <f>IMSUM(R136,IMDIV(BASE!K$21^2,FRES!O136))</f>
        <v>7.25540015587656+0.689662952770506i</v>
      </c>
      <c r="AK136" s="2" t="str">
        <f>IMSUM(S136,IMDIV(BASE!L$21^2,FRES!P136))</f>
        <v>7.25629493547607+0.686524568134908i</v>
      </c>
      <c r="AL136" s="2" t="str">
        <f>IMSUM(T136,IMDIV(BASE!M$21^2,FRES!Q136))</f>
        <v>7.25815031879042+0.680100187601921i</v>
      </c>
      <c r="AM136" s="31">
        <f t="shared" si="73"/>
        <v>5.093723445261248E-2</v>
      </c>
      <c r="AN136" s="31">
        <f t="shared" si="73"/>
        <v>5.134274777027803E-2</v>
      </c>
      <c r="AO136" s="31">
        <f t="shared" si="73"/>
        <v>5.2173061205791141E-2</v>
      </c>
      <c r="AP136" s="31">
        <f t="shared" si="61"/>
        <v>1.8438833129401866E-2</v>
      </c>
      <c r="AQ136" s="31">
        <f t="shared" si="62"/>
        <v>1.8585625401823732E-2</v>
      </c>
      <c r="AR136" s="31">
        <f t="shared" si="63"/>
        <v>1.8886191599558139E-2</v>
      </c>
      <c r="AS136" s="2">
        <f t="shared" si="64"/>
        <v>110.13859036879164</v>
      </c>
      <c r="AT136" s="2">
        <f t="shared" si="65"/>
        <v>110.14355588994493</v>
      </c>
      <c r="AU136" s="2">
        <f t="shared" si="66"/>
        <v>110.15372788996393</v>
      </c>
      <c r="AV136" s="2">
        <f t="shared" si="67"/>
        <v>110.13859036879164</v>
      </c>
      <c r="AW136" s="2">
        <f t="shared" si="68"/>
        <v>110.14355588994493</v>
      </c>
      <c r="AX136" s="2">
        <f t="shared" si="69"/>
        <v>110.15372788996393</v>
      </c>
      <c r="AY136">
        <f t="shared" si="70"/>
        <v>7.2881044456235502</v>
      </c>
      <c r="AZ136">
        <f t="shared" si="71"/>
        <v>7.2886989355624028</v>
      </c>
      <c r="BA136">
        <f t="shared" si="72"/>
        <v>7.2899439171596958</v>
      </c>
    </row>
    <row r="137" spans="1:53" x14ac:dyDescent="0.2">
      <c r="A137" s="2">
        <v>133</v>
      </c>
      <c r="B137" s="2"/>
      <c r="C137" s="1">
        <v>640</v>
      </c>
      <c r="D137" s="2">
        <f t="shared" si="53"/>
        <v>4021.2385965949352</v>
      </c>
      <c r="E137" s="2"/>
      <c r="F137" s="2">
        <f>$D137*BASE!E$15/100/E$3</f>
        <v>0.73644776623686314</v>
      </c>
      <c r="G137" s="2">
        <f>$D137*BASE!F$15/100/F$3</f>
        <v>0.73644776623686314</v>
      </c>
      <c r="H137" s="2">
        <f>$D137*BASE!G$15/100/G$3</f>
        <v>0.73644776623686314</v>
      </c>
      <c r="I137" s="2">
        <f>(1-BESSELJ(2*F137,1)/F137)*BASE!K$13*E$2*E$3</f>
        <v>1.2751846296698741</v>
      </c>
      <c r="J137" s="2">
        <f>(1-BESSELJ(2*G137,1)/G137)*BASE!L$13*F$2*F$3</f>
        <v>1.2751846296698741</v>
      </c>
      <c r="K137" s="2">
        <f>(1-BESSELJ(2*H137,1)/H137)*BASE!M$13*G$2*G$3</f>
        <v>1.2751846296698741</v>
      </c>
      <c r="L137" s="2" t="str">
        <f>IMPRODUCT(COMPLEX(1-BESSELJ(2*F137,1)/F137,(STRUVE(2*F137)/(2*F137^2))),PI()*(BASE!E$15/100)^2*E$2*E$3)</f>
        <v>1.27518462966987+2.78011345116423i</v>
      </c>
      <c r="M137" s="2" t="str">
        <f>IMPRODUCT(COMPLEX(1-BESSELJ(2*G137,1)/G137,(STRUVE(2*G137)/(2*G137^2))),PI()*(BASE!F$15/100)^2*F$2*F$3)</f>
        <v>1.27518462966987+2.78011345116423i</v>
      </c>
      <c r="N137" s="2" t="str">
        <f>IMPRODUCT(COMPLEX(1-BESSELJ(2*H137,1)/H137,(STRUVE(2*H137)/(2*H137^2))),PI()*(BASE!G$15/100)^2*G$2*G$3)</f>
        <v>1.27518462966987+2.78011345116423i</v>
      </c>
      <c r="O137" s="2" t="str">
        <f>IMSUM(IMPRODUCT(IF($O$3=1,L137,COMPLEX(I137,$D137*BASE!K$15)),2),COMPLEX(BASE!E$36,$D137*BASE!K$14-BASE!K$10/$D137))</f>
        <v>3.35036925933974+23.8171734668398i</v>
      </c>
      <c r="P137" s="2" t="str">
        <f>IMSUM(IMPRODUCT(IF($O$3=1,M137,COMPLEX(J137,$D137*BASE!L$15)),2),COMPLEX(BASE!F$36,$D137*BASE!L$14-BASE!L$10/$D137))</f>
        <v>3.35036925933974+23.6343939618827i</v>
      </c>
      <c r="Q137" s="2" t="str">
        <f>IMSUM(IMPRODUCT(IF($O$3=1,N137,COMPLEX(K137,$D137*BASE!M$15)),2),COMPLEX(BASE!G$36,$D137*BASE!M$14-BASE!M$10/$D137))</f>
        <v>3.35036925933974+23.2688349519685i</v>
      </c>
      <c r="R137" s="2" t="str">
        <f>COMPLEX(BASE!E$19,FRES!$D137*BASE!K$36)</f>
        <v>7.2+1.11952746182008i</v>
      </c>
      <c r="S137" s="2" t="str">
        <f>COMPLEX(BASE!F$19,FRES!$D137*BASE!L$36)</f>
        <v>7.2+1.11952746182008i</v>
      </c>
      <c r="T137" s="2" t="str">
        <f>COMPLEX(BASE!G$19,FRES!$D137*BASE!M$36)</f>
        <v>7.2+1.11952746182008i</v>
      </c>
      <c r="U137" s="2" t="str">
        <f>IMDIV(BASE!K$21*BASE!E$38,IMPRODUCT(FRES!R137,IMSUM(FRES!O137,IMDIV(BASE!K$21^2,FRES!R137))))</f>
        <v>0.00192864985458184-0.0493952578435855i</v>
      </c>
      <c r="V137" s="2" t="str">
        <f>IMDIV(BASE!L$21*BASE!F$38,IMPRODUCT(FRES!S137,IMSUM(FRES!P137,IMDIV(BASE!L$21^2,FRES!S137))))</f>
        <v>0.00201626863091159-0.0497632043780864i</v>
      </c>
      <c r="W137" s="2" t="str">
        <f>IMDIV(BASE!M$21*BASE!G$38,IMPRODUCT(FRES!T137,IMSUM(FRES!Q137,IMDIV(BASE!M$21^2,FRES!T137))))</f>
        <v>0.00219887971174134-0.0505151102835133i</v>
      </c>
      <c r="X137" s="2" t="str">
        <f t="shared" si="54"/>
        <v>-0.0000122835928923521-4.79615871640882E-07i</v>
      </c>
      <c r="Y137" s="2" t="str">
        <f t="shared" si="51"/>
        <v>-0.0000123750936888511-5.0140487376673E-07i</v>
      </c>
      <c r="Z137" s="2" t="str">
        <f t="shared" si="51"/>
        <v>-0.0000125620773475834-5.46816524043931E-07i</v>
      </c>
      <c r="AA137" s="44" t="str">
        <f>IMPRODUCT(COMPLEX(0,$D137),U137,E$2,BASE!E$15^2/10000,1/(2*BASE!$U$3))</f>
        <v>0.473017761408197+0.0184690935239853i</v>
      </c>
      <c r="AB137" s="44" t="str">
        <f>IMPRODUCT(COMPLEX(0,$D137),V137,F$2,BASE!F$15^2/10000,1/(2*BASE!$U$3))</f>
        <v>0.476541282767649+0.0193081464866819i</v>
      </c>
      <c r="AC137" s="44" t="str">
        <f>IMPRODUCT(COMPLEX(0,$D137),W137,G$2,BASE!G$15^2/10000,1/(2*BASE!$U$3))</f>
        <v>0.483741667251943+0.0210568626273273i</v>
      </c>
      <c r="AD137" s="44">
        <f t="shared" si="55"/>
        <v>3.9025419418106007E-2</v>
      </c>
      <c r="AE137" s="44">
        <f t="shared" si="56"/>
        <v>4.0495108925660613E-2</v>
      </c>
      <c r="AF137" s="44">
        <f t="shared" si="57"/>
        <v>4.3501686395791703E-2</v>
      </c>
      <c r="AG137" s="31">
        <f t="shared" si="58"/>
        <v>87.483564967522938</v>
      </c>
      <c r="AH137" s="31">
        <f t="shared" si="59"/>
        <v>87.548534419424612</v>
      </c>
      <c r="AI137" s="31">
        <f t="shared" si="60"/>
        <v>87.679891196721769</v>
      </c>
      <c r="AJ137" s="2" t="str">
        <f>IMSUM(R137,IMDIV(BASE!K$21^2,FRES!O137))</f>
        <v>7.2543453299919+0.733196269244336i</v>
      </c>
      <c r="AK137" s="2" t="str">
        <f>IMSUM(S137,IMDIV(BASE!L$21^2,FRES!P137))</f>
        <v>7.25517253006529+0.73032579164543i</v>
      </c>
      <c r="AL137" s="2" t="str">
        <f>IMSUM(T137,IMDIV(BASE!M$21^2,FRES!Q137))</f>
        <v>7.2568842086993+0.724457796019066i</v>
      </c>
      <c r="AM137" s="31">
        <f t="shared" si="73"/>
        <v>4.9432895805282068E-2</v>
      </c>
      <c r="AN137" s="31">
        <f t="shared" si="73"/>
        <v>4.9804034466769814E-2</v>
      </c>
      <c r="AO137" s="31">
        <f t="shared" si="73"/>
        <v>5.0562945315143756E-2</v>
      </c>
      <c r="AP137" s="31">
        <f t="shared" si="61"/>
        <v>1.7384860409527185E-2</v>
      </c>
      <c r="AQ137" s="31">
        <f t="shared" si="62"/>
        <v>1.7515384703470225E-2</v>
      </c>
      <c r="AR137" s="31">
        <f t="shared" si="63"/>
        <v>1.7782283070384156E-2</v>
      </c>
      <c r="AS137" s="2">
        <f t="shared" si="64"/>
        <v>110.12422176813251</v>
      </c>
      <c r="AT137" s="2">
        <f t="shared" si="65"/>
        <v>110.12889993513127</v>
      </c>
      <c r="AU137" s="2">
        <f t="shared" si="66"/>
        <v>110.13847016845448</v>
      </c>
      <c r="AV137" s="2">
        <f t="shared" si="67"/>
        <v>110.12422176813251</v>
      </c>
      <c r="AW137" s="2">
        <f t="shared" si="68"/>
        <v>110.12889993513127</v>
      </c>
      <c r="AX137" s="2">
        <f t="shared" si="69"/>
        <v>110.13847016845448</v>
      </c>
      <c r="AY137">
        <f t="shared" si="70"/>
        <v>7.2913032398885385</v>
      </c>
      <c r="AZ137">
        <f t="shared" si="71"/>
        <v>7.2918381909472254</v>
      </c>
      <c r="BA137">
        <f t="shared" si="72"/>
        <v>7.2929560204818227</v>
      </c>
    </row>
    <row r="138" spans="1:53" x14ac:dyDescent="0.2">
      <c r="A138" s="2">
        <v>134</v>
      </c>
      <c r="B138" s="2"/>
      <c r="C138" s="1">
        <v>658.7534314518349</v>
      </c>
      <c r="D138" s="2">
        <f t="shared" si="53"/>
        <v>4139.0698815523037</v>
      </c>
      <c r="E138" s="2"/>
      <c r="F138" s="2">
        <f>$D138*BASE!E$15/100/E$3</f>
        <v>0.75802733295870672</v>
      </c>
      <c r="G138" s="2">
        <f>$D138*BASE!F$15/100/F$3</f>
        <v>0.75802733295870672</v>
      </c>
      <c r="H138" s="2">
        <f>$D138*BASE!G$15/100/G$3</f>
        <v>0.75802733295870672</v>
      </c>
      <c r="I138" s="2">
        <f>(1-BESSELJ(2*F138,1)/F138)*BASE!K$13*E$2*E$3</f>
        <v>1.3437720702018925</v>
      </c>
      <c r="J138" s="2">
        <f>(1-BESSELJ(2*G138,1)/G138)*BASE!L$13*F$2*F$3</f>
        <v>1.3437720702018925</v>
      </c>
      <c r="K138" s="2">
        <f>(1-BESSELJ(2*H138,1)/H138)*BASE!M$13*G$2*G$3</f>
        <v>1.3437720702018925</v>
      </c>
      <c r="L138" s="2" t="str">
        <f>IMPRODUCT(COMPLEX(1-BESSELJ(2*F138,1)/F138,(STRUVE(2*F138)/(2*F138^2))),PI()*(BASE!E$15/100)^2*E$2*E$3)</f>
        <v>1.34377207020189+2.83654283732137i</v>
      </c>
      <c r="M138" s="2" t="str">
        <f>IMPRODUCT(COMPLEX(1-BESSELJ(2*G138,1)/G138,(STRUVE(2*G138)/(2*G138^2))),PI()*(BASE!F$15/100)^2*F$2*F$3)</f>
        <v>1.34377207020189+2.83654283732137i</v>
      </c>
      <c r="N138" s="2" t="str">
        <f>IMPRODUCT(COMPLEX(1-BESSELJ(2*H138,1)/H138,(STRUVE(2*H138)/(2*H138^2))),PI()*(BASE!G$15/100)^2*G$2*G$3)</f>
        <v>1.34377207020189+2.83654283732137i</v>
      </c>
      <c r="O138" s="2" t="str">
        <f>IMSUM(IMPRODUCT(IF($O$3=1,L138,COMPLEX(I138,$D138*BASE!K$15)),2),COMPLEX(BASE!E$36,$D138*BASE!K$14-BASE!K$10/$D138))</f>
        <v>3.48754414040378+24.5256220315361i</v>
      </c>
      <c r="P138" s="2" t="str">
        <f>IMSUM(IMPRODUCT(IF($O$3=1,M138,COMPLEX(J138,$D138*BASE!L$15)),2),COMPLEX(BASE!F$36,$D138*BASE!L$14-BASE!L$10/$D138))</f>
        <v>3.48754414040378+24.3480459042821i</v>
      </c>
      <c r="Q138" s="2" t="str">
        <f>IMSUM(IMPRODUCT(IF($O$3=1,N138,COMPLEX(K138,$D138*BASE!M$15)),2),COMPLEX(BASE!G$36,$D138*BASE!M$14-BASE!M$10/$D138))</f>
        <v>3.48754414040378+23.992893649774i</v>
      </c>
      <c r="R138" s="2" t="str">
        <f>COMPLEX(BASE!E$19,FRES!$D138*BASE!K$36)</f>
        <v>7.2+1.15233212043522i</v>
      </c>
      <c r="S138" s="2" t="str">
        <f>COMPLEX(BASE!F$19,FRES!$D138*BASE!L$36)</f>
        <v>7.2+1.15233212043522i</v>
      </c>
      <c r="T138" s="2" t="str">
        <f>COMPLEX(BASE!G$19,FRES!$D138*BASE!M$36)</f>
        <v>7.2+1.15233212043522i</v>
      </c>
      <c r="U138" s="2" t="str">
        <f>IMDIV(BASE!K$21*BASE!E$38,IMPRODUCT(FRES!R138,IMSUM(FRES!O138,IMDIV(BASE!K$21^2,FRES!R138))))</f>
        <v>0.00165435687122798-0.0479428604354924i</v>
      </c>
      <c r="V138" s="2" t="str">
        <f>IMDIV(BASE!L$21*BASE!F$38,IMPRODUCT(FRES!S138,IMSUM(FRES!P138,IMDIV(BASE!L$21^2,FRES!S138))))</f>
        <v>0.00173295982019714-0.0482799739131048i</v>
      </c>
      <c r="W138" s="2" t="str">
        <f>IMDIV(BASE!M$21*BASE!G$38,IMPRODUCT(FRES!T138,IMSUM(FRES!Q138,IMDIV(BASE!M$21^2,FRES!T138))))</f>
        <v>0.00189645437403629-0.0489680412833859i</v>
      </c>
      <c r="X138" s="2" t="str">
        <f t="shared" si="54"/>
        <v>-0.0000115830033817917-3.99692906515397E-07i</v>
      </c>
      <c r="Y138" s="2" t="str">
        <f t="shared" si="51"/>
        <v>-0.0000116644500563489-4.18683392595251E-07i</v>
      </c>
      <c r="Z138" s="2" t="str">
        <f t="shared" si="51"/>
        <v>-0.0000118306872521372-4.58183705109383E-07i</v>
      </c>
      <c r="AA138" s="44" t="str">
        <f>IMPRODUCT(COMPLEX(0,$D138),U138,E$2,BASE!E$15^2/10000,1/(2*BASE!$U$3))</f>
        <v>0.472562276589878+0.0163066334018911i</v>
      </c>
      <c r="AB138" s="44" t="str">
        <f>IMPRODUCT(COMPLEX(0,$D138),V138,F$2,BASE!F$15^2/10000,1/(2*BASE!$U$3))</f>
        <v>0.475885130316222+0.0170814054570863i</v>
      </c>
      <c r="AC138" s="44" t="str">
        <f>IMPRODUCT(COMPLEX(0,$D138),W138,G$2,BASE!G$15^2/10000,1/(2*BASE!$U$3))</f>
        <v>0.482667259709288+0.0186929354715757i</v>
      </c>
      <c r="AD138" s="44">
        <f t="shared" si="55"/>
        <v>3.4493159113617944E-2</v>
      </c>
      <c r="AE138" s="44">
        <f t="shared" si="56"/>
        <v>3.5878564536073215E-2</v>
      </c>
      <c r="AF138" s="44">
        <f t="shared" si="57"/>
        <v>3.8709064509065458E-2</v>
      </c>
      <c r="AG138" s="31">
        <f t="shared" si="58"/>
        <v>87.473749253739456</v>
      </c>
      <c r="AH138" s="31">
        <f t="shared" si="59"/>
        <v>87.535034532862539</v>
      </c>
      <c r="AI138" s="31">
        <f t="shared" si="60"/>
        <v>87.658865959843283</v>
      </c>
      <c r="AJ138" s="2" t="str">
        <f>IMSUM(R138,IMDIV(BASE!K$21^2,FRES!O138))</f>
        <v>7.25332678569993+0.777319636698809i</v>
      </c>
      <c r="AK138" s="2" t="str">
        <f>IMSUM(S138,IMDIV(BASE!L$21^2,FRES!P138))</f>
        <v>7.25409177701937+0.774694156042515i</v>
      </c>
      <c r="AL138" s="2" t="str">
        <f>IMSUM(T138,IMDIV(BASE!M$21^2,FRES!Q138))</f>
        <v>7.25567162442985+0.769333852748545i</v>
      </c>
      <c r="AM138" s="31">
        <f t="shared" si="73"/>
        <v>4.7971395262119298E-2</v>
      </c>
      <c r="AN138" s="31">
        <f t="shared" si="73"/>
        <v>4.8311065303804857E-2</v>
      </c>
      <c r="AO138" s="31">
        <f t="shared" si="73"/>
        <v>4.9004750854628236E-2</v>
      </c>
      <c r="AP138" s="31">
        <f t="shared" si="61"/>
        <v>1.6390590090787867E-2</v>
      </c>
      <c r="AQ138" s="31">
        <f t="shared" si="62"/>
        <v>1.6506646594647439E-2</v>
      </c>
      <c r="AR138" s="31">
        <f t="shared" si="63"/>
        <v>1.6743661079077623E-2</v>
      </c>
      <c r="AS138" s="2">
        <f t="shared" si="64"/>
        <v>110.10979513551575</v>
      </c>
      <c r="AT138" s="2">
        <f t="shared" si="65"/>
        <v>110.11420501793916</v>
      </c>
      <c r="AU138" s="2">
        <f t="shared" si="66"/>
        <v>110.12321477918162</v>
      </c>
      <c r="AV138" s="2">
        <f t="shared" si="67"/>
        <v>110.10979513551575</v>
      </c>
      <c r="AW138" s="2">
        <f t="shared" si="68"/>
        <v>110.11420501793916</v>
      </c>
      <c r="AX138" s="2">
        <f t="shared" si="69"/>
        <v>110.12321477918162</v>
      </c>
      <c r="AY138">
        <f t="shared" si="70"/>
        <v>7.2948595104874814</v>
      </c>
      <c r="AZ138">
        <f t="shared" si="71"/>
        <v>7.2953408792753791</v>
      </c>
      <c r="BA138">
        <f t="shared" si="72"/>
        <v>7.2963446532178979</v>
      </c>
    </row>
    <row r="139" spans="1:53" x14ac:dyDescent="0.2">
      <c r="A139" s="2">
        <v>135</v>
      </c>
      <c r="B139" s="2"/>
      <c r="C139" s="1">
        <v>678.05638038994869</v>
      </c>
      <c r="D139" s="2">
        <f t="shared" si="53"/>
        <v>4260.3538867054986</v>
      </c>
      <c r="E139" s="2"/>
      <c r="F139" s="2">
        <f>$D139*BASE!E$15/100/E$3</f>
        <v>0.78023922925129774</v>
      </c>
      <c r="G139" s="2">
        <f>$D139*BASE!F$15/100/F$3</f>
        <v>0.78023922925129774</v>
      </c>
      <c r="H139" s="2">
        <f>$D139*BASE!G$15/100/G$3</f>
        <v>0.78023922925129774</v>
      </c>
      <c r="I139" s="2">
        <f>(1-BESSELJ(2*F139,1)/F139)*BASE!K$13*E$2*E$3</f>
        <v>1.4155967120286082</v>
      </c>
      <c r="J139" s="2">
        <f>(1-BESSELJ(2*G139,1)/G139)*BASE!L$13*F$2*F$3</f>
        <v>1.4155967120286082</v>
      </c>
      <c r="K139" s="2">
        <f>(1-BESSELJ(2*H139,1)/H139)*BASE!M$13*G$2*G$3</f>
        <v>1.4155967120286082</v>
      </c>
      <c r="L139" s="2" t="str">
        <f>IMPRODUCT(COMPLEX(1-BESSELJ(2*F139,1)/F139,(STRUVE(2*F139)/(2*F139^2))),PI()*(BASE!E$15/100)^2*E$2*E$3)</f>
        <v>1.41559671202861+2.89257104856402i</v>
      </c>
      <c r="M139" s="2" t="str">
        <f>IMPRODUCT(COMPLEX(1-BESSELJ(2*G139,1)/G139,(STRUVE(2*G139)/(2*G139^2))),PI()*(BASE!F$15/100)^2*F$2*F$3)</f>
        <v>1.41559671202861+2.89257104856402i</v>
      </c>
      <c r="N139" s="2" t="str">
        <f>IMPRODUCT(COMPLEX(1-BESSELJ(2*H139,1)/H139,(STRUVE(2*H139)/(2*H139^2))),PI()*(BASE!G$15/100)^2*G$2*G$3)</f>
        <v>1.41559671202861+2.89257104856402i</v>
      </c>
      <c r="O139" s="2" t="str">
        <f>IMSUM(IMPRODUCT(IF($O$3=1,L139,COMPLEX(I139,$D139*BASE!K$15)),2),COMPLEX(BASE!E$36,$D139*BASE!K$14-BASE!K$10/$D139))</f>
        <v>3.63119342405722+25.2545293255912i</v>
      </c>
      <c r="P139" s="2" t="str">
        <f>IMSUM(IMPRODUCT(IF($O$3=1,M139,COMPLEX(J139,$D139*BASE!L$15)),2),COMPLEX(BASE!F$36,$D139*BASE!L$14-BASE!L$10/$D139))</f>
        <v>3.63119342405722+25.0820084459775i</v>
      </c>
      <c r="Q139" s="2" t="str">
        <f>IMSUM(IMPRODUCT(IF($O$3=1,N139,COMPLEX(K139,$D139*BASE!M$15)),2),COMPLEX(BASE!G$36,$D139*BASE!M$14-BASE!M$10/$D139))</f>
        <v>3.63119342405722+24.7369666867501i</v>
      </c>
      <c r="R139" s="2" t="str">
        <f>COMPLEX(BASE!E$19,FRES!$D139*BASE!K$36)</f>
        <v>7.2+1.18609802892011i</v>
      </c>
      <c r="S139" s="2" t="str">
        <f>COMPLEX(BASE!F$19,FRES!$D139*BASE!L$36)</f>
        <v>7.2+1.18609802892011i</v>
      </c>
      <c r="T139" s="2" t="str">
        <f>COMPLEX(BASE!G$19,FRES!$D139*BASE!M$36)</f>
        <v>7.2+1.18609802892011i</v>
      </c>
      <c r="U139" s="2" t="str">
        <f>IMDIV(BASE!K$21*BASE!E$38,IMPRODUCT(FRES!R139,IMSUM(FRES!O139,IMDIV(BASE!K$21^2,FRES!R139))))</f>
        <v>0.00139328084264793-0.0465305843223633i</v>
      </c>
      <c r="V139" s="2" t="str">
        <f>IMDIV(BASE!L$21*BASE!F$38,IMPRODUCT(FRES!S139,IMSUM(FRES!P139,IMDIV(BASE!L$21^2,FRES!S139))))</f>
        <v>0.00146378846727685-0.0468394337861014i</v>
      </c>
      <c r="W139" s="2" t="str">
        <f>IMDIV(BASE!M$21*BASE!G$38,IMPRODUCT(FRES!T139,IMSUM(FRES!Q139,IMDIV(BASE!M$21^2,FRES!T139))))</f>
        <v>0.00161016898733729-0.0474690949053678i</v>
      </c>
      <c r="X139" s="2" t="str">
        <f t="shared" si="54"/>
        <v>-0.0000109217650833098-3.27034063295935E-07i</v>
      </c>
      <c r="Y139" s="2" t="str">
        <f t="shared" si="51"/>
        <v>-0.0000109942589352177-3.43583774072061E-07i</v>
      </c>
      <c r="Z139" s="2" t="str">
        <f t="shared" si="51"/>
        <v>-0.0000111420544320264-3.77942544247755E-07i</v>
      </c>
      <c r="AA139" s="44" t="str">
        <f>IMPRODUCT(COMPLEX(0,$D139),U139,E$2,BASE!E$15^2/10000,1/(2*BASE!$U$3))</f>
        <v>0.472081010187007+0.0141356795159634i</v>
      </c>
      <c r="AB139" s="44" t="str">
        <f>IMPRODUCT(COMPLEX(0,$D139),V139,F$2,BASE!F$15^2/10000,1/(2*BASE!$U$3))</f>
        <v>0.475214475389745+0.0148510221480289i</v>
      </c>
      <c r="AC139" s="44" t="str">
        <f>IMPRODUCT(COMPLEX(0,$D139),W139,G$2,BASE!G$15^2/10000,1/(2*BASE!$U$3))</f>
        <v>0.481602769488943+0.0163361413398079i</v>
      </c>
      <c r="AD139" s="44">
        <f t="shared" si="55"/>
        <v>2.9934390037867242E-2</v>
      </c>
      <c r="AE139" s="44">
        <f t="shared" si="56"/>
        <v>3.1241031281370905E-2</v>
      </c>
      <c r="AF139" s="44">
        <f t="shared" si="57"/>
        <v>3.3907363681939598E-2</v>
      </c>
      <c r="AG139" s="31">
        <f t="shared" si="58"/>
        <v>87.463622859871762</v>
      </c>
      <c r="AH139" s="31">
        <f t="shared" si="59"/>
        <v>87.521432721596625</v>
      </c>
      <c r="AI139" s="31">
        <f t="shared" si="60"/>
        <v>87.638173681815076</v>
      </c>
      <c r="AJ139" s="2" t="str">
        <f>IMSUM(R139,IMDIV(BASE!K$21^2,FRES!O139))</f>
        <v>7.25234121633446+0.822070936863224i</v>
      </c>
      <c r="AK139" s="2" t="str">
        <f>IMSUM(S139,IMDIV(BASE!L$21^2,FRES!P139))</f>
        <v>7.25304889453911+0.819669512040666i</v>
      </c>
      <c r="AL139" s="2" t="str">
        <f>IMSUM(T139,IMDIV(BASE!M$21^2,FRES!Q139))</f>
        <v>7.2545076790502+0.814772549009371i</v>
      </c>
      <c r="AM139" s="31">
        <f t="shared" si="73"/>
        <v>4.6551439385770353E-2</v>
      </c>
      <c r="AN139" s="31">
        <f t="shared" si="73"/>
        <v>4.6862300776631845E-2</v>
      </c>
      <c r="AO139" s="31">
        <f t="shared" si="73"/>
        <v>4.7496395813815158E-2</v>
      </c>
      <c r="AP139" s="31">
        <f t="shared" si="61"/>
        <v>1.5452631090759983E-2</v>
      </c>
      <c r="AQ139" s="31">
        <f t="shared" si="62"/>
        <v>1.5555820733373079E-2</v>
      </c>
      <c r="AR139" s="31">
        <f t="shared" si="63"/>
        <v>1.5766306957115329E-2</v>
      </c>
      <c r="AS139" s="2">
        <f t="shared" si="64"/>
        <v>110.09528412285935</v>
      </c>
      <c r="AT139" s="2">
        <f t="shared" si="65"/>
        <v>110.09944329111437</v>
      </c>
      <c r="AU139" s="2">
        <f t="shared" si="66"/>
        <v>110.10793049074391</v>
      </c>
      <c r="AV139" s="2">
        <f t="shared" si="67"/>
        <v>110.09528412285935</v>
      </c>
      <c r="AW139" s="2">
        <f t="shared" si="68"/>
        <v>110.09944329111437</v>
      </c>
      <c r="AX139" s="2">
        <f t="shared" si="69"/>
        <v>110.10793049074391</v>
      </c>
      <c r="AY139">
        <f t="shared" si="70"/>
        <v>7.298784401760253</v>
      </c>
      <c r="AZ139">
        <f t="shared" si="71"/>
        <v>7.2992175180319148</v>
      </c>
      <c r="BA139">
        <f t="shared" si="72"/>
        <v>7.3001189012246606</v>
      </c>
    </row>
    <row r="140" spans="1:53" x14ac:dyDescent="0.2">
      <c r="A140" s="2">
        <v>136</v>
      </c>
      <c r="B140" s="2"/>
      <c r="C140" s="1">
        <v>697.92494890576472</v>
      </c>
      <c r="D140" s="2">
        <f t="shared" si="53"/>
        <v>4385.191784478764</v>
      </c>
      <c r="E140" s="2"/>
      <c r="F140" s="2">
        <f>$D140*BASE!E$15/100/E$3</f>
        <v>0.80310198378535491</v>
      </c>
      <c r="G140" s="2">
        <f>$D140*BASE!F$15/100/F$3</f>
        <v>0.80310198378535491</v>
      </c>
      <c r="H140" s="2">
        <f>$D140*BASE!G$15/100/G$3</f>
        <v>0.80310198378535491</v>
      </c>
      <c r="I140" s="2">
        <f>(1-BESSELJ(2*F140,1)/F140)*BASE!K$13*E$2*E$3</f>
        <v>1.4907563206974221</v>
      </c>
      <c r="J140" s="2">
        <f>(1-BESSELJ(2*G140,1)/G140)*BASE!L$13*F$2*F$3</f>
        <v>1.4907563206974221</v>
      </c>
      <c r="K140" s="2">
        <f>(1-BESSELJ(2*H140,1)/H140)*BASE!M$13*G$2*G$3</f>
        <v>1.4907563206974221</v>
      </c>
      <c r="L140" s="2" t="str">
        <f>IMPRODUCT(COMPLEX(1-BESSELJ(2*F140,1)/F140,(STRUVE(2*F140)/(2*F140^2))),PI()*(BASE!E$15/100)^2*E$2*E$3)</f>
        <v>1.49075632069742+2.94803154866894i</v>
      </c>
      <c r="M140" s="2" t="str">
        <f>IMPRODUCT(COMPLEX(1-BESSELJ(2*G140,1)/G140,(STRUVE(2*G140)/(2*G140^2))),PI()*(BASE!F$15/100)^2*F$2*F$3)</f>
        <v>1.49075632069742+2.94803154866894i</v>
      </c>
      <c r="N140" s="2" t="str">
        <f>IMPRODUCT(COMPLEX(1-BESSELJ(2*H140,1)/H140,(STRUVE(2*H140)/(2*H140^2))),PI()*(BASE!G$15/100)^2*G$2*G$3)</f>
        <v>1.49075632069742+2.94803154866894i</v>
      </c>
      <c r="O140" s="2" t="str">
        <f>IMSUM(IMPRODUCT(IF($O$3=1,L140,COMPLEX(I140,$D140*BASE!K$15)),2),COMPLEX(BASE!E$36,$D140*BASE!K$14-BASE!K$10/$D140))</f>
        <v>3.78151264139484+26.0045033872858i</v>
      </c>
      <c r="P140" s="2" t="str">
        <f>IMSUM(IMPRODUCT(IF($O$3=1,M140,COMPLEX(J140,$D140*BASE!L$15)),2),COMPLEX(BASE!F$36,$D140*BASE!L$14-BASE!L$10/$D140))</f>
        <v>3.78151264139484+25.8368938422252i</v>
      </c>
      <c r="Q140" s="2" t="str">
        <f>IMSUM(IMPRODUCT(IF($O$3=1,N140,COMPLEX(K140,$D140*BASE!M$15)),2),COMPLEX(BASE!G$36,$D140*BASE!M$14-BASE!M$10/$D140))</f>
        <v>3.78151264139484+25.501674752104i</v>
      </c>
      <c r="R140" s="2" t="str">
        <f>COMPLEX(BASE!E$19,FRES!$D140*BASE!K$36)</f>
        <v>7.2+1.22085335404591i</v>
      </c>
      <c r="S140" s="2" t="str">
        <f>COMPLEX(BASE!F$19,FRES!$D140*BASE!L$36)</f>
        <v>7.2+1.22085335404591i</v>
      </c>
      <c r="T140" s="2" t="str">
        <f>COMPLEX(BASE!G$19,FRES!$D140*BASE!M$36)</f>
        <v>7.2+1.22085335404591i</v>
      </c>
      <c r="U140" s="2" t="str">
        <f>IMDIV(BASE!K$21*BASE!E$38,IMPRODUCT(FRES!R140,IMSUM(FRES!O140,IMDIV(BASE!K$21^2,FRES!R140))))</f>
        <v>0.00114455458864906-0.0451572766727672i</v>
      </c>
      <c r="V140" s="2" t="str">
        <f>IMDIV(BASE!L$21*BASE!F$38,IMPRODUCT(FRES!S140,IMSUM(FRES!P140,IMDIV(BASE!L$21^2,FRES!S140))))</f>
        <v>0.00120779002010217-0.0454402183671538i</v>
      </c>
      <c r="W140" s="2" t="str">
        <f>IMDIV(BASE!M$21*BASE!G$38,IMPRODUCT(FRES!T140,IMSUM(FRES!Q140,IMDIV(BASE!M$21^2,FRES!T140))))</f>
        <v>0.00133883974612016-0.0460164401940843i</v>
      </c>
      <c r="X140" s="2" t="str">
        <f t="shared" si="54"/>
        <v>-0.0000102976742847599-2.61004454286395E-07i</v>
      </c>
      <c r="Y140" s="2" t="str">
        <f t="shared" si="51"/>
        <v>-0.0000103621963645896-2.75424674555193E-07i</v>
      </c>
      <c r="Z140" s="2" t="str">
        <f t="shared" si="51"/>
        <v>-0.0000104935981037267-3.05309279940489E-07i</v>
      </c>
      <c r="AA140" s="44" t="str">
        <f>IMPRODUCT(COMPLEX(0,$D140),U140,E$2,BASE!E$15^2/10000,1/(2*BASE!$U$3))</f>
        <v>0.471572731092295+0.0119524642100252i</v>
      </c>
      <c r="AB140" s="44" t="str">
        <f>IMPRODUCT(COMPLEX(0,$D140),V140,F$2,BASE!F$15^2/10000,1/(2*BASE!$U$3))</f>
        <v>0.474527461700358+0.0126128252262183i</v>
      </c>
      <c r="AC140" s="44" t="str">
        <f>IMPRODUCT(COMPLEX(0,$D140),W140,G$2,BASE!G$15^2/10000,1/(2*BASE!$U$3))</f>
        <v>0.480544886148021+0.0139813638485766i</v>
      </c>
      <c r="AD140" s="44">
        <f t="shared" si="55"/>
        <v>2.5340535863270123E-2</v>
      </c>
      <c r="AE140" s="44">
        <f t="shared" si="56"/>
        <v>2.6573501538307193E-2</v>
      </c>
      <c r="AF140" s="44">
        <f t="shared" si="57"/>
        <v>2.9086608017461279E-2</v>
      </c>
      <c r="AG140" s="31">
        <f t="shared" si="58"/>
        <v>87.45316285326426</v>
      </c>
      <c r="AH140" s="31">
        <f t="shared" si="59"/>
        <v>87.507694239298317</v>
      </c>
      <c r="AI140" s="31">
        <f t="shared" si="60"/>
        <v>87.617754068782773</v>
      </c>
      <c r="AJ140" s="2" t="str">
        <f>IMSUM(R140,IMDIV(BASE!K$21^2,FRES!O140))</f>
        <v>7.25138548006065+0.867488439787236i</v>
      </c>
      <c r="AK140" s="2" t="str">
        <f>IMSUM(S140,IMDIV(BASE!L$21^2,FRES!P140))</f>
        <v>7.25204031260268+0.865291926718359i</v>
      </c>
      <c r="AL140" s="2" t="str">
        <f>IMSUM(T140,IMDIV(BASE!M$21^2,FRES!Q140))</f>
        <v>7.25338781337332+0.860817891657464i</v>
      </c>
      <c r="AM140" s="31">
        <f t="shared" si="73"/>
        <v>4.5171779262137127E-2</v>
      </c>
      <c r="AN140" s="31">
        <f t="shared" si="73"/>
        <v>4.5456266916535058E-2</v>
      </c>
      <c r="AO140" s="31">
        <f t="shared" si="73"/>
        <v>4.6035912720413484E-2</v>
      </c>
      <c r="AP140" s="31">
        <f t="shared" si="61"/>
        <v>1.4567787683801729E-2</v>
      </c>
      <c r="AQ140" s="31">
        <f t="shared" si="62"/>
        <v>1.4659534252469809E-2</v>
      </c>
      <c r="AR140" s="31">
        <f t="shared" si="63"/>
        <v>1.4846468598219198E-2</v>
      </c>
      <c r="AS140" s="2">
        <f t="shared" si="64"/>
        <v>110.08066143086474</v>
      </c>
      <c r="AT140" s="2">
        <f t="shared" si="65"/>
        <v>110.08458608250163</v>
      </c>
      <c r="AU140" s="2">
        <f t="shared" si="66"/>
        <v>110.09258554887511</v>
      </c>
      <c r="AV140" s="2">
        <f t="shared" si="67"/>
        <v>110.08066143086474</v>
      </c>
      <c r="AW140" s="2">
        <f t="shared" si="68"/>
        <v>110.08458608250163</v>
      </c>
      <c r="AX140" s="2">
        <f t="shared" si="69"/>
        <v>110.09258554887511</v>
      </c>
      <c r="AY140">
        <f t="shared" si="70"/>
        <v>7.3030902756024405</v>
      </c>
      <c r="AZ140">
        <f t="shared" si="71"/>
        <v>7.3034799112517828</v>
      </c>
      <c r="BA140">
        <f t="shared" si="72"/>
        <v>7.3042893024434754</v>
      </c>
    </row>
    <row r="141" spans="1:53" x14ac:dyDescent="0.2">
      <c r="A141" s="2">
        <v>137</v>
      </c>
      <c r="B141" s="2"/>
      <c r="C141" s="1">
        <v>718.37571091799884</v>
      </c>
      <c r="D141" s="2">
        <f t="shared" si="53"/>
        <v>4513.6877118746606</v>
      </c>
      <c r="E141" s="2"/>
      <c r="F141" s="2">
        <f>$D141*BASE!E$15/100/E$3</f>
        <v>0.82663466816309195</v>
      </c>
      <c r="G141" s="2">
        <f>$D141*BASE!F$15/100/F$3</f>
        <v>0.82663466816309195</v>
      </c>
      <c r="H141" s="2">
        <f>$D141*BASE!G$15/100/G$3</f>
        <v>0.82663466816309195</v>
      </c>
      <c r="I141" s="2">
        <f>(1-BESSELJ(2*F141,1)/F141)*BASE!K$13*E$2*E$3</f>
        <v>1.5693443722261975</v>
      </c>
      <c r="J141" s="2">
        <f>(1-BESSELJ(2*G141,1)/G141)*BASE!L$13*F$2*F$3</f>
        <v>1.5693443722261975</v>
      </c>
      <c r="K141" s="2">
        <f>(1-BESSELJ(2*H141,1)/H141)*BASE!M$13*G$2*G$3</f>
        <v>1.5693443722261975</v>
      </c>
      <c r="L141" s="2" t="str">
        <f>IMPRODUCT(COMPLEX(1-BESSELJ(2*F141,1)/F141,(STRUVE(2*F141)/(2*F141^2))),PI()*(BASE!E$15/100)^2*E$2*E$3)</f>
        <v>1.5693443722262+3.00274340739922i</v>
      </c>
      <c r="M141" s="2" t="str">
        <f>IMPRODUCT(COMPLEX(1-BESSELJ(2*G141,1)/G141,(STRUVE(2*G141)/(2*G141^2))),PI()*(BASE!F$15/100)^2*F$2*F$3)</f>
        <v>1.5693443722262+3.00274340739922i</v>
      </c>
      <c r="N141" s="2" t="str">
        <f>IMPRODUCT(COMPLEX(1-BESSELJ(2*H141,1)/H141,(STRUVE(2*H141)/(2*H141^2))),PI()*(BASE!G$15/100)^2*G$2*G$3)</f>
        <v>1.5693443722262+3.00274340739922i</v>
      </c>
      <c r="O141" s="2" t="str">
        <f>IMSUM(IMPRODUCT(IF($O$3=1,L141,COMPLEX(I141,$D141*BASE!K$15)),2),COMPLEX(BASE!E$36,$D141*BASE!K$14-BASE!K$10/$D141))</f>
        <v>3.9386887444524+26.7761698283307i</v>
      </c>
      <c r="P141" s="2" t="str">
        <f>IMSUM(IMPRODUCT(IF($O$3=1,M141,COMPLEX(J141,$D141*BASE!L$15)),2),COMPLEX(BASE!F$36,$D141*BASE!L$14-BASE!L$10/$D141))</f>
        <v>3.9386887444524+26.6133318016621i</v>
      </c>
      <c r="Q141" s="2" t="str">
        <f>IMSUM(IMPRODUCT(IF($O$3=1,N141,COMPLEX(K141,$D141*BASE!M$15)),2),COMPLEX(BASE!G$36,$D141*BASE!M$14-BASE!M$10/$D141))</f>
        <v>3.9386887444524+26.2876557483249i</v>
      </c>
      <c r="R141" s="2" t="str">
        <f>COMPLEX(BASE!E$19,FRES!$D141*BASE!K$36)</f>
        <v>7.2+1.25662708793316i</v>
      </c>
      <c r="S141" s="2" t="str">
        <f>COMPLEX(BASE!F$19,FRES!$D141*BASE!L$36)</f>
        <v>7.2+1.25662708793316i</v>
      </c>
      <c r="T141" s="2" t="str">
        <f>COMPLEX(BASE!G$19,FRES!$D141*BASE!M$36)</f>
        <v>7.2+1.25662708793316i</v>
      </c>
      <c r="U141" s="2" t="str">
        <f>IMDIV(BASE!K$21*BASE!E$38,IMPRODUCT(FRES!R141,IMSUM(FRES!O141,IMDIV(BASE!K$21^2,FRES!R141))))</f>
        <v>0.000907359438820285-0.0438218160700288i</v>
      </c>
      <c r="V141" s="2" t="str">
        <f>IMDIV(BASE!L$21*BASE!F$38,IMPRODUCT(FRES!S141,IMSUM(FRES!P141,IMDIV(BASE!L$21^2,FRES!S141))))</f>
        <v>0.000964059073448053-0.0440810109610341i</v>
      </c>
      <c r="W141" s="2" t="str">
        <f>IMDIV(BASE!M$21*BASE!G$38,IMPRODUCT(FRES!T141,IMSUM(FRES!Q141,IMDIV(BASE!M$21^2,FRES!T141))))</f>
        <v>0.00108136706838692-0.0446083355148031i</v>
      </c>
      <c r="X141" s="2" t="str">
        <f t="shared" si="54"/>
        <v>-9.70865041343952E-06-0.0000002010239734648i</v>
      </c>
      <c r="Y141" s="2" t="str">
        <f t="shared" si="51"/>
        <v>-9.76607461013869E-06-2.13585683145911E-07i</v>
      </c>
      <c r="Z141" s="2" t="str">
        <f t="shared" si="51"/>
        <v>-9.88290248734909E-06-2.39575074177606E-07i</v>
      </c>
      <c r="AA141" s="44" t="str">
        <f>IMPRODUCT(COMPLEX(0,$D141),U141,E$2,BASE!E$15^2/10000,1/(2*BASE!$U$3))</f>
        <v>0.471036139833213+0.00975311216723968i</v>
      </c>
      <c r="AB141" s="44" t="str">
        <f>IMPRODUCT(COMPLEX(0,$D141),V141,F$2,BASE!F$15^2/10000,1/(2*BASE!$U$3))</f>
        <v>0.473822198738862+0.0103625706383888i</v>
      </c>
      <c r="AC141" s="44" t="str">
        <f>IMPRODUCT(COMPLEX(0,$D141),W141,G$2,BASE!G$15^2/10000,1/(2*BASE!$U$3))</f>
        <v>0.479490355481834+0.0116235020662255i</v>
      </c>
      <c r="AD141" s="44">
        <f t="shared" si="55"/>
        <v>2.070269752714541E-2</v>
      </c>
      <c r="AE141" s="44">
        <f t="shared" si="56"/>
        <v>2.1866681185966328E-2</v>
      </c>
      <c r="AF141" s="44">
        <f t="shared" si="57"/>
        <v>2.4236621047868206E-2</v>
      </c>
      <c r="AG141" s="31">
        <f t="shared" si="58"/>
        <v>87.442346198549856</v>
      </c>
      <c r="AH141" s="31">
        <f t="shared" si="59"/>
        <v>87.493784913169762</v>
      </c>
      <c r="AI141" s="31">
        <f t="shared" si="60"/>
        <v>87.597548965253225</v>
      </c>
      <c r="AJ141" s="2" t="str">
        <f>IMSUM(R141,IMDIV(BASE!K$21^2,FRES!O141))</f>
        <v>7.25045658958504+0.91361084589315i</v>
      </c>
      <c r="AK141" s="2" t="str">
        <f>IMSUM(S141,IMDIV(BASE!L$21^2,FRES!P141))</f>
        <v>7.25106265763923+0.911601741022549i</v>
      </c>
      <c r="AL141" s="2" t="str">
        <f>IMSUM(T141,IMDIV(BASE!M$21^2,FRES!Q141))</f>
        <v>7.25230776726679+0.907513799707571i</v>
      </c>
      <c r="AM141" s="31">
        <f t="shared" si="73"/>
        <v>4.3831208799514659E-2</v>
      </c>
      <c r="AN141" s="31">
        <f t="shared" si="73"/>
        <v>4.4091551767247952E-2</v>
      </c>
      <c r="AO141" s="31">
        <f t="shared" si="73"/>
        <v>4.4621440498238463E-2</v>
      </c>
      <c r="AP141" s="31">
        <f t="shared" si="61"/>
        <v>1.3733047985664871E-2</v>
      </c>
      <c r="AQ141" s="31">
        <f t="shared" si="62"/>
        <v>1.3814617775012122E-2</v>
      </c>
      <c r="AR141" s="31">
        <f t="shared" si="63"/>
        <v>1.3980640742871413E-2</v>
      </c>
      <c r="AS141" s="2">
        <f t="shared" si="64"/>
        <v>110.06589873293564</v>
      </c>
      <c r="AT141" s="2">
        <f t="shared" si="65"/>
        <v>110.06960380799522</v>
      </c>
      <c r="AU141" s="2">
        <f t="shared" si="66"/>
        <v>110.07714756087226</v>
      </c>
      <c r="AV141" s="2">
        <f t="shared" si="67"/>
        <v>110.06589873293564</v>
      </c>
      <c r="AW141" s="2">
        <f t="shared" si="68"/>
        <v>110.06960380799522</v>
      </c>
      <c r="AX141" s="2">
        <f t="shared" si="69"/>
        <v>110.07714756087226</v>
      </c>
      <c r="AY141">
        <f t="shared" si="70"/>
        <v>7.3077907424330872</v>
      </c>
      <c r="AZ141">
        <f t="shared" si="71"/>
        <v>7.3081411726406484</v>
      </c>
      <c r="BA141">
        <f t="shared" si="72"/>
        <v>7.308867849935301</v>
      </c>
    </row>
    <row r="142" spans="1:53" x14ac:dyDescent="0.2">
      <c r="A142" s="2">
        <v>138</v>
      </c>
      <c r="B142" s="2"/>
      <c r="C142" s="1">
        <v>739.42572599825439</v>
      </c>
      <c r="D142" s="2">
        <f t="shared" si="53"/>
        <v>4645.9488573428307</v>
      </c>
      <c r="E142" s="2"/>
      <c r="F142" s="2">
        <f>$D142*BASE!E$15/100/E$3</f>
        <v>0.85085691282732068</v>
      </c>
      <c r="G142" s="2">
        <f>$D142*BASE!F$15/100/F$3</f>
        <v>0.85085691282732068</v>
      </c>
      <c r="H142" s="2">
        <f>$D142*BASE!G$15/100/G$3</f>
        <v>0.85085691282732068</v>
      </c>
      <c r="I142" s="2">
        <f>(1-BESSELJ(2*F142,1)/F142)*BASE!K$13*E$2*E$3</f>
        <v>1.6514488263470803</v>
      </c>
      <c r="J142" s="2">
        <f>(1-BESSELJ(2*G142,1)/G142)*BASE!L$13*F$2*F$3</f>
        <v>1.6514488263470803</v>
      </c>
      <c r="K142" s="2">
        <f>(1-BESSELJ(2*H142,1)/H142)*BASE!M$13*G$2*G$3</f>
        <v>1.6514488263470803</v>
      </c>
      <c r="L142" s="2" t="str">
        <f>IMPRODUCT(COMPLEX(1-BESSELJ(2*F142,1)/F142,(STRUVE(2*F142)/(2*F142^2))),PI()*(BASE!E$15/100)^2*E$2*E$3)</f>
        <v>1.65144882634708+3.05651064083044i</v>
      </c>
      <c r="M142" s="2" t="str">
        <f>IMPRODUCT(COMPLEX(1-BESSELJ(2*G142,1)/G142,(STRUVE(2*G142)/(2*G142^2))),PI()*(BASE!F$15/100)^2*F$2*F$3)</f>
        <v>1.65144882634708+3.05651064083044i</v>
      </c>
      <c r="N142" s="2" t="str">
        <f>IMPRODUCT(COMPLEX(1-BESSELJ(2*H142,1)/H142,(STRUVE(2*H142)/(2*H142^2))),PI()*(BASE!G$15/100)^2*G$2*G$3)</f>
        <v>1.65144882634708+3.05651064083044i</v>
      </c>
      <c r="O142" s="2" t="str">
        <f>IMSUM(IMPRODUCT(IF($O$3=1,L142,COMPLEX(I142,$D142*BASE!K$15)),2),COMPLEX(BASE!E$36,$D142*BASE!K$14-BASE!K$10/$D142))</f>
        <v>4.10289765269416+27.5701723557377i</v>
      </c>
      <c r="P142" s="2" t="str">
        <f>IMSUM(IMPRODUCT(IF($O$3=1,M142,COMPLEX(J142,$D142*BASE!L$15)),2),COMPLEX(BASE!F$36,$D142*BASE!L$14-BASE!L$10/$D142))</f>
        <v>4.10289765269416+27.4119700115947i</v>
      </c>
      <c r="Q142" s="2" t="str">
        <f>IMSUM(IMPRODUCT(IF($O$3=1,N142,COMPLEX(K142,$D142*BASE!M$15)),2),COMPLEX(BASE!G$36,$D142*BASE!M$14-BASE!M$10/$D142))</f>
        <v>4.10289765269416+27.0955653233088i</v>
      </c>
      <c r="R142" s="2" t="str">
        <f>COMPLEX(BASE!E$19,FRES!$D142*BASE!K$36)</f>
        <v>7.2+1.2934490722364i</v>
      </c>
      <c r="S142" s="2" t="str">
        <f>COMPLEX(BASE!F$19,FRES!$D142*BASE!L$36)</f>
        <v>7.2+1.2934490722364i</v>
      </c>
      <c r="T142" s="2" t="str">
        <f>COMPLEX(BASE!G$19,FRES!$D142*BASE!M$36)</f>
        <v>7.2+1.2934490722364i</v>
      </c>
      <c r="U142" s="2" t="str">
        <f>IMDIV(BASE!K$21*BASE!E$38,IMPRODUCT(FRES!R142,IMSUM(FRES!O142,IMDIV(BASE!K$21^2,FRES!R142))))</f>
        <v>0.00068092249448259-0.0425231116533387i</v>
      </c>
      <c r="V142" s="2" t="str">
        <f>IMDIV(BASE!L$21*BASE!F$38,IMPRODUCT(FRES!S142,IMSUM(FRES!P142,IMDIV(BASE!L$21^2,FRES!S142))))</f>
        <v>0.00073174544342374-0.0427605415171878i</v>
      </c>
      <c r="W142" s="2" t="str">
        <f>IMDIV(BASE!M$21*BASE!G$38,IMPRODUCT(FRES!T142,IMSUM(FRES!Q142,IMDIV(BASE!M$21^2,FRES!T142))))</f>
        <v>0.000836728692425441-0.0432431226849742i</v>
      </c>
      <c r="X142" s="2" t="str">
        <f t="shared" si="54"/>
        <v>-9.15272917525378E-06-1.46562632390239E-07i</v>
      </c>
      <c r="Y142" s="2" t="str">
        <f t="shared" si="51"/>
        <v>-9.20383388413878E-06-1.57501829204863E-07i</v>
      </c>
      <c r="Z142" s="2" t="str">
        <f t="shared" si="51"/>
        <v>-9.30770527459193E-06-1.80098558576039E-07i</v>
      </c>
      <c r="AA142" s="44" t="str">
        <f>IMPRODUCT(COMPLEX(0,$D142),U142,E$2,BASE!E$15^2/10000,1/(2*BASE!$U$3))</f>
        <v>0.470469865034442+0.00753363292624865i</v>
      </c>
      <c r="AB142" s="44" t="str">
        <f>IMPRODUCT(COMPLEX(0,$D142),V142,F$2,BASE!F$15^2/10000,1/(2*BASE!$U$3))</f>
        <v>0.473096756427313+0.00809593105071146i</v>
      </c>
      <c r="AC142" s="44" t="str">
        <f>IMPRODUCT(COMPLEX(0,$D142),W142,G$2,BASE!G$15^2/10000,1/(2*BASE!$U$3))</f>
        <v>0.478435968165333+0.00925745129389972i</v>
      </c>
      <c r="AD142" s="44">
        <f t="shared" si="55"/>
        <v>1.6011629373588167E-2</v>
      </c>
      <c r="AE142" s="44">
        <f t="shared" si="56"/>
        <v>1.7110962615591568E-2</v>
      </c>
      <c r="AF142" s="44">
        <f t="shared" si="57"/>
        <v>1.9346990696718476E-2</v>
      </c>
      <c r="AG142" s="31">
        <f t="shared" si="58"/>
        <v>87.431149761487973</v>
      </c>
      <c r="AH142" s="31">
        <f t="shared" si="59"/>
        <v>87.479671108377886</v>
      </c>
      <c r="AI142" s="31">
        <f t="shared" si="60"/>
        <v>87.577502216180818</v>
      </c>
      <c r="AJ142" s="2" t="str">
        <f>IMSUM(R142,IMDIV(BASE!K$21^2,FRES!O142))</f>
        <v>7.24955170288706+0.960477327689132i</v>
      </c>
      <c r="AK142" s="2" t="str">
        <f>IMSUM(S142,IMDIV(BASE!L$21^2,FRES!P142))</f>
        <v>7.25011273879907+0.958639625489217i</v>
      </c>
      <c r="AL142" s="2" t="str">
        <f>IMSUM(T142,IMDIV(BASE!M$21^2,FRES!Q142))</f>
        <v>7.25126355422212+0.954904195003542i</v>
      </c>
      <c r="AM142" s="31">
        <f t="shared" si="73"/>
        <v>4.2528563109112932E-2</v>
      </c>
      <c r="AN142" s="31">
        <f t="shared" si="73"/>
        <v>4.2766802104402341E-2</v>
      </c>
      <c r="AO142" s="31">
        <f t="shared" si="73"/>
        <v>4.3251217028569933E-2</v>
      </c>
      <c r="AP142" s="31">
        <f t="shared" si="61"/>
        <v>1.2945573139938991E-2</v>
      </c>
      <c r="AQ142" s="31">
        <f t="shared" si="62"/>
        <v>1.3018092409644666E-2</v>
      </c>
      <c r="AR142" s="31">
        <f t="shared" si="63"/>
        <v>1.3165546928970904E-2</v>
      </c>
      <c r="AS142" s="2">
        <f t="shared" si="64"/>
        <v>110.05096659923524</v>
      </c>
      <c r="AT142" s="2">
        <f t="shared" si="65"/>
        <v>110.05446588562664</v>
      </c>
      <c r="AU142" s="2">
        <f t="shared" si="66"/>
        <v>110.06158338406671</v>
      </c>
      <c r="AV142" s="2">
        <f t="shared" si="67"/>
        <v>110.05096659923524</v>
      </c>
      <c r="AW142" s="2">
        <f t="shared" si="68"/>
        <v>110.05446588562664</v>
      </c>
      <c r="AX142" s="2">
        <f t="shared" si="69"/>
        <v>110.06158338406671</v>
      </c>
      <c r="AY142">
        <f t="shared" si="70"/>
        <v>7.3129006960191605</v>
      </c>
      <c r="AZ142">
        <f t="shared" si="71"/>
        <v>7.3132157534736155</v>
      </c>
      <c r="BA142">
        <f t="shared" si="72"/>
        <v>7.3138680022560827</v>
      </c>
    </row>
    <row r="143" spans="1:53" x14ac:dyDescent="0.2">
      <c r="A143" s="2">
        <v>139</v>
      </c>
      <c r="B143" s="2"/>
      <c r="C143" s="1">
        <v>761.09255360174143</v>
      </c>
      <c r="D143" s="2">
        <f t="shared" si="53"/>
        <v>4782.0855501942533</v>
      </c>
      <c r="E143" s="2"/>
      <c r="F143" s="2">
        <f>$D143*BASE!E$15/100/E$3</f>
        <v>0.8757889234367382</v>
      </c>
      <c r="G143" s="2">
        <f>$D143*BASE!F$15/100/F$3</f>
        <v>0.8757889234367382</v>
      </c>
      <c r="H143" s="2">
        <f>$D143*BASE!G$15/100/G$3</f>
        <v>0.8757889234367382</v>
      </c>
      <c r="I143" s="2">
        <f>(1-BESSELJ(2*F143,1)/F143)*BASE!K$13*E$2*E$3</f>
        <v>1.7371507535967212</v>
      </c>
      <c r="J143" s="2">
        <f>(1-BESSELJ(2*G143,1)/G143)*BASE!L$13*F$2*F$3</f>
        <v>1.7371507535967212</v>
      </c>
      <c r="K143" s="2">
        <f>(1-BESSELJ(2*H143,1)/H143)*BASE!M$13*G$2*G$3</f>
        <v>1.7371507535967212</v>
      </c>
      <c r="L143" s="2" t="str">
        <f>IMPRODUCT(COMPLEX(1-BESSELJ(2*F143,1)/F143,(STRUVE(2*F143)/(2*F143^2))),PI()*(BASE!E$15/100)^2*E$2*E$3)</f>
        <v>1.73715075359672+3.10912159176403i</v>
      </c>
      <c r="M143" s="2" t="str">
        <f>IMPRODUCT(COMPLEX(1-BESSELJ(2*G143,1)/G143,(STRUVE(2*G143)/(2*G143^2))),PI()*(BASE!F$15/100)^2*F$2*F$3)</f>
        <v>1.73715075359672+3.10912159176403i</v>
      </c>
      <c r="N143" s="2" t="str">
        <f>IMPRODUCT(COMPLEX(1-BESSELJ(2*H143,1)/H143,(STRUVE(2*H143)/(2*H143^2))),PI()*(BASE!G$15/100)^2*G$2*G$3)</f>
        <v>1.73715075359672+3.10912159176403i</v>
      </c>
      <c r="O143" s="2" t="str">
        <f>IMSUM(IMPRODUCT(IF($O$3=1,L143,COMPLEX(I143,$D143*BASE!K$15)),2),COMPLEX(BASE!E$36,$D143*BASE!K$14-BASE!K$10/$D143))</f>
        <v>4.27430150719344+28.387173308786i</v>
      </c>
      <c r="P143" s="2" t="str">
        <f>IMSUM(IMPRODUCT(IF($O$3=1,M143,COMPLEX(J143,$D143*BASE!L$15)),2),COMPLEX(BASE!F$36,$D143*BASE!L$14-BASE!L$10/$D143))</f>
        <v>4.27430150719344+28.2334746782857i</v>
      </c>
      <c r="Q143" s="2" t="str">
        <f>IMSUM(IMPRODUCT(IF($O$3=1,N143,COMPLEX(K143,$D143*BASE!M$15)),2),COMPLEX(BASE!G$36,$D143*BASE!M$14-BASE!M$10/$D143))</f>
        <v>4.27430150719344+27.9260774172852i</v>
      </c>
      <c r="R143" s="2" t="str">
        <f>COMPLEX(BASE!E$19,FRES!$D143*BASE!K$36)</f>
        <v>7.2+1.33135002303738i</v>
      </c>
      <c r="S143" s="2" t="str">
        <f>COMPLEX(BASE!F$19,FRES!$D143*BASE!L$36)</f>
        <v>7.2+1.33135002303738i</v>
      </c>
      <c r="T143" s="2" t="str">
        <f>COMPLEX(BASE!G$19,FRES!$D143*BASE!M$36)</f>
        <v>7.2+1.33135002303738i</v>
      </c>
      <c r="U143" s="2" t="str">
        <f>IMDIV(BASE!K$21*BASE!E$38,IMPRODUCT(FRES!R143,IMSUM(FRES!O143,IMDIV(BASE!K$21^2,FRES!R143))))</f>
        <v>0.000464514116336171-0.0412601022479437i</v>
      </c>
      <c r="V143" s="2" t="str">
        <f>IMDIV(BASE!L$21*BASE!F$38,IMPRODUCT(FRES!S143,IMSUM(FRES!P143,IMDIV(BASE!L$21^2,FRES!S143))))</f>
        <v>0.00051005060292317-0.0414775844435408i</v>
      </c>
      <c r="W143" s="2" t="str">
        <f>IMDIV(BASE!M$21*BASE!G$38,IMPRODUCT(FRES!T143,IMSUM(FRES!Q143,IMDIV(BASE!M$21^2,FRES!T143))))</f>
        <v>0.000603973502552278-0.0419192215343715i</v>
      </c>
      <c r="X143" s="2" t="str">
        <f t="shared" si="54"/>
        <v>-8.62805606776895E-06-9.71363041209713E-08i</v>
      </c>
      <c r="Y143" s="2" t="str">
        <f t="shared" si="51"/>
        <v>-0.000008673534592424-1.06658611095415E-07i</v>
      </c>
      <c r="Z143" s="2" t="str">
        <f t="shared" si="51"/>
        <v>-8.76588699519789E-06-1.26299183946583E-07i</v>
      </c>
      <c r="AA143" s="44" t="str">
        <f>IMPRODUCT(COMPLEX(0,$D143),U143,E$2,BASE!E$15^2/10000,1/(2*BASE!$U$3))</f>
        <v>0.469872459321704+0.00528991394449107i</v>
      </c>
      <c r="AB143" s="44" t="str">
        <f>IMPRODUCT(COMPLEX(0,$D143),V143,F$2,BASE!F$15^2/10000,1/(2*BASE!$U$3))</f>
        <v>0.472349159294229+0.00580848611895943i</v>
      </c>
      <c r="AC143" s="44" t="str">
        <f>IMPRODUCT(COMPLEX(0,$D143),W143,G$2,BASE!G$15^2/10000,1/(2*BASE!$U$3))</f>
        <v>0.47737854833329+0.00687808559717095i</v>
      </c>
      <c r="AD143" s="44">
        <f t="shared" si="55"/>
        <v>1.1257715499610231E-2</v>
      </c>
      <c r="AE143" s="44">
        <f t="shared" si="56"/>
        <v>1.229639822850043E-2</v>
      </c>
      <c r="AF143" s="44">
        <f t="shared" si="57"/>
        <v>1.4407035541613862E-2</v>
      </c>
      <c r="AG143" s="31">
        <f t="shared" si="58"/>
        <v>87.419550315007712</v>
      </c>
      <c r="AH143" s="31">
        <f t="shared" si="59"/>
        <v>87.465319697013911</v>
      </c>
      <c r="AI143" s="31">
        <f t="shared" si="60"/>
        <v>87.557559540836479</v>
      </c>
      <c r="AJ143" s="2" t="str">
        <f>IMSUM(R143,IMDIV(BASE!K$21^2,FRES!O143))</f>
        <v>7.24866811491484+1.00812757128138i</v>
      </c>
      <c r="AK143" s="2" t="str">
        <f>IMSUM(S143,IMDIV(BASE!L$21^2,FRES!P143))</f>
        <v>7.24918753569337+1.0064466344606i</v>
      </c>
      <c r="AL143" s="2" t="str">
        <f>IMSUM(T143,IMDIV(BASE!M$21^2,FRES!Q143))</f>
        <v>7.25025143883436+1.00303308777752i</v>
      </c>
      <c r="AM143" s="31">
        <f t="shared" si="73"/>
        <v>4.1262716959442274E-2</v>
      </c>
      <c r="AN143" s="31">
        <f t="shared" si="73"/>
        <v>4.1480720375719128E-2</v>
      </c>
      <c r="AO143" s="31">
        <f t="shared" si="73"/>
        <v>4.1923572343485954E-2</v>
      </c>
      <c r="AP143" s="31">
        <f t="shared" si="61"/>
        <v>1.2202687160633342E-2</v>
      </c>
      <c r="AQ143" s="31">
        <f t="shared" si="62"/>
        <v>1.2267157648395702E-2</v>
      </c>
      <c r="AR143" s="31">
        <f t="shared" si="63"/>
        <v>1.2398122946353216E-2</v>
      </c>
      <c r="AS143" s="2">
        <f t="shared" si="64"/>
        <v>110.0358344213937</v>
      </c>
      <c r="AT143" s="2">
        <f t="shared" si="65"/>
        <v>110.03914065120584</v>
      </c>
      <c r="AU143" s="2">
        <f t="shared" si="66"/>
        <v>110.04585901843497</v>
      </c>
      <c r="AV143" s="2">
        <f t="shared" si="67"/>
        <v>110.0358344213937</v>
      </c>
      <c r="AW143" s="2">
        <f t="shared" si="68"/>
        <v>110.03914065120584</v>
      </c>
      <c r="AX143" s="2">
        <f t="shared" si="69"/>
        <v>110.04585901843497</v>
      </c>
      <c r="AY143">
        <f t="shared" si="70"/>
        <v>7.3184363521288311</v>
      </c>
      <c r="AZ143">
        <f t="shared" si="71"/>
        <v>7.3187194751315063</v>
      </c>
      <c r="BA143">
        <f t="shared" si="72"/>
        <v>7.319304700686823</v>
      </c>
    </row>
    <row r="144" spans="1:53" x14ac:dyDescent="0.2">
      <c r="A144" s="2">
        <v>140</v>
      </c>
      <c r="B144" s="2"/>
      <c r="C144" s="1">
        <v>783.39426771497938</v>
      </c>
      <c r="D144" s="2">
        <f t="shared" si="53"/>
        <v>4922.2113526354697</v>
      </c>
      <c r="E144" s="2"/>
      <c r="F144" s="2">
        <f>$D144*BASE!E$15/100/E$3</f>
        <v>0.90145149772103084</v>
      </c>
      <c r="G144" s="2">
        <f>$D144*BASE!F$15/100/F$3</f>
        <v>0.90145149772103084</v>
      </c>
      <c r="H144" s="2">
        <f>$D144*BASE!G$15/100/G$3</f>
        <v>0.90145149772103084</v>
      </c>
      <c r="I144" s="2">
        <f>(1-BESSELJ(2*F144,1)/F144)*BASE!K$13*E$2*E$3</f>
        <v>1.8265228061607754</v>
      </c>
      <c r="J144" s="2">
        <f>(1-BESSELJ(2*G144,1)/G144)*BASE!L$13*F$2*F$3</f>
        <v>1.8265228061607754</v>
      </c>
      <c r="K144" s="2">
        <f>(1-BESSELJ(2*H144,1)/H144)*BASE!M$13*G$2*G$3</f>
        <v>1.8265228061607754</v>
      </c>
      <c r="L144" s="2" t="str">
        <f>IMPRODUCT(COMPLEX(1-BESSELJ(2*F144,1)/F144,(STRUVE(2*F144)/(2*F144^2))),PI()*(BASE!E$15/100)^2*E$2*E$3)</f>
        <v>1.82652280616077+3.1603483660724i</v>
      </c>
      <c r="M144" s="2" t="str">
        <f>IMPRODUCT(COMPLEX(1-BESSELJ(2*G144,1)/G144,(STRUVE(2*G144)/(2*G144^2))),PI()*(BASE!F$15/100)^2*F$2*F$3)</f>
        <v>1.82652280616077+3.1603483660724i</v>
      </c>
      <c r="N144" s="2" t="str">
        <f>IMPRODUCT(COMPLEX(1-BESSELJ(2*H144,1)/H144,(STRUVE(2*H144)/(2*H144^2))),PI()*(BASE!G$15/100)^2*G$2*G$3)</f>
        <v>1.82652280616077+3.1603483660724i</v>
      </c>
      <c r="O144" s="2" t="str">
        <f>IMSUM(IMPRODUCT(IF($O$3=1,L144,COMPLEX(I144,$D144*BASE!K$15)),2),COMPLEX(BASE!E$36,$D144*BASE!K$14-BASE!K$10/$D144))</f>
        <v>4.45304561232156+29.2278542115309i</v>
      </c>
      <c r="P144" s="2" t="str">
        <f>IMSUM(IMPRODUCT(IF($O$3=1,M144,COMPLEX(J144,$D144*BASE!L$15)),2),COMPLEX(BASE!F$36,$D144*BASE!L$14-BASE!L$10/$D144))</f>
        <v>4.45304561232156+29.0785310826883i</v>
      </c>
      <c r="Q144" s="2" t="str">
        <f>IMSUM(IMPRODUCT(IF($O$3=1,N144,COMPLEX(K144,$D144*BASE!M$15)),2),COMPLEX(BASE!G$36,$D144*BASE!M$14-BASE!M$10/$D144))</f>
        <v>4.45304561232156+28.7798848250031i</v>
      </c>
      <c r="R144" s="2" t="str">
        <f>COMPLEX(BASE!E$19,FRES!$D144*BASE!K$36)</f>
        <v>7.2+1.37036155646774i</v>
      </c>
      <c r="S144" s="2" t="str">
        <f>COMPLEX(BASE!F$19,FRES!$D144*BASE!L$36)</f>
        <v>7.2+1.37036155646774i</v>
      </c>
      <c r="T144" s="2" t="str">
        <f>COMPLEX(BASE!G$19,FRES!$D144*BASE!M$36)</f>
        <v>7.2+1.37036155646774i</v>
      </c>
      <c r="U144" s="2" t="str">
        <f>IMDIV(BASE!K$21*BASE!E$38,IMPRODUCT(FRES!R144,IMSUM(FRES!O144,IMDIV(BASE!K$21^2,FRES!R144))))</f>
        <v>0.000257445626998457-0.0400317554849246i</v>
      </c>
      <c r="V144" s="2" t="str">
        <f>IMDIV(BASE!L$21*BASE!F$38,IMPRODUCT(FRES!S144,IMSUM(FRES!P144,IMDIV(BASE!L$21^2,FRES!S144))))</f>
        <v>0.000298224451454032-0.0402309565158266i</v>
      </c>
      <c r="W144" s="2" t="str">
        <f>IMDIV(BASE!M$21*BASE!G$38,IMPRODUCT(FRES!T144,IMSUM(FRES!Q144,IMDIV(BASE!M$21^2,FRES!T144))))</f>
        <v>0.000382216009665752-0.0406351248553934i</v>
      </c>
      <c r="X144" s="2" t="str">
        <f t="shared" si="54"/>
        <v>-0.0000081328802477144-5.23028388166661E-08i</v>
      </c>
      <c r="Y144" s="2" t="str">
        <f t="shared" si="51"/>
        <v>-8.17335007248033E-06-6.05874941339842E-08i</v>
      </c>
      <c r="Z144" s="2" t="str">
        <f t="shared" si="51"/>
        <v>-8.25546120315138E-06-7.76512795333553E-08i</v>
      </c>
      <c r="AA144" s="44" t="str">
        <f>IMPRODUCT(COMPLEX(0,$D144),U144,E$2,BASE!E$15^2/10000,1/(2*BASE!$U$3))</f>
        <v>0.469242394592738+0.00301771433770068i</v>
      </c>
      <c r="AB144" s="44" t="str">
        <f>IMPRODUCT(COMPLEX(0,$D144),V144,F$2,BASE!F$15^2/10000,1/(2*BASE!$U$3))</f>
        <v>0.471577380096459+0.00349571369107445i</v>
      </c>
      <c r="AC144" s="44" t="str">
        <f>IMPRODUCT(COMPLEX(0,$D144),W144,G$2,BASE!G$15^2/10000,1/(2*BASE!$U$3))</f>
        <v>0.476314941993996+0.0044802420841819i</v>
      </c>
      <c r="AD144" s="44">
        <f t="shared" si="55"/>
        <v>6.4309465024526532E-3</v>
      </c>
      <c r="AE144" s="44">
        <f t="shared" si="56"/>
        <v>7.4126745920903006E-3</v>
      </c>
      <c r="AF144" s="44">
        <f t="shared" si="57"/>
        <v>9.4057724590072417E-3</v>
      </c>
      <c r="AG144" s="31">
        <f t="shared" si="58"/>
        <v>87.407524546913208</v>
      </c>
      <c r="AH144" s="31">
        <f t="shared" si="59"/>
        <v>87.450698030893022</v>
      </c>
      <c r="AI144" s="31">
        <f t="shared" si="60"/>
        <v>87.537668417199683</v>
      </c>
      <c r="AJ144" s="2" t="str">
        <f>IMSUM(R144,IMDIV(BASE!K$21^2,FRES!O144))</f>
        <v>7.24780325019426+1.05660181781847i</v>
      </c>
      <c r="AK144" s="2" t="str">
        <f>IMSUM(S144,IMDIV(BASE!L$21^2,FRES!P144))</f>
        <v>7.24828418749237+1.05506425905982i</v>
      </c>
      <c r="AL144" s="2" t="str">
        <f>IMSUM(T144,IMDIV(BASE!M$21^2,FRES!Q144))</f>
        <v>7.24926791689029+1.05194465776204i</v>
      </c>
      <c r="AM144" s="31">
        <f t="shared" si="73"/>
        <v>4.0032583297304858E-2</v>
      </c>
      <c r="AN144" s="31">
        <f t="shared" si="73"/>
        <v>4.0232061841294887E-2</v>
      </c>
      <c r="AO144" s="31">
        <f t="shared" si="73"/>
        <v>4.0636922387054054E-2</v>
      </c>
      <c r="AP144" s="31">
        <f t="shared" si="61"/>
        <v>1.1501867388438397E-2</v>
      </c>
      <c r="AQ144" s="31">
        <f t="shared" si="62"/>
        <v>1.1559180096508545E-2</v>
      </c>
      <c r="AR144" s="31">
        <f t="shared" si="63"/>
        <v>1.1675501650717266E-2</v>
      </c>
      <c r="AS144" s="2">
        <f t="shared" si="64"/>
        <v>110.0204703384925</v>
      </c>
      <c r="AT144" s="2">
        <f t="shared" si="65"/>
        <v>110.02359527605726</v>
      </c>
      <c r="AU144" s="2">
        <f t="shared" si="66"/>
        <v>110.02993950360897</v>
      </c>
      <c r="AV144" s="2">
        <f t="shared" si="67"/>
        <v>110.0204703384925</v>
      </c>
      <c r="AW144" s="2">
        <f t="shared" si="68"/>
        <v>110.02359527605726</v>
      </c>
      <c r="AX144" s="2">
        <f t="shared" si="69"/>
        <v>110.02993950360897</v>
      </c>
      <c r="AY144">
        <f t="shared" si="70"/>
        <v>7.324415290993799</v>
      </c>
      <c r="AZ144">
        <f t="shared" si="71"/>
        <v>7.3246695661577368</v>
      </c>
      <c r="BA144">
        <f t="shared" si="72"/>
        <v>7.3251943929051437</v>
      </c>
    </row>
    <row r="145" spans="1:53" x14ac:dyDescent="0.2">
      <c r="A145" s="2">
        <v>141</v>
      </c>
      <c r="B145" s="2"/>
      <c r="C145" s="1">
        <v>806.34947193271853</v>
      </c>
      <c r="D145" s="2">
        <f t="shared" si="53"/>
        <v>5066.4431544996751</v>
      </c>
      <c r="E145" s="2"/>
      <c r="F145" s="2">
        <f>$D145*BASE!E$15/100/E$3</f>
        <v>0.92786604282988239</v>
      </c>
      <c r="G145" s="2">
        <f>$D145*BASE!F$15/100/F$3</f>
        <v>0.92786604282988239</v>
      </c>
      <c r="H145" s="2">
        <f>$D145*BASE!G$15/100/G$3</f>
        <v>0.92786604282988239</v>
      </c>
      <c r="I145" s="2">
        <f>(1-BESSELJ(2*F145,1)/F145)*BASE!K$13*E$2*E$3</f>
        <v>1.9196275227731865</v>
      </c>
      <c r="J145" s="2">
        <f>(1-BESSELJ(2*G145,1)/G145)*BASE!L$13*F$2*F$3</f>
        <v>1.9196275227731865</v>
      </c>
      <c r="K145" s="2">
        <f>(1-BESSELJ(2*H145,1)/H145)*BASE!M$13*G$2*G$3</f>
        <v>1.9196275227731865</v>
      </c>
      <c r="L145" s="2" t="str">
        <f>IMPRODUCT(COMPLEX(1-BESSELJ(2*F145,1)/F145,(STRUVE(2*F145)/(2*F145^2))),PI()*(BASE!E$15/100)^2*E$2*E$3)</f>
        <v>1.91962752277318+3.20994634339757i</v>
      </c>
      <c r="M145" s="2" t="str">
        <f>IMPRODUCT(COMPLEX(1-BESSELJ(2*G145,1)/G145,(STRUVE(2*G145)/(2*G145^2))),PI()*(BASE!F$15/100)^2*F$2*F$3)</f>
        <v>1.91962752277318+3.20994634339757i</v>
      </c>
      <c r="N145" s="2" t="str">
        <f>IMPRODUCT(COMPLEX(1-BESSELJ(2*H145,1)/H145,(STRUVE(2*H145)/(2*H145^2))),PI()*(BASE!G$15/100)^2*G$2*G$3)</f>
        <v>1.91962752277318+3.20994634339757i</v>
      </c>
      <c r="O145" s="2" t="str">
        <f>IMSUM(IMPRODUCT(IF($O$3=1,L145,COMPLEX(I145,$D145*BASE!K$15)),2),COMPLEX(BASE!E$36,$D145*BASE!K$14-BASE!K$10/$D145))</f>
        <v>4.63925504554638+30.0929163413159i</v>
      </c>
      <c r="P145" s="2" t="str">
        <f>IMSUM(IMPRODUCT(IF($O$3=1,M145,COMPLEX(J145,$D145*BASE!L$15)),2),COMPLEX(BASE!F$36,$D145*BASE!L$14-BASE!L$10/$D145))</f>
        <v>4.63925504554638+29.9478441520923i</v>
      </c>
      <c r="Q145" s="2" t="str">
        <f>IMSUM(IMPRODUCT(IF($O$3=1,N145,COMPLEX(K145,$D145*BASE!M$15)),2),COMPLEX(BASE!G$36,$D145*BASE!M$14-BASE!M$10/$D145))</f>
        <v>4.63925504554638+29.6576997736452i</v>
      </c>
      <c r="R145" s="2" t="str">
        <f>COMPLEX(BASE!E$19,FRES!$D145*BASE!K$36)</f>
        <v>7.2+1.4105162150825i</v>
      </c>
      <c r="S145" s="2" t="str">
        <f>COMPLEX(BASE!F$19,FRES!$D145*BASE!L$36)</f>
        <v>7.2+1.4105162150825i</v>
      </c>
      <c r="T145" s="2" t="str">
        <f>COMPLEX(BASE!G$19,FRES!$D145*BASE!M$36)</f>
        <v>7.2+1.4105162150825i</v>
      </c>
      <c r="U145" s="2" t="str">
        <f>IMDIV(BASE!K$21*BASE!E$38,IMPRODUCT(FRES!R145,IMSUM(FRES!O145,IMDIV(BASE!K$21^2,FRES!R145))))</f>
        <v>0.0000590672188755484-0.0388370669107932i</v>
      </c>
      <c r="V145" s="2" t="str">
        <f>IMDIV(BASE!L$21*BASE!F$38,IMPRODUCT(FRES!S145,IMSUM(FRES!P145,IMDIV(BASE!L$21^2,FRES!S145))))</f>
        <v>0.0000955623959178555-0.0390195148744748i</v>
      </c>
      <c r="W145" s="2" t="str">
        <f>IMDIV(BASE!M$21*BASE!G$38,IMPRODUCT(FRES!T145,IMSUM(FRES!Q145,IMDIV(BASE!M$21^2,FRES!T145))))</f>
        <v>0.000170631422051935-0.0393893937082476i</v>
      </c>
      <c r="X145" s="2" t="str">
        <f t="shared" si="54"/>
        <v>-7.66554873438197E-06-1.16585180321403E-08i</v>
      </c>
      <c r="Y145" s="2" t="str">
        <f t="shared" si="51"/>
        <v>-7.70155978949853E-06-1.88618312697308E-08i</v>
      </c>
      <c r="Z145" s="2" t="str">
        <f t="shared" si="51"/>
        <v>-7.77456541148884E-06-3.3678740064495E-08i</v>
      </c>
      <c r="AA145" s="44" t="str">
        <f>IMPRODUCT(COMPLEX(0,$D145),U145,E$2,BASE!E$15^2/10000,1/(2*BASE!$U$3))</f>
        <v>0.468578056571169+0.000712659447000526i</v>
      </c>
      <c r="AB145" s="44" t="str">
        <f>IMPRODUCT(COMPLEX(0,$D145),V145,F$2,BASE!F$15^2/10000,1/(2*BASE!$U$3))</f>
        <v>0.47077933280152+0.00115298206899422i</v>
      </c>
      <c r="AC145" s="44" t="str">
        <f>IMPRODUCT(COMPLEX(0,$D145),W145,G$2,BASE!G$15^2/10000,1/(2*BASE!$U$3))</f>
        <v>0.475242005162802+0.0020587069646305i</v>
      </c>
      <c r="AD145" s="44">
        <f t="shared" si="55"/>
        <v>1.5208968655610364E-3</v>
      </c>
      <c r="AE145" s="44">
        <f t="shared" si="56"/>
        <v>2.4490874672117393E-3</v>
      </c>
      <c r="AF145" s="44">
        <f t="shared" si="57"/>
        <v>4.3318857863504463E-3</v>
      </c>
      <c r="AG145" s="31">
        <f t="shared" si="58"/>
        <v>87.395049068551231</v>
      </c>
      <c r="AH145" s="31">
        <f t="shared" si="59"/>
        <v>87.435773917362098</v>
      </c>
      <c r="AI145" s="31">
        <f t="shared" si="60"/>
        <v>87.517777975517362</v>
      </c>
      <c r="AJ145" s="2" t="str">
        <f>IMSUM(R145,IMDIV(BASE!K$21^2,FRES!O145))</f>
        <v>7.24695465630641+1.10594090499679i</v>
      </c>
      <c r="AK145" s="2" t="str">
        <f>IMSUM(S145,IMDIV(BASE!L$21^2,FRES!P145))</f>
        <v>7.24739998328382+1.10453447916604i</v>
      </c>
      <c r="AL145" s="2" t="str">
        <f>IMSUM(T145,IMDIV(BASE!M$21^2,FRES!Q145))</f>
        <v>7.24830969780353+1.10168333145217i</v>
      </c>
      <c r="AM145" s="31">
        <f t="shared" si="73"/>
        <v>3.8837111828375875E-2</v>
      </c>
      <c r="AN145" s="31">
        <f t="shared" si="73"/>
        <v>3.9019631894866381E-2</v>
      </c>
      <c r="AO145" s="31">
        <f t="shared" si="73"/>
        <v>3.9389763286741486E-2</v>
      </c>
      <c r="AP145" s="31">
        <f t="shared" si="61"/>
        <v>1.0840735521192989E-2</v>
      </c>
      <c r="AQ145" s="31">
        <f t="shared" si="62"/>
        <v>1.0891682970037229E-2</v>
      </c>
      <c r="AR145" s="31">
        <f t="shared" si="63"/>
        <v>1.0994999008190133E-2</v>
      </c>
      <c r="AS145" s="2">
        <f t="shared" si="64"/>
        <v>110.00484116508174</v>
      </c>
      <c r="AT145" s="2">
        <f t="shared" si="65"/>
        <v>110.00779568752942</v>
      </c>
      <c r="AU145" s="2">
        <f t="shared" si="66"/>
        <v>110.01378882071614</v>
      </c>
      <c r="AV145" s="2">
        <f t="shared" si="67"/>
        <v>110.00484116508174</v>
      </c>
      <c r="AW145" s="2">
        <f t="shared" si="68"/>
        <v>110.00779568752942</v>
      </c>
      <c r="AX145" s="2">
        <f t="shared" si="69"/>
        <v>110.01378882071614</v>
      </c>
      <c r="AY145">
        <f t="shared" si="70"/>
        <v>7.3308565035680697</v>
      </c>
      <c r="AZ145">
        <f t="shared" si="71"/>
        <v>7.3310847037371554</v>
      </c>
      <c r="BA145">
        <f t="shared" si="72"/>
        <v>7.3315550627457107</v>
      </c>
    </row>
    <row r="146" spans="1:53" x14ac:dyDescent="0.2">
      <c r="A146" s="2">
        <v>142</v>
      </c>
      <c r="B146" s="2"/>
      <c r="C146" s="1">
        <v>829.97731497664608</v>
      </c>
      <c r="D146" s="2">
        <f t="shared" si="53"/>
        <v>5214.9012707536258</v>
      </c>
      <c r="E146" s="2"/>
      <c r="F146" s="2">
        <f>$D146*BASE!E$15/100/E$3</f>
        <v>0.95505459319034436</v>
      </c>
      <c r="G146" s="2">
        <f>$D146*BASE!F$15/100/F$3</f>
        <v>0.95505459319034436</v>
      </c>
      <c r="H146" s="2">
        <f>$D146*BASE!G$15/100/G$3</f>
        <v>0.95505459319034436</v>
      </c>
      <c r="I146" s="2">
        <f>(1-BESSELJ(2*F146,1)/F146)*BASE!K$13*E$2*E$3</f>
        <v>2.0165154586649283</v>
      </c>
      <c r="J146" s="2">
        <f>(1-BESSELJ(2*G146,1)/G146)*BASE!L$13*F$2*F$3</f>
        <v>2.0165154586649283</v>
      </c>
      <c r="K146" s="2">
        <f>(1-BESSELJ(2*H146,1)/H146)*BASE!M$13*G$2*G$3</f>
        <v>2.0165154586649283</v>
      </c>
      <c r="L146" s="2" t="str">
        <f>IMPRODUCT(COMPLEX(1-BESSELJ(2*F146,1)/F146,(STRUVE(2*F146)/(2*F146^2))),PI()*(BASE!E$15/100)^2*E$2*E$3)</f>
        <v>2.01651545866493+3.25765378346447i</v>
      </c>
      <c r="M146" s="2" t="str">
        <f>IMPRODUCT(COMPLEX(1-BESSELJ(2*G146,1)/G146,(STRUVE(2*G146)/(2*G146^2))),PI()*(BASE!F$15/100)^2*F$2*F$3)</f>
        <v>2.01651545866493+3.25765378346447i</v>
      </c>
      <c r="N146" s="2" t="str">
        <f>IMPRODUCT(COMPLEX(1-BESSELJ(2*H146,1)/H146,(STRUVE(2*H146)/(2*H146^2))),PI()*(BASE!G$15/100)^2*G$2*G$3)</f>
        <v>2.01651545866493+3.25765378346447i</v>
      </c>
      <c r="O146" s="2" t="str">
        <f>IMSUM(IMPRODUCT(IF($O$3=1,L146,COMPLEX(I146,$D146*BASE!K$15)),2),COMPLEX(BASE!E$36,$D146*BASE!K$14-BASE!K$10/$D146))</f>
        <v>4.83303091732986+30.9830813137626i</v>
      </c>
      <c r="P146" s="2" t="str">
        <f>IMSUM(IMPRODUCT(IF($O$3=1,M146,COMPLEX(J146,$D146*BASE!L$15)),2),COMPLEX(BASE!F$36,$D146*BASE!L$14-BASE!L$10/$D146))</f>
        <v>4.83303091732986+30.8421390481588i</v>
      </c>
      <c r="Q146" s="2" t="str">
        <f>IMSUM(IMPRODUCT(IF($O$3=1,N146,COMPLEX(K146,$D146*BASE!M$15)),2),COMPLEX(BASE!G$36,$D146*BASE!M$14-BASE!M$10/$D146))</f>
        <v>4.83303091732986+30.5602545169513i</v>
      </c>
      <c r="R146" s="2" t="str">
        <f>COMPLEX(BASE!E$19,FRES!$D146*BASE!K$36)</f>
        <v>7.2+1.45184749500633i</v>
      </c>
      <c r="S146" s="2" t="str">
        <f>COMPLEX(BASE!F$19,FRES!$D146*BASE!L$36)</f>
        <v>7.2+1.45184749500633i</v>
      </c>
      <c r="T146" s="2" t="str">
        <f>COMPLEX(BASE!G$19,FRES!$D146*BASE!M$36)</f>
        <v>7.2+1.45184749500633i</v>
      </c>
      <c r="U146" s="2" t="str">
        <f>IMDIV(BASE!K$21*BASE!E$38,IMPRODUCT(FRES!R146,IMSUM(FRES!O146,IMDIV(BASE!K$21^2,FRES!R146))))</f>
        <v>-0.000131233941040522-0.0376750590869811i</v>
      </c>
      <c r="V146" s="2" t="str">
        <f>IMDIV(BASE!L$21*BASE!F$38,IMPRODUCT(FRES!S146,IMSUM(FRES!P146,IMDIV(BASE!L$21^2,FRES!S146))))</f>
        <v>-0.0000985972782845008-0.0378421551015043i</v>
      </c>
      <c r="W146" s="2" t="str">
        <f>IMDIV(BASE!M$21*BASE!G$38,IMPRODUCT(FRES!T146,IMSUM(FRES!Q146,IMDIV(BASE!M$21^2,FRES!T146))))</f>
        <v>-0.0000315487497652455-0.0381806530487112i</v>
      </c>
      <c r="X146" s="2" t="str">
        <f t="shared" si="54"/>
        <v>-7.22450093125857E-06+2.51651822780447E-08i</v>
      </c>
      <c r="Y146" s="2" t="str">
        <f t="shared" si="51"/>
        <v>-7.25654295963988E-06+1.89068350799769E-08i</v>
      </c>
      <c r="Z146" s="2" t="str">
        <f t="shared" si="51"/>
        <v>-7.32145271145153E-06+6.04973097806821E-09i</v>
      </c>
      <c r="AA146" s="44" t="str">
        <f>IMPRODUCT(COMPLEX(0,$D146),U146,E$2,BASE!E$15^2/10000,1/(2*BASE!$U$3))</f>
        <v>0.467877738548941-0.00162976359010203i</v>
      </c>
      <c r="AB146" s="44" t="str">
        <f>IMPRODUCT(COMPLEX(0,$D146),V146,F$2,BASE!F$15^2/10000,1/(2*BASE!$U$3))</f>
        <v>0.469952864833818-0.00122445651602903i</v>
      </c>
      <c r="AC146" s="44" t="str">
        <f>IMPRODUCT(COMPLEX(0,$D146),W146,G$2,BASE!G$15^2/10000,1/(2*BASE!$U$3))</f>
        <v>0.47415659159313-0.00039179653733603i</v>
      </c>
      <c r="AD146" s="44">
        <f t="shared" si="55"/>
        <v>-3.4832967339939731E-3</v>
      </c>
      <c r="AE146" s="44">
        <f t="shared" si="56"/>
        <v>-2.6054820321284649E-3</v>
      </c>
      <c r="AF146" s="44">
        <f t="shared" si="57"/>
        <v>-8.2630180643494843E-4</v>
      </c>
      <c r="AG146" s="31">
        <f t="shared" si="58"/>
        <v>87.382100423557347</v>
      </c>
      <c r="AH146" s="31">
        <f t="shared" si="59"/>
        <v>87.42051559710734</v>
      </c>
      <c r="AI146" s="31">
        <f t="shared" si="60"/>
        <v>87.497838899541222</v>
      </c>
      <c r="AJ146" s="2" t="str">
        <f>IMSUM(R146,IMDIV(BASE!K$21^2,FRES!O146))</f>
        <v>7.24611999819357+1.1561863087519i</v>
      </c>
      <c r="AK146" s="2" t="str">
        <f>IMSUM(S146,IMDIV(BASE!L$21^2,FRES!P146))</f>
        <v>7.24653235360585+1.15489981461726i</v>
      </c>
      <c r="AL146" s="2" t="str">
        <f>IMSUM(T146,IMDIV(BASE!M$21^2,FRES!Q146))</f>
        <v>7.24737368917008+1.15229385605622i</v>
      </c>
      <c r="AM146" s="31">
        <f t="shared" si="73"/>
        <v>3.7675287650591312E-2</v>
      </c>
      <c r="AN146" s="31">
        <f t="shared" si="73"/>
        <v>3.7842283548295455E-2</v>
      </c>
      <c r="AO146" s="31">
        <f t="shared" si="73"/>
        <v>3.8180666083106399E-2</v>
      </c>
      <c r="AP146" s="31">
        <f t="shared" si="61"/>
        <v>1.021704918184845E-2</v>
      </c>
      <c r="AQ146" s="31">
        <f t="shared" si="62"/>
        <v>1.0262336302568908E-2</v>
      </c>
      <c r="AR146" s="31">
        <f t="shared" si="63"/>
        <v>1.0354101255566885E-2</v>
      </c>
      <c r="AS146" s="2">
        <f t="shared" si="64"/>
        <v>109.98891232213057</v>
      </c>
      <c r="AT146" s="2">
        <f t="shared" si="65"/>
        <v>109.99170649310899</v>
      </c>
      <c r="AU146" s="2">
        <f t="shared" si="66"/>
        <v>109.9973697996604</v>
      </c>
      <c r="AV146" s="2">
        <f t="shared" si="67"/>
        <v>109.98891232213057</v>
      </c>
      <c r="AW146" s="2">
        <f t="shared" si="68"/>
        <v>109.99170649310899</v>
      </c>
      <c r="AX146" s="2">
        <f t="shared" si="69"/>
        <v>109.9973697996604</v>
      </c>
      <c r="AY146">
        <f t="shared" si="70"/>
        <v>7.3377804415753758</v>
      </c>
      <c r="AZ146">
        <f t="shared" si="71"/>
        <v>7.3379850595145886</v>
      </c>
      <c r="BA146">
        <f t="shared" si="72"/>
        <v>7.3384062657486915</v>
      </c>
    </row>
    <row r="147" spans="1:53" x14ac:dyDescent="0.2">
      <c r="A147" s="2">
        <v>143</v>
      </c>
      <c r="B147" s="2"/>
      <c r="C147" s="1">
        <v>854.29750666882182</v>
      </c>
      <c r="D147" s="2">
        <f t="shared" si="53"/>
        <v>5367.7095418616955</v>
      </c>
      <c r="E147" s="2"/>
      <c r="F147" s="2">
        <f>$D147*BASE!E$15/100/E$3</f>
        <v>0.98303982888746166</v>
      </c>
      <c r="G147" s="2">
        <f>$D147*BASE!F$15/100/F$3</f>
        <v>0.98303982888746166</v>
      </c>
      <c r="H147" s="2">
        <f>$D147*BASE!G$15/100/G$3</f>
        <v>0.98303982888746166</v>
      </c>
      <c r="I147" s="2">
        <f>(1-BESSELJ(2*F147,1)/F147)*BASE!K$13*E$2*E$3</f>
        <v>2.1172231326201802</v>
      </c>
      <c r="J147" s="2">
        <f>(1-BESSELJ(2*G147,1)/G147)*BASE!L$13*F$2*F$3</f>
        <v>2.1172231326201802</v>
      </c>
      <c r="K147" s="2">
        <f>(1-BESSELJ(2*H147,1)/H147)*BASE!M$13*G$2*G$3</f>
        <v>2.1172231326201802</v>
      </c>
      <c r="L147" s="2" t="str">
        <f>IMPRODUCT(COMPLEX(1-BESSELJ(2*F147,1)/F147,(STRUVE(2*F147)/(2*F147^2))),PI()*(BASE!E$15/100)^2*E$2*E$3)</f>
        <v>2.11722313262018+3.30319155237434i</v>
      </c>
      <c r="M147" s="2" t="str">
        <f>IMPRODUCT(COMPLEX(1-BESSELJ(2*G147,1)/G147,(STRUVE(2*G147)/(2*G147^2))),PI()*(BASE!F$15/100)^2*F$2*F$3)</f>
        <v>2.11722313262018+3.30319155237434i</v>
      </c>
      <c r="N147" s="2" t="str">
        <f>IMPRODUCT(COMPLEX(1-BESSELJ(2*H147,1)/H147,(STRUVE(2*H147)/(2*H147^2))),PI()*(BASE!G$15/100)^2*G$2*G$3)</f>
        <v>2.11722313262018+3.30319155237434i</v>
      </c>
      <c r="O147" s="2" t="str">
        <f>IMSUM(IMPRODUCT(IF($O$3=1,L147,COMPLEX(I147,$D147*BASE!K$15)),2),COMPLEX(BASE!E$36,$D147*BASE!K$14-BASE!K$10/$D147))</f>
        <v>5.03444626524036+31.899091684727i</v>
      </c>
      <c r="P147" s="2" t="str">
        <f>IMSUM(IMPRODUCT(IF($O$3=1,M147,COMPLEX(J147,$D147*BASE!L$15)),2),COMPLEX(BASE!F$36,$D147*BASE!L$14-BASE!L$10/$D147))</f>
        <v>5.03444626524036+31.7621617718344i</v>
      </c>
      <c r="Q147" s="2" t="str">
        <f>IMSUM(IMPRODUCT(IF($O$3=1,N147,COMPLEX(K147,$D147*BASE!M$15)),2),COMPLEX(BASE!G$36,$D147*BASE!M$14-BASE!M$10/$D147))</f>
        <v>5.03444626524036+31.4883019460492i</v>
      </c>
      <c r="R147" s="2" t="str">
        <f>COMPLEX(BASE!E$19,FRES!$D147*BASE!K$36)</f>
        <v>7.2+1.49438987387527i</v>
      </c>
      <c r="S147" s="2" t="str">
        <f>COMPLEX(BASE!F$19,FRES!$D147*BASE!L$36)</f>
        <v>7.2+1.49438987387527i</v>
      </c>
      <c r="T147" s="2" t="str">
        <f>COMPLEX(BASE!G$19,FRES!$D147*BASE!M$36)</f>
        <v>7.2+1.49438987387527i</v>
      </c>
      <c r="U147" s="2" t="str">
        <f>IMDIV(BASE!K$21*BASE!E$38,IMPRODUCT(FRES!R147,IMSUM(FRES!O147,IMDIV(BASE!K$21^2,FRES!R147))))</f>
        <v>-0.000314035416798837-0.0365447806792356i</v>
      </c>
      <c r="V147" s="2" t="str">
        <f>IMDIV(BASE!L$21*BASE!F$38,IMPRODUCT(FRES!S147,IMSUM(FRES!P147,IMDIV(BASE!L$21^2,FRES!S147))))</f>
        <v>-0.000284875763940559-0.0366978093703663i</v>
      </c>
      <c r="W147" s="2" t="str">
        <f>IMDIV(BASE!M$21*BASE!G$38,IMPRODUCT(FRES!T147,IMSUM(FRES!Q147,IMDIV(BASE!M$21^2,FRES!T147))))</f>
        <v>-0.000225040603070572-0.0370075876489957i</v>
      </c>
      <c r="X147" s="2" t="str">
        <f t="shared" si="54"/>
        <v>-6.80826344909875E-06+5.85045473026693E-08i</v>
      </c>
      <c r="Y147" s="2" t="str">
        <f t="shared" si="51"/>
        <v>-6.83677257201929E-06+5.30721272674815E-08i</v>
      </c>
      <c r="Z147" s="2" t="str">
        <f t="shared" si="51"/>
        <v>-6.89448401788153E-06+4.1924884592865E-08i</v>
      </c>
      <c r="AA147" s="44" t="str">
        <f>IMPRODUCT(COMPLEX(0,$D147),U147,E$2,BASE!E$15^2/10000,1/(2*BASE!$U$3))</f>
        <v>0.467139634213219-0.00401420906096057i</v>
      </c>
      <c r="AB147" s="44" t="str">
        <f>IMPRODUCT(COMPLEX(0,$D147),V147,F$2,BASE!F$15^2/10000,1/(2*BASE!$U$3))</f>
        <v>0.469095748478246-0.00364147103060922i</v>
      </c>
      <c r="AC147" s="44" t="str">
        <f>IMPRODUCT(COMPLEX(0,$D147),W147,G$2,BASE!G$15^2/10000,1/(2*BASE!$U$3))</f>
        <v>0.4730555399745-0.00287661830356094i</v>
      </c>
      <c r="AD147" s="44">
        <f t="shared" si="55"/>
        <v>-8.5929558635158831E-3</v>
      </c>
      <c r="AE147" s="44">
        <f t="shared" si="56"/>
        <v>-7.7625898332753423E-3</v>
      </c>
      <c r="AF147" s="44">
        <f t="shared" si="57"/>
        <v>-6.0808564837166908E-3</v>
      </c>
      <c r="AG147" s="31">
        <f t="shared" si="58"/>
        <v>87.368655095589816</v>
      </c>
      <c r="AH147" s="31">
        <f t="shared" si="59"/>
        <v>87.404891722754087</v>
      </c>
      <c r="AI147" s="31">
        <f t="shared" si="60"/>
        <v>87.477803333798363</v>
      </c>
      <c r="AJ147" s="2" t="str">
        <f>IMSUM(R147,IMDIV(BASE!K$21^2,FRES!O147))</f>
        <v>7.24529705325874+1.20738018525772i</v>
      </c>
      <c r="AK147" s="2" t="str">
        <f>IMSUM(S147,IMDIV(BASE!L$21^2,FRES!P147))</f>
        <v>7.24567886307852+1.20620337585447i</v>
      </c>
      <c r="AL147" s="2" t="str">
        <f>IMSUM(T147,IMDIV(BASE!M$21^2,FRES!Q147))</f>
        <v>7.24645698324733+1.20382137062306i</v>
      </c>
      <c r="AM147" s="31">
        <f t="shared" si="73"/>
        <v>3.6546129933775963E-2</v>
      </c>
      <c r="AN147" s="31">
        <f t="shared" si="73"/>
        <v>3.6698915062772973E-2</v>
      </c>
      <c r="AO147" s="31">
        <f t="shared" si="73"/>
        <v>3.7008271870909201E-2</v>
      </c>
      <c r="AP147" s="31">
        <f t="shared" si="61"/>
        <v>9.6286939897775436E-3</v>
      </c>
      <c r="AQ147" s="31">
        <f t="shared" si="62"/>
        <v>9.6689478075132826E-3</v>
      </c>
      <c r="AR147" s="31">
        <f t="shared" si="63"/>
        <v>9.7504530734496622E-3</v>
      </c>
      <c r="AS147" s="2">
        <f t="shared" si="64"/>
        <v>109.97264777197103</v>
      </c>
      <c r="AT147" s="2">
        <f t="shared" si="65"/>
        <v>109.97529090913679</v>
      </c>
      <c r="AU147" s="2">
        <f t="shared" si="66"/>
        <v>109.98064403264769</v>
      </c>
      <c r="AV147" s="2">
        <f t="shared" si="67"/>
        <v>109.97264777197103</v>
      </c>
      <c r="AW147" s="2">
        <f t="shared" si="68"/>
        <v>109.97529090913679</v>
      </c>
      <c r="AX147" s="2">
        <f t="shared" si="69"/>
        <v>109.98064403264769</v>
      </c>
      <c r="AY147">
        <f t="shared" si="70"/>
        <v>7.3452090713411806</v>
      </c>
      <c r="AZ147">
        <f t="shared" si="71"/>
        <v>7.3453923496832729</v>
      </c>
      <c r="BA147">
        <f t="shared" si="72"/>
        <v>7.3457691702382526</v>
      </c>
    </row>
    <row r="148" spans="1:53" x14ac:dyDescent="0.2">
      <c r="A148" s="2">
        <v>144</v>
      </c>
      <c r="B148" s="2"/>
      <c r="C148" s="1">
        <v>879.33033437317658</v>
      </c>
      <c r="D148" s="2">
        <f t="shared" si="53"/>
        <v>5524.9954370908554</v>
      </c>
      <c r="E148" s="2"/>
      <c r="F148" s="2">
        <f>$D148*BASE!E$15/100/E$3</f>
        <v>1.0118450945834996</v>
      </c>
      <c r="G148" s="2">
        <f>$D148*BASE!F$15/100/F$3</f>
        <v>1.0118450945834996</v>
      </c>
      <c r="H148" s="2">
        <f>$D148*BASE!G$15/100/G$3</f>
        <v>1.0118450945834996</v>
      </c>
      <c r="I148" s="2">
        <f>(1-BESSELJ(2*F148,1)/F148)*BASE!K$13*E$2*E$3</f>
        <v>2.2217707847072439</v>
      </c>
      <c r="J148" s="2">
        <f>(1-BESSELJ(2*G148,1)/G148)*BASE!L$13*F$2*F$3</f>
        <v>2.2217707847072439</v>
      </c>
      <c r="K148" s="2">
        <f>(1-BESSELJ(2*H148,1)/H148)*BASE!M$13*G$2*G$3</f>
        <v>2.2217707847072439</v>
      </c>
      <c r="L148" s="2" t="str">
        <f>IMPRODUCT(COMPLEX(1-BESSELJ(2*F148,1)/F148,(STRUVE(2*F148)/(2*F148^2))),PI()*(BASE!E$15/100)^2*E$2*E$3)</f>
        <v>2.22177078470724+3.34626299660578i</v>
      </c>
      <c r="M148" s="2" t="str">
        <f>IMPRODUCT(COMPLEX(1-BESSELJ(2*G148,1)/G148,(STRUVE(2*G148)/(2*G148^2))),PI()*(BASE!F$15/100)^2*F$2*F$3)</f>
        <v>2.22177078470724+3.34626299660578i</v>
      </c>
      <c r="N148" s="2" t="str">
        <f>IMPRODUCT(COMPLEX(1-BESSELJ(2*H148,1)/H148,(STRUVE(2*H148)/(2*H148^2))),PI()*(BASE!G$15/100)^2*G$2*G$3)</f>
        <v>2.22177078470724+3.34626299660578i</v>
      </c>
      <c r="O148" s="2" t="str">
        <f>IMSUM(IMPRODUCT(IF($O$3=1,L148,COMPLEX(I148,$D148*BASE!K$15)),2),COMPLEX(BASE!E$36,$D148*BASE!K$14-BASE!K$10/$D148))</f>
        <v>5.24354156941448+32.8417115697224i</v>
      </c>
      <c r="P148" s="2" t="str">
        <f>IMSUM(IMPRODUCT(IF($O$3=1,M148,COMPLEX(J148,$D148*BASE!L$15)),2),COMPLEX(BASE!F$36,$D148*BASE!L$14-BASE!L$10/$D148))</f>
        <v>5.24354156941448+32.7086797856478i</v>
      </c>
      <c r="Q148" s="2" t="str">
        <f>IMSUM(IMPRODUCT(IF($O$3=1,N148,COMPLEX(K148,$D148*BASE!M$15)),2),COMPLEX(BASE!G$36,$D148*BASE!M$14-BASE!M$10/$D148))</f>
        <v>5.24354156941448+32.4426162174987i</v>
      </c>
      <c r="R148" s="2" t="str">
        <f>COMPLEX(BASE!E$19,FRES!$D148*BASE!K$36)</f>
        <v>7.2+1.5381788395972i</v>
      </c>
      <c r="S148" s="2" t="str">
        <f>COMPLEX(BASE!F$19,FRES!$D148*BASE!L$36)</f>
        <v>7.2+1.5381788395972i</v>
      </c>
      <c r="T148" s="2" t="str">
        <f>COMPLEX(BASE!G$19,FRES!$D148*BASE!M$36)</f>
        <v>7.2+1.5381788395972i</v>
      </c>
      <c r="U148" s="2" t="str">
        <f>IMDIV(BASE!K$21*BASE!E$38,IMPRODUCT(FRES!R148,IMSUM(FRES!O148,IMDIV(BASE!K$21^2,FRES!R148))))</f>
        <v>-0.000489881025913079-0.0354453055370301i</v>
      </c>
      <c r="V148" s="2" t="str">
        <f>IMDIV(BASE!L$21*BASE!F$38,IMPRODUCT(FRES!S148,IMSUM(FRES!P148,IMDIV(BASE!L$21^2,FRES!S148))))</f>
        <v>-0.000463855832375073-0.0355854446622864i</v>
      </c>
      <c r="W148" s="2" t="str">
        <f>IMDIV(BASE!M$21*BASE!G$38,IMPRODUCT(FRES!T148,IMSUM(FRES!Q148,IMDIV(BASE!M$21^2,FRES!T148))))</f>
        <v>-0.000410511310501551-0.0358689382849684i</v>
      </c>
      <c r="X148" s="2" t="str">
        <f t="shared" si="54"/>
        <v>-6.41544521450203E-06+8.86663222605342E-08i</v>
      </c>
      <c r="Y148" s="2" t="str">
        <f t="shared" si="51"/>
        <v>-6.44080978300746E-06+8.39558761010149E-08i</v>
      </c>
      <c r="Z148" s="2" t="str">
        <f t="shared" si="51"/>
        <v>-6.49212088831242E-06+7.43007510459959E-08i</v>
      </c>
      <c r="AA148" s="44" t="str">
        <f>IMPRODUCT(COMPLEX(0,$D148),U148,E$2,BASE!E$15^2/10000,1/(2*BASE!$U$3))</f>
        <v>0.466361829444852-0.00644547445687746i</v>
      </c>
      <c r="AB148" s="44" t="str">
        <f>IMPRODUCT(COMPLEX(0,$D148),V148,F$2,BASE!F$15^2/10000,1/(2*BASE!$U$3))</f>
        <v>0.468205671325777-0.0061030551523701i</v>
      </c>
      <c r="AC148" s="44" t="str">
        <f>IMPRODUCT(COMPLEX(0,$D148),W148,G$2,BASE!G$15^2/10000,1/(2*BASE!$U$3))</f>
        <v>0.471935660459932-0.00540118932176507i</v>
      </c>
      <c r="AD148" s="44">
        <f t="shared" si="55"/>
        <v>-1.3819879128953069E-2</v>
      </c>
      <c r="AE148" s="44">
        <f t="shared" si="56"/>
        <v>-1.3034249482253357E-2</v>
      </c>
      <c r="AF148" s="44">
        <f t="shared" si="57"/>
        <v>-1.1444258131798783E-2</v>
      </c>
      <c r="AG148" s="31">
        <f t="shared" si="58"/>
        <v>87.35468951372934</v>
      </c>
      <c r="AH148" s="31">
        <f t="shared" si="59"/>
        <v>87.388871336827734</v>
      </c>
      <c r="AI148" s="31">
        <f t="shared" si="60"/>
        <v>87.457624795063666</v>
      </c>
      <c r="AJ148" s="2" t="str">
        <f>IMSUM(R148,IMDIV(BASE!K$21^2,FRES!O148))</f>
        <v>7.24448370722746+1.25956541335153i</v>
      </c>
      <c r="AK148" s="2" t="str">
        <f>IMSUM(S148,IMDIV(BASE!L$21^2,FRES!P148))</f>
        <v>7.24483720406746+1.25848891420769i</v>
      </c>
      <c r="AL148" s="2" t="str">
        <f>IMSUM(T148,IMDIV(BASE!M$21^2,FRES!Q148))</f>
        <v>7.24555684518554+1.25631147478871i</v>
      </c>
      <c r="AM148" s="31">
        <f t="shared" si="73"/>
        <v>3.5448690639189567E-2</v>
      </c>
      <c r="AN148" s="31">
        <f t="shared" si="73"/>
        <v>3.5588467711407244E-2</v>
      </c>
      <c r="AO148" s="31">
        <f t="shared" si="73"/>
        <v>3.5871287309308005E-2</v>
      </c>
      <c r="AP148" s="31">
        <f t="shared" si="61"/>
        <v>9.0736761036506255E-3</v>
      </c>
      <c r="AQ148" s="31">
        <f t="shared" si="62"/>
        <v>9.1094543469975725E-3</v>
      </c>
      <c r="AR148" s="31">
        <f t="shared" si="63"/>
        <v>9.1818466802782595E-3</v>
      </c>
      <c r="AS148" s="2">
        <f t="shared" si="64"/>
        <v>109.95600995847389</v>
      </c>
      <c r="AT148" s="2">
        <f t="shared" si="65"/>
        <v>109.95851069530814</v>
      </c>
      <c r="AU148" s="2">
        <f t="shared" si="66"/>
        <v>109.96357179496609</v>
      </c>
      <c r="AV148" s="2">
        <f t="shared" si="67"/>
        <v>109.95600995847389</v>
      </c>
      <c r="AW148" s="2">
        <f t="shared" si="68"/>
        <v>109.95851069530814</v>
      </c>
      <c r="AX148" s="2">
        <f t="shared" si="69"/>
        <v>109.96357179496609</v>
      </c>
      <c r="AY148">
        <f t="shared" si="70"/>
        <v>7.3531659314063855</v>
      </c>
      <c r="AZ148">
        <f t="shared" si="71"/>
        <v>7.3533298892830627</v>
      </c>
      <c r="BA148">
        <f t="shared" si="72"/>
        <v>7.3536666037087111</v>
      </c>
    </row>
    <row r="149" spans="1:53" x14ac:dyDescent="0.2">
      <c r="A149" s="2">
        <v>145</v>
      </c>
      <c r="B149" s="2"/>
      <c r="C149" s="1">
        <v>905.09667991878086</v>
      </c>
      <c r="D149" s="2">
        <f t="shared" si="53"/>
        <v>5686.8901608427086</v>
      </c>
      <c r="E149" s="2"/>
      <c r="F149" s="2">
        <f>$D149*BASE!E$15/100/E$3</f>
        <v>1.0414944189915425</v>
      </c>
      <c r="G149" s="2">
        <f>$D149*BASE!F$15/100/F$3</f>
        <v>1.0414944189915425</v>
      </c>
      <c r="H149" s="2">
        <f>$D149*BASE!G$15/100/G$3</f>
        <v>1.0414944189915425</v>
      </c>
      <c r="I149" s="2">
        <f>(1-BESSELJ(2*F149,1)/F149)*BASE!K$13*E$2*E$3</f>
        <v>2.3301599402937851</v>
      </c>
      <c r="J149" s="2">
        <f>(1-BESSELJ(2*G149,1)/G149)*BASE!L$13*F$2*F$3</f>
        <v>2.3301599402937851</v>
      </c>
      <c r="K149" s="2">
        <f>(1-BESSELJ(2*H149,1)/H149)*BASE!M$13*G$2*G$3</f>
        <v>2.3301599402937851</v>
      </c>
      <c r="L149" s="2" t="str">
        <f>IMPRODUCT(COMPLEX(1-BESSELJ(2*F149,1)/F149,(STRUVE(2*F149)/(2*F149^2))),PI()*(BASE!E$15/100)^2*E$2*E$3)</f>
        <v>2.33015994029379+3.38655399605669i</v>
      </c>
      <c r="M149" s="2" t="str">
        <f>IMPRODUCT(COMPLEX(1-BESSELJ(2*G149,1)/G149,(STRUVE(2*G149)/(2*G149^2))),PI()*(BASE!F$15/100)^2*F$2*F$3)</f>
        <v>2.33015994029379+3.38655399605669i</v>
      </c>
      <c r="N149" s="2" t="str">
        <f>IMPRODUCT(COMPLEX(1-BESSELJ(2*H149,1)/H149,(STRUVE(2*H149)/(2*H149^2))),PI()*(BASE!G$15/100)^2*G$2*G$3)</f>
        <v>2.33015994029379+3.38655399605669i</v>
      </c>
      <c r="O149" s="2" t="str">
        <f>IMSUM(IMPRODUCT(IF($O$3=1,L149,COMPLEX(I149,$D149*BASE!K$15)),2),COMPLEX(BASE!E$36,$D149*BASE!K$14-BASE!K$10/$D149))</f>
        <v>5.46031988058758+33.811727281328i</v>
      </c>
      <c r="P149" s="2" t="str">
        <f>IMSUM(IMPRODUCT(IF($O$3=1,M149,COMPLEX(J149,$D149*BASE!L$15)),2),COMPLEX(BASE!F$36,$D149*BASE!L$14-BASE!L$10/$D149))</f>
        <v>5.46031988058758+33.6824826539109i</v>
      </c>
      <c r="Q149" s="2" t="str">
        <f>IMSUM(IMPRODUCT(IF($O$3=1,N149,COMPLEX(K149,$D149*BASE!M$15)),2),COMPLEX(BASE!G$36,$D149*BASE!M$14-BASE!M$10/$D149))</f>
        <v>5.46031988058758+33.4239933990768i</v>
      </c>
      <c r="R149" s="2" t="str">
        <f>COMPLEX(BASE!E$19,FRES!$D149*BASE!K$36)</f>
        <v>7.2+1.58325091995509i</v>
      </c>
      <c r="S149" s="2" t="str">
        <f>COMPLEX(BASE!F$19,FRES!$D149*BASE!L$36)</f>
        <v>7.2+1.58325091995509i</v>
      </c>
      <c r="T149" s="2" t="str">
        <f>COMPLEX(BASE!G$19,FRES!$D149*BASE!M$36)</f>
        <v>7.2+1.58325091995509i</v>
      </c>
      <c r="U149" s="2" t="str">
        <f>IMDIV(BASE!K$21*BASE!E$38,IMPRODUCT(FRES!R149,IMSUM(FRES!O149,IMDIV(BASE!K$21^2,FRES!R149))))</f>
        <v>-0.000659282184063956-0.0343757317633041i</v>
      </c>
      <c r="V149" s="2" t="str">
        <f>IMDIV(BASE!L$21*BASE!F$38,IMPRODUCT(FRES!S149,IMSUM(FRES!P149,IMDIV(BASE!L$21^2,FRES!S149))))</f>
        <v>-0.000636083691320634-0.0345040610433563i</v>
      </c>
      <c r="W149" s="2" t="str">
        <f>IMDIV(BASE!M$21*BASE!G$38,IMPRODUCT(FRES!T149,IMSUM(FRES!Q149,IMDIV(BASE!M$21^2,FRES!T149))))</f>
        <v>-0.00058858218216592-0.0347634981655983i</v>
      </c>
      <c r="X149" s="2" t="str">
        <f t="shared" si="54"/>
        <v>-6.04473284889507E-06+1.15930177200092E-07i</v>
      </c>
      <c r="Y149" s="2" t="str">
        <f t="shared" ref="Y149:Z188" si="74">IMDIV(V149,COMPLEX(0,$D149))</f>
        <v>-6.06729865840126E-06+1.11850883933087E-07i</v>
      </c>
      <c r="Z149" s="2" t="str">
        <f t="shared" si="74"/>
        <v>-6.11291886820035E-06+1.03498074610026E-07i</v>
      </c>
      <c r="AA149" s="44" t="str">
        <f>IMPRODUCT(COMPLEX(0,$D149),U149,E$2,BASE!E$15^2/10000,1/(2*BASE!$U$3))</f>
        <v>0.465542292967907-0.00892850054204992i</v>
      </c>
      <c r="AB149" s="44" t="str">
        <f>IMPRODUCT(COMPLEX(0,$D149),V149,F$2,BASE!F$15^2/10000,1/(2*BASE!$U$3))</f>
        <v>0.467280225638018-0.0086143289171522i</v>
      </c>
      <c r="AC149" s="44" t="str">
        <f>IMPRODUCT(COMPLEX(0,$D149),W149,G$2,BASE!G$15^2/10000,1/(2*BASE!$U$3))</f>
        <v>0.470793720379051-0.0079710273681528i</v>
      </c>
      <c r="AD149" s="44">
        <f t="shared" si="55"/>
        <v>-1.9176358874542162E-2</v>
      </c>
      <c r="AE149" s="44">
        <f t="shared" si="56"/>
        <v>-1.8432950469055954E-2</v>
      </c>
      <c r="AF149" s="44">
        <f t="shared" si="57"/>
        <v>-1.6929422580569606E-2</v>
      </c>
      <c r="AG149" s="31">
        <f t="shared" si="58"/>
        <v>87.340180053965057</v>
      </c>
      <c r="AH149" s="31">
        <f t="shared" si="59"/>
        <v>87.372423847394188</v>
      </c>
      <c r="AI149" s="31">
        <f t="shared" si="60"/>
        <v>87.437258085985633</v>
      </c>
      <c r="AJ149" s="2" t="str">
        <f>IMSUM(R149,IMDIV(BASE!K$21^2,FRES!O149))</f>
        <v>7.24367795074497+1.31278563750041i</v>
      </c>
      <c r="AK149" s="2" t="str">
        <f>IMSUM(S149,IMDIV(BASE!L$21^2,FRES!P149))</f>
        <v>7.24400519132133+1.31180087201337i</v>
      </c>
      <c r="AL149" s="2" t="str">
        <f>IMSUM(T149,IMDIV(BASE!M$21^2,FRES!Q149))</f>
        <v>7.24467070286294+1.3098102955457i</v>
      </c>
      <c r="AM149" s="31">
        <f t="shared" si="73"/>
        <v>3.4382053272904722E-2</v>
      </c>
      <c r="AN149" s="31">
        <f t="shared" si="73"/>
        <v>3.4509923658942246E-2</v>
      </c>
      <c r="AO149" s="31">
        <f t="shared" si="73"/>
        <v>3.4768480462837592E-2</v>
      </c>
      <c r="AP149" s="31">
        <f t="shared" si="61"/>
        <v>8.5501152062994763E-3</v>
      </c>
      <c r="AQ149" s="31">
        <f t="shared" si="62"/>
        <v>8.5819139625696959E-3</v>
      </c>
      <c r="AR149" s="31">
        <f t="shared" si="63"/>
        <v>8.646211764772805E-3</v>
      </c>
      <c r="AS149" s="2">
        <f t="shared" si="64"/>
        <v>109.93895975389225</v>
      </c>
      <c r="AT149" s="2">
        <f t="shared" si="65"/>
        <v>109.94132609634164</v>
      </c>
      <c r="AU149" s="2">
        <f t="shared" si="66"/>
        <v>109.94611197425222</v>
      </c>
      <c r="AV149" s="2">
        <f t="shared" si="67"/>
        <v>109.93895975389225</v>
      </c>
      <c r="AW149" s="2">
        <f t="shared" si="68"/>
        <v>109.94132609634164</v>
      </c>
      <c r="AX149" s="2">
        <f t="shared" si="69"/>
        <v>109.94611197425222</v>
      </c>
      <c r="AY149">
        <f t="shared" si="70"/>
        <v>7.361676193920526</v>
      </c>
      <c r="AZ149">
        <f t="shared" si="71"/>
        <v>7.3618226506555704</v>
      </c>
      <c r="BA149">
        <f t="shared" si="72"/>
        <v>7.3621231043251463</v>
      </c>
    </row>
    <row r="150" spans="1:53" x14ac:dyDescent="0.2">
      <c r="A150" s="2">
        <v>146</v>
      </c>
      <c r="B150" s="2"/>
      <c r="C150" s="1">
        <v>931.61803701899998</v>
      </c>
      <c r="D150" s="2">
        <f t="shared" si="53"/>
        <v>5853.5287621012685</v>
      </c>
      <c r="E150" s="2"/>
      <c r="F150" s="2">
        <f>$D150*BASE!E$15/100/E$3</f>
        <v>1.0720125349197092</v>
      </c>
      <c r="G150" s="2">
        <f>$D150*BASE!F$15/100/F$3</f>
        <v>1.0720125349197092</v>
      </c>
      <c r="H150" s="2">
        <f>$D150*BASE!G$15/100/G$3</f>
        <v>1.0720125349197092</v>
      </c>
      <c r="I150" s="2">
        <f>(1-BESSELJ(2*F150,1)/F150)*BASE!K$13*E$2*E$3</f>
        <v>2.4423707786294804</v>
      </c>
      <c r="J150" s="2">
        <f>(1-BESSELJ(2*G150,1)/G150)*BASE!L$13*F$2*F$3</f>
        <v>2.4423707786294804</v>
      </c>
      <c r="K150" s="2">
        <f>(1-BESSELJ(2*H150,1)/H150)*BASE!M$13*G$2*G$3</f>
        <v>2.4423707786294804</v>
      </c>
      <c r="L150" s="2" t="str">
        <f>IMPRODUCT(COMPLEX(1-BESSELJ(2*F150,1)/F150,(STRUVE(2*F150)/(2*F150^2))),PI()*(BASE!E$15/100)^2*E$2*E$3)</f>
        <v>2.44237077862948+3.42373323127986i</v>
      </c>
      <c r="M150" s="2" t="str">
        <f>IMPRODUCT(COMPLEX(1-BESSELJ(2*G150,1)/G150,(STRUVE(2*G150)/(2*G150^2))),PI()*(BASE!F$15/100)^2*F$2*F$3)</f>
        <v>2.44237077862948+3.42373323127986i</v>
      </c>
      <c r="N150" s="2" t="str">
        <f>IMPRODUCT(COMPLEX(1-BESSELJ(2*H150,1)/H150,(STRUVE(2*H150)/(2*H150^2))),PI()*(BASE!G$15/100)^2*G$2*G$3)</f>
        <v>2.44237077862948+3.42373323127986i</v>
      </c>
      <c r="O150" s="2" t="str">
        <f>IMSUM(IMPRODUCT(IF($O$3=1,L150,COMPLEX(I150,$D150*BASE!K$15)),2),COMPLEX(BASE!E$36,$D150*BASE!K$14-BASE!K$10/$D150))</f>
        <v>5.68474155725896+34.8099479851132i</v>
      </c>
      <c r="P150" s="2" t="str">
        <f>IMSUM(IMPRODUCT(IF($O$3=1,M150,COMPLEX(J150,$D150*BASE!L$15)),2),COMPLEX(BASE!F$36,$D150*BASE!L$14-BASE!L$10/$D150))</f>
        <v>5.68474155725896+34.684382701355i</v>
      </c>
      <c r="Q150" s="2" t="str">
        <f>IMSUM(IMPRODUCT(IF($O$3=1,N150,COMPLEX(K150,$D150*BASE!M$15)),2),COMPLEX(BASE!G$36,$D150*BASE!M$14-BASE!M$10/$D150))</f>
        <v>5.68474155725896+34.4332521338387i</v>
      </c>
      <c r="R150" s="2" t="str">
        <f>COMPLEX(BASE!E$19,FRES!$D150*BASE!K$36)</f>
        <v>7.2+1.62964371307764i</v>
      </c>
      <c r="S150" s="2" t="str">
        <f>COMPLEX(BASE!F$19,FRES!$D150*BASE!L$36)</f>
        <v>7.2+1.62964371307764i</v>
      </c>
      <c r="T150" s="2" t="str">
        <f>COMPLEX(BASE!G$19,FRES!$D150*BASE!M$36)</f>
        <v>7.2+1.62964371307764i</v>
      </c>
      <c r="U150" s="2" t="str">
        <f>IMDIV(BASE!K$21*BASE!E$38,IMPRODUCT(FRES!R150,IMSUM(FRES!O150,IMDIV(BASE!K$21^2,FRES!R150))))</f>
        <v>-0.00082271907675106-0.0333351807752374i</v>
      </c>
      <c r="V150" s="2" t="str">
        <f>IMDIV(BASE!L$21*BASE!F$38,IMPRODUCT(FRES!S150,IMSUM(FRES!P150,IMDIV(BASE!L$21^2,FRES!S150))))</f>
        <v>-0.000802070612375145-0.0334526899974657i</v>
      </c>
      <c r="W150" s="2" t="str">
        <f>IMDIV(BASE!M$21*BASE!G$38,IMPRODUCT(FRES!T150,IMSUM(FRES!Q150,IMDIV(BASE!M$21^2,FRES!T150))))</f>
        <v>-0.000759831354581391-0.0336901095830767i</v>
      </c>
      <c r="X150" s="2" t="str">
        <f t="shared" si="54"/>
        <v>-5.69488630363728E-06+1.40550958266023E-07i</v>
      </c>
      <c r="Y150" s="2" t="str">
        <f t="shared" si="74"/>
        <v>-5.71496124082544E-06+1.37023434063937E-07i</v>
      </c>
      <c r="Z150" s="2" t="str">
        <f t="shared" si="74"/>
        <v>-5.75552131924313E-06+1.29807400879436E-07i</v>
      </c>
      <c r="AA150" s="44" t="str">
        <f>IMPRODUCT(COMPLEX(0,$D150),U150,E$2,BASE!E$15^2/10000,1/(2*BASE!$U$3))</f>
        <v>0.464678865724561-0.0114683694074528i</v>
      </c>
      <c r="AB150" s="44" t="str">
        <f>IMPRODUCT(COMPLEX(0,$D150),V150,F$2,BASE!F$15^2/10000,1/(2*BASE!$U$3))</f>
        <v>0.466316896502476-0.0111805382098406i</v>
      </c>
      <c r="AC150" s="44" t="str">
        <f>IMPRODUCT(COMPLEX(0,$D150),W150,G$2,BASE!G$15^2/10000,1/(2*BASE!$U$3))</f>
        <v>0.469626428989682-0.0105917401309285i</v>
      </c>
      <c r="AD150" s="44">
        <f t="shared" si="55"/>
        <v>-2.4675195268839024E-2</v>
      </c>
      <c r="AE150" s="44">
        <f t="shared" si="56"/>
        <v>-2.3971673796387895E-2</v>
      </c>
      <c r="AF150" s="44">
        <f t="shared" si="57"/>
        <v>-2.2549720697244223E-2</v>
      </c>
      <c r="AG150" s="31">
        <f t="shared" si="58"/>
        <v>87.325103034908551</v>
      </c>
      <c r="AH150" s="31">
        <f t="shared" si="59"/>
        <v>87.355518999425328</v>
      </c>
      <c r="AI150" s="31">
        <f t="shared" si="60"/>
        <v>87.416659208577272</v>
      </c>
      <c r="AJ150" s="2" t="str">
        <f>IMSUM(R150,IMDIV(BASE!K$21^2,FRES!O150))</f>
        <v>7.24287787668476+1.36708531142036i</v>
      </c>
      <c r="AK150" s="2" t="str">
        <f>IMSUM(S150,IMDIV(BASE!L$21^2,FRES!P150))</f>
        <v>7.24318075753196+1.36618443274141i</v>
      </c>
      <c r="AL150" s="2" t="str">
        <f>IMSUM(T150,IMDIV(BASE!M$21^2,FRES!Q150))</f>
        <v>7.24379613819521+1.36436455240264i</v>
      </c>
      <c r="AM150" s="31">
        <f t="shared" si="73"/>
        <v>3.3345331667221534E-2</v>
      </c>
      <c r="AN150" s="31">
        <f t="shared" si="73"/>
        <v>3.3462303945391708E-2</v>
      </c>
      <c r="AO150" s="31">
        <f t="shared" si="73"/>
        <v>3.3698676938525671E-2</v>
      </c>
      <c r="AP150" s="31">
        <f t="shared" si="61"/>
        <v>8.0562379040374638E-3</v>
      </c>
      <c r="AQ150" s="31">
        <f t="shared" si="62"/>
        <v>8.0844984266953412E-3</v>
      </c>
      <c r="AR150" s="31">
        <f t="shared" si="63"/>
        <v>8.141606182760901E-3</v>
      </c>
      <c r="AS150" s="2">
        <f t="shared" si="64"/>
        <v>109.92145641402414</v>
      </c>
      <c r="AT150" s="2">
        <f t="shared" si="65"/>
        <v>109.92369579242236</v>
      </c>
      <c r="AU150" s="2">
        <f t="shared" si="66"/>
        <v>109.92822200971383</v>
      </c>
      <c r="AV150" s="2">
        <f t="shared" si="67"/>
        <v>109.92145641402414</v>
      </c>
      <c r="AW150" s="2">
        <f t="shared" si="68"/>
        <v>109.92369579242236</v>
      </c>
      <c r="AX150" s="2">
        <f t="shared" si="69"/>
        <v>109.92822200971383</v>
      </c>
      <c r="AY150">
        <f t="shared" si="70"/>
        <v>7.3707667298097848</v>
      </c>
      <c r="AZ150">
        <f t="shared" si="71"/>
        <v>7.3708973260076158</v>
      </c>
      <c r="BA150">
        <f t="shared" si="72"/>
        <v>7.3711649773685499</v>
      </c>
    </row>
    <row r="151" spans="1:53" x14ac:dyDescent="0.2">
      <c r="A151" s="2">
        <v>147</v>
      </c>
      <c r="B151" s="2"/>
      <c r="C151" s="1">
        <v>958.91652920107595</v>
      </c>
      <c r="D151" s="2">
        <f t="shared" si="53"/>
        <v>6025.0502470878455</v>
      </c>
      <c r="E151" s="2"/>
      <c r="F151" s="2">
        <f>$D151*BASE!E$15/100/E$3</f>
        <v>1.1034248999027156</v>
      </c>
      <c r="G151" s="2">
        <f>$D151*BASE!F$15/100/F$3</f>
        <v>1.1034248999027156</v>
      </c>
      <c r="H151" s="2">
        <f>$D151*BASE!G$15/100/G$3</f>
        <v>1.1034248999027156</v>
      </c>
      <c r="I151" s="2">
        <f>(1-BESSELJ(2*F151,1)/F151)*BASE!K$13*E$2*E$3</f>
        <v>2.5583593076921791</v>
      </c>
      <c r="J151" s="2">
        <f>(1-BESSELJ(2*G151,1)/G151)*BASE!L$13*F$2*F$3</f>
        <v>2.5583593076921791</v>
      </c>
      <c r="K151" s="2">
        <f>(1-BESSELJ(2*H151,1)/H151)*BASE!M$13*G$2*G$3</f>
        <v>2.5583593076921791</v>
      </c>
      <c r="L151" s="2" t="str">
        <f>IMPRODUCT(COMPLEX(1-BESSELJ(2*F151,1)/F151,(STRUVE(2*F151)/(2*F151^2))),PI()*(BASE!E$15/100)^2*E$2*E$3)</f>
        <v>2.55835930769218+3.4574527040555i</v>
      </c>
      <c r="M151" s="2" t="str">
        <f>IMPRODUCT(COMPLEX(1-BESSELJ(2*G151,1)/G151,(STRUVE(2*G151)/(2*G151^2))),PI()*(BASE!F$15/100)^2*F$2*F$3)</f>
        <v>2.55835930769218+3.4574527040555i</v>
      </c>
      <c r="N151" s="2" t="str">
        <f>IMPRODUCT(COMPLEX(1-BESSELJ(2*H151,1)/H151,(STRUVE(2*H151)/(2*H151^2))),PI()*(BASE!G$15/100)^2*G$2*G$3)</f>
        <v>2.55835930769218+3.4574527040555i</v>
      </c>
      <c r="O151" s="2" t="str">
        <f>IMSUM(IMPRODUCT(IF($O$3=1,L151,COMPLEX(I151,$D151*BASE!K$15)),2),COMPLEX(BASE!E$36,$D151*BASE!K$14-BASE!K$10/$D151))</f>
        <v>5.91671861538436+35.8372063746257i</v>
      </c>
      <c r="P151" s="2" t="str">
        <f>IMSUM(IMPRODUCT(IF($O$3=1,M151,COMPLEX(J151,$D151*BASE!L$15)),2),COMPLEX(BASE!F$36,$D151*BASE!L$14-BASE!L$10/$D151))</f>
        <v>5.91671861538436+35.7152156907546i</v>
      </c>
      <c r="Q151" s="2" t="str">
        <f>IMSUM(IMPRODUCT(IF($O$3=1,N151,COMPLEX(K151,$D151*BASE!M$15)),2),COMPLEX(BASE!G$36,$D151*BASE!M$14-BASE!M$10/$D151))</f>
        <v>5.91671861538436+35.4712343230124i</v>
      </c>
      <c r="R151" s="2" t="str">
        <f>COMPLEX(BASE!E$19,FRES!$D151*BASE!K$36)</f>
        <v>7.2+1.67739591880282i</v>
      </c>
      <c r="S151" s="2" t="str">
        <f>COMPLEX(BASE!F$19,FRES!$D151*BASE!L$36)</f>
        <v>7.2+1.67739591880282i</v>
      </c>
      <c r="T151" s="2" t="str">
        <f>COMPLEX(BASE!G$19,FRES!$D151*BASE!M$36)</f>
        <v>7.2+1.67739591880282i</v>
      </c>
      <c r="U151" s="2" t="str">
        <f>IMDIV(BASE!K$21*BASE!E$38,IMPRODUCT(FRES!R151,IMSUM(FRES!O151,IMDIV(BASE!K$21^2,FRES!R151))))</f>
        <v>-0.000980641661839123-0.0323227963573102i</v>
      </c>
      <c r="V151" s="2" t="str">
        <f>IMDIV(BASE!L$21*BASE!F$38,IMPRODUCT(FRES!S151,IMSUM(FRES!P151,IMDIV(BASE!L$21^2,FRES!S151))))</f>
        <v>-0.000962294338522245-0.0324303928111464i</v>
      </c>
      <c r="W151" s="2" t="str">
        <f>IMDIV(BASE!M$21*BASE!G$38,IMPRODUCT(FRES!T151,IMSUM(FRES!Q151,IMDIV(BASE!M$21^2,FRES!T151))))</f>
        <v>-0.000924796134482441-0.0326476607646128i</v>
      </c>
      <c r="X151" s="2" t="str">
        <f t="shared" si="54"/>
        <v>-5.36473473776142E-06+1.62760744163604E-07i</v>
      </c>
      <c r="Y151" s="2" t="str">
        <f t="shared" si="74"/>
        <v>-5.38259292141527E-06+1.59715570668869E-07i</v>
      </c>
      <c r="Z151" s="2" t="str">
        <f t="shared" si="74"/>
        <v>-5.41865369179165E-06+1.53491854267843E-07i</v>
      </c>
      <c r="AA151" s="44" t="str">
        <f>IMPRODUCT(COMPLEX(0,$D151),U151,E$2,BASE!E$15^2/10000,1/(2*BASE!$U$3))</f>
        <v>0.463769248847504-0.0140703001643867i</v>
      </c>
      <c r="AB151" s="44" t="str">
        <f>IMPRODUCT(COMPLEX(0,$D151),V151,F$2,BASE!F$15^2/10000,1/(2*BASE!$U$3))</f>
        <v>0.465313048648198-0.0138070517666005i</v>
      </c>
      <c r="AC151" s="44" t="str">
        <f>IMPRODUCT(COMPLEX(0,$D151),W151,G$2,BASE!G$15^2/10000,1/(2*BASE!$U$3))</f>
        <v>0.468430421120055-0.013269025485445i</v>
      </c>
      <c r="AD151" s="44">
        <f t="shared" si="55"/>
        <v>-3.0329707183601104E-2</v>
      </c>
      <c r="AE151" s="44">
        <f t="shared" si="56"/>
        <v>-2.9663904211434812E-2</v>
      </c>
      <c r="AF151" s="44">
        <f t="shared" si="57"/>
        <v>-2.831899380967888E-2</v>
      </c>
      <c r="AG151" s="31">
        <f t="shared" si="58"/>
        <v>87.30943470557817</v>
      </c>
      <c r="AH151" s="31">
        <f t="shared" si="59"/>
        <v>87.338126839642882</v>
      </c>
      <c r="AI151" s="31">
        <f t="shared" si="60"/>
        <v>87.395785275017971</v>
      </c>
      <c r="AJ151" s="2" t="str">
        <f>IMSUM(R151,IMDIV(BASE!K$21^2,FRES!O151))</f>
        <v>7.2420816781483+1.42250974245672i</v>
      </c>
      <c r="AK151" s="2" t="str">
        <f>IMSUM(S151,IMDIV(BASE!L$21^2,FRES!P151))</f>
        <v>7.24236194977278+1.42168557130012i</v>
      </c>
      <c r="AL151" s="2" t="str">
        <f>IMSUM(T151,IMDIV(BASE!M$21^2,FRES!Q151))</f>
        <v>7.24293087980712+1.42002162127045i</v>
      </c>
      <c r="AM151" s="31">
        <f t="shared" si="73"/>
        <v>3.2337668784639999E-2</v>
      </c>
      <c r="AN151" s="31">
        <f t="shared" si="73"/>
        <v>3.2444666561381209E-2</v>
      </c>
      <c r="AO151" s="31">
        <f t="shared" si="73"/>
        <v>3.2660756287808027E-2</v>
      </c>
      <c r="AP151" s="31">
        <f t="shared" si="61"/>
        <v>7.5903715148054225E-3</v>
      </c>
      <c r="AQ151" s="31">
        <f t="shared" si="62"/>
        <v>7.6154862774722209E-3</v>
      </c>
      <c r="AR151" s="31">
        <f t="shared" si="63"/>
        <v>7.6662073518649169E-3</v>
      </c>
      <c r="AS151" s="2">
        <f t="shared" si="64"/>
        <v>109.903457543584</v>
      </c>
      <c r="AT151" s="2">
        <f t="shared" si="65"/>
        <v>109.90557686026692</v>
      </c>
      <c r="AU151" s="2">
        <f t="shared" si="66"/>
        <v>109.90985784303602</v>
      </c>
      <c r="AV151" s="2">
        <f t="shared" si="67"/>
        <v>109.903457543584</v>
      </c>
      <c r="AW151" s="2">
        <f t="shared" si="68"/>
        <v>109.90557686026692</v>
      </c>
      <c r="AX151" s="2">
        <f t="shared" si="69"/>
        <v>109.90985784303602</v>
      </c>
      <c r="AY151">
        <f t="shared" si="70"/>
        <v>7.3804661777123259</v>
      </c>
      <c r="AZ151">
        <f t="shared" si="71"/>
        <v>7.3805823940363631</v>
      </c>
      <c r="BA151">
        <f t="shared" si="72"/>
        <v>7.3808203564738726</v>
      </c>
    </row>
    <row r="152" spans="1:53" x14ac:dyDescent="0.2">
      <c r="A152" s="2">
        <v>148</v>
      </c>
      <c r="B152" s="2"/>
      <c r="C152" s="1">
        <v>987.01492826108188</v>
      </c>
      <c r="D152" s="2">
        <f t="shared" si="53"/>
        <v>6201.5976952169431</v>
      </c>
      <c r="E152" s="2"/>
      <c r="F152" s="2">
        <f>$D152*BASE!E$15/100/E$3</f>
        <v>1.1357577174379865</v>
      </c>
      <c r="G152" s="2">
        <f>$D152*BASE!F$15/100/F$3</f>
        <v>1.1357577174379865</v>
      </c>
      <c r="H152" s="2">
        <f>$D152*BASE!G$15/100/G$3</f>
        <v>1.1357577174379865</v>
      </c>
      <c r="I152" s="2">
        <f>(1-BESSELJ(2*F152,1)/F152)*BASE!K$13*E$2*E$3</f>
        <v>2.6780543512651969</v>
      </c>
      <c r="J152" s="2">
        <f>(1-BESSELJ(2*G152,1)/G152)*BASE!L$13*F$2*F$3</f>
        <v>2.6780543512651969</v>
      </c>
      <c r="K152" s="2">
        <f>(1-BESSELJ(2*H152,1)/H152)*BASE!M$13*G$2*G$3</f>
        <v>2.6780543512651969</v>
      </c>
      <c r="L152" s="2" t="str">
        <f>IMPRODUCT(COMPLEX(1-BESSELJ(2*F152,1)/F152,(STRUVE(2*F152)/(2*F152^2))),PI()*(BASE!E$15/100)^2*E$2*E$3)</f>
        <v>2.6780543512652+3.4873485545401i</v>
      </c>
      <c r="M152" s="2" t="str">
        <f>IMPRODUCT(COMPLEX(1-BESSELJ(2*G152,1)/G152,(STRUVE(2*G152)/(2*G152^2))),PI()*(BASE!F$15/100)^2*F$2*F$3)</f>
        <v>2.6780543512652+3.4873485545401i</v>
      </c>
      <c r="N152" s="2" t="str">
        <f>IMPRODUCT(COMPLEX(1-BESSELJ(2*H152,1)/H152,(STRUVE(2*H152)/(2*H152^2))),PI()*(BASE!G$15/100)^2*G$2*G$3)</f>
        <v>2.6780543512652+3.4873485545401i</v>
      </c>
      <c r="O152" s="2" t="str">
        <f>IMSUM(IMPRODUCT(IF($O$3=1,L152,COMPLEX(I152,$D152*BASE!K$15)),2),COMPLEX(BASE!E$36,$D152*BASE!K$14-BASE!K$10/$D152))</f>
        <v>6.1561087025304+36.8943593660059i</v>
      </c>
      <c r="P152" s="2" t="str">
        <f>IMSUM(IMPRODUCT(IF($O$3=1,M152,COMPLEX(J152,$D152*BASE!L$15)),2),COMPLEX(BASE!F$36,$D152*BASE!L$14-BASE!L$10/$D152))</f>
        <v>6.1561087025304+36.7758415201019i</v>
      </c>
      <c r="Q152" s="2" t="str">
        <f>IMSUM(IMPRODUCT(IF($O$3=1,N152,COMPLEX(K152,$D152*BASE!M$15)),2),COMPLEX(BASE!G$36,$D152*BASE!M$14-BASE!M$10/$D152))</f>
        <v>6.1561087025304+36.538805828294i</v>
      </c>
      <c r="R152" s="2" t="str">
        <f>COMPLEX(BASE!E$19,FRES!$D152*BASE!K$36)</f>
        <v>7.2+1.72654737096041i</v>
      </c>
      <c r="S152" s="2" t="str">
        <f>COMPLEX(BASE!F$19,FRES!$D152*BASE!L$36)</f>
        <v>7.2+1.72654737096041i</v>
      </c>
      <c r="T152" s="2" t="str">
        <f>COMPLEX(BASE!G$19,FRES!$D152*BASE!M$36)</f>
        <v>7.2+1.72654737096041i</v>
      </c>
      <c r="U152" s="2" t="str">
        <f>IMDIV(BASE!K$21*BASE!E$38,IMPRODUCT(FRES!R152,IMSUM(FRES!O152,IMDIV(BASE!K$21^2,FRES!R152))))</f>
        <v>-0.00113347050630909-0.0313377437086562i</v>
      </c>
      <c r="V152" s="2" t="str">
        <f>IMDIV(BASE!L$21*BASE!F$38,IMPRODUCT(FRES!S152,IMSUM(FRES!P152,IMDIV(BASE!L$21^2,FRES!S152))))</f>
        <v>-0.00111720028079478-0.03143625900755i</v>
      </c>
      <c r="W152" s="2" t="str">
        <f>IMDIV(BASE!M$21*BASE!G$38,IMPRODUCT(FRES!T152,IMSUM(FRES!Q152,IMDIV(BASE!M$21^2,FRES!T152))))</f>
        <v>-0.00108397502188276-0.0316350829094783i</v>
      </c>
      <c r="X152" s="2" t="str">
        <f t="shared" si="54"/>
        <v>-5.05317262563256E-06+1.82770724902599E-07i</v>
      </c>
      <c r="Y152" s="2" t="str">
        <f t="shared" si="74"/>
        <v>-5.06905809639919E-06+1.80147171051814E-07i</v>
      </c>
      <c r="Z152" s="2" t="str">
        <f t="shared" si="74"/>
        <v>-5.10111820601927E-06+1.74789638921401E-07i</v>
      </c>
      <c r="AA152" s="44" t="str">
        <f>IMPRODUCT(COMPLEX(0,$D152),U152,E$2,BASE!E$15^2/10000,1/(2*BASE!$U$3))</f>
        <v>0.462810990104245-0.0167396418885757i</v>
      </c>
      <c r="AB152" s="44" t="str">
        <f>IMPRODUCT(COMPLEX(0,$D152),V152,F$2,BASE!F$15^2/10000,1/(2*BASE!$U$3))</f>
        <v>0.464265911793737-0.0164993553111659i</v>
      </c>
      <c r="AC152" s="44" t="str">
        <f>IMPRODUCT(COMPLEX(0,$D152),W152,G$2,BASE!G$15^2/10000,1/(2*BASE!$U$3))</f>
        <v>0.467202239557577-0.0160086685815628i</v>
      </c>
      <c r="AD152" s="44">
        <f t="shared" si="55"/>
        <v>-3.6153739190735293E-2</v>
      </c>
      <c r="AE152" s="44">
        <f t="shared" si="56"/>
        <v>-3.552363843771221E-2</v>
      </c>
      <c r="AF152" s="44">
        <f t="shared" si="57"/>
        <v>-3.4251564830038467E-2</v>
      </c>
      <c r="AG152" s="31">
        <f t="shared" si="58"/>
        <v>87.293151222780892</v>
      </c>
      <c r="AH152" s="31">
        <f t="shared" si="59"/>
        <v>87.320217672283917</v>
      </c>
      <c r="AI152" s="31">
        <f t="shared" si="60"/>
        <v>87.374594412930492</v>
      </c>
      <c r="AJ152" s="2" t="str">
        <f>IMSUM(R152,IMDIV(BASE!K$21^2,FRES!O152))</f>
        <v>7.24128764713861+1.4791051368292i</v>
      </c>
      <c r="AK152" s="2" t="str">
        <f>IMSUM(S152,IMDIV(BASE!L$21^2,FRES!P152))</f>
        <v>7.24154692677715+1.47835110467686i</v>
      </c>
      <c r="AL152" s="2" t="str">
        <f>IMSUM(T152,IMDIV(BASE!M$21^2,FRES!Q152))</f>
        <v>7.242072796969+1.47682959738186i</v>
      </c>
      <c r="AM152" s="31">
        <f t="shared" si="73"/>
        <v>3.1358235539298028E-2</v>
      </c>
      <c r="AN152" s="31">
        <f t="shared" si="73"/>
        <v>3.1456104603990252E-2</v>
      </c>
      <c r="AO152" s="31">
        <f t="shared" si="73"/>
        <v>3.1653648644945055E-2</v>
      </c>
      <c r="AP152" s="31">
        <f t="shared" si="61"/>
        <v>7.150938221285888E-3</v>
      </c>
      <c r="AQ152" s="31">
        <f t="shared" si="62"/>
        <v>7.1732563021138663E-3</v>
      </c>
      <c r="AR152" s="31">
        <f t="shared" si="63"/>
        <v>7.2183042842007628E-3</v>
      </c>
      <c r="AS152" s="2">
        <f t="shared" si="64"/>
        <v>109.88491907393079</v>
      </c>
      <c r="AT152" s="2">
        <f t="shared" si="65"/>
        <v>109.88692474692057</v>
      </c>
      <c r="AU152" s="2">
        <f t="shared" si="66"/>
        <v>109.89097388297334</v>
      </c>
      <c r="AV152" s="2">
        <f t="shared" si="67"/>
        <v>109.88491907393079</v>
      </c>
      <c r="AW152" s="2">
        <f t="shared" si="68"/>
        <v>109.88692474692057</v>
      </c>
      <c r="AX152" s="2">
        <f t="shared" si="69"/>
        <v>109.89097388297334</v>
      </c>
      <c r="AY152">
        <f t="shared" si="70"/>
        <v>7.3908050166674508</v>
      </c>
      <c r="AZ152">
        <f t="shared" si="71"/>
        <v>7.3909081905686582</v>
      </c>
      <c r="BA152">
        <f t="shared" si="72"/>
        <v>7.3911192695221368</v>
      </c>
    </row>
    <row r="153" spans="1:53" x14ac:dyDescent="0.2">
      <c r="A153" s="2">
        <v>149</v>
      </c>
      <c r="B153" s="2"/>
      <c r="C153" s="1">
        <v>1000</v>
      </c>
      <c r="D153" s="2">
        <f t="shared" si="53"/>
        <v>6283.1853071795858</v>
      </c>
      <c r="E153" s="2"/>
      <c r="F153" s="2">
        <f>$D153*BASE!E$15/100/E$3</f>
        <v>1.1506996347450986</v>
      </c>
      <c r="G153" s="2">
        <f>$D153*BASE!F$15/100/F$3</f>
        <v>1.1506996347450986</v>
      </c>
      <c r="H153" s="2">
        <f>$D153*BASE!G$15/100/G$3</f>
        <v>1.1506996347450986</v>
      </c>
      <c r="I153" s="2">
        <f>(1-BESSELJ(2*F153,1)/F153)*BASE!K$13*E$2*E$3</f>
        <v>2.7334143215140116</v>
      </c>
      <c r="J153" s="2">
        <f>(1-BESSELJ(2*G153,1)/G153)*BASE!L$13*F$2*F$3</f>
        <v>2.7334143215140116</v>
      </c>
      <c r="K153" s="2">
        <f>(1-BESSELJ(2*H153,1)/H153)*BASE!M$13*G$2*G$3</f>
        <v>2.7334143215140116</v>
      </c>
      <c r="L153" s="2" t="str">
        <f>IMPRODUCT(COMPLEX(1-BESSELJ(2*F153,1)/F153,(STRUVE(2*F153)/(2*F153^2))),PI()*(BASE!E$15/100)^2*E$2*E$3)</f>
        <v>2.73341432151401+3.49951993780254i</v>
      </c>
      <c r="M153" s="2" t="str">
        <f>IMPRODUCT(COMPLEX(1-BESSELJ(2*G153,1)/G153,(STRUVE(2*G153)/(2*G153^2))),PI()*(BASE!F$15/100)^2*F$2*F$3)</f>
        <v>2.73341432151401+3.49951993780254i</v>
      </c>
      <c r="N153" s="2" t="str">
        <f>IMPRODUCT(COMPLEX(1-BESSELJ(2*H153,1)/H153,(STRUVE(2*H153)/(2*H153^2))),PI()*(BASE!G$15/100)^2*G$2*G$3)</f>
        <v>2.73341432151401+3.49951993780254i</v>
      </c>
      <c r="O153" s="2" t="str">
        <f>IMSUM(IMPRODUCT(IF($O$3=1,L153,COMPLEX(I153,$D153*BASE!K$15)),2),COMPLEX(BASE!E$36,$D153*BASE!K$14-BASE!K$10/$D153))</f>
        <v>6.26682864302802+37.3828340292723i</v>
      </c>
      <c r="P153" s="2" t="str">
        <f>IMSUM(IMPRODUCT(IF($O$3=1,M153,COMPLEX(J153,$D153*BASE!L$15)),2),COMPLEX(BASE!F$36,$D153*BASE!L$14-BASE!L$10/$D153))</f>
        <v>6.26682864302802+37.2658551460998i</v>
      </c>
      <c r="Q153" s="2" t="str">
        <f>IMSUM(IMPRODUCT(IF($O$3=1,N153,COMPLEX(K153,$D153*BASE!M$15)),2),COMPLEX(BASE!G$36,$D153*BASE!M$14-BASE!M$10/$D153))</f>
        <v>6.26682864302802+37.0318973797547i</v>
      </c>
      <c r="R153" s="2" t="str">
        <f>COMPLEX(BASE!E$19,FRES!$D153*BASE!K$36)</f>
        <v>7.2+1.74926165909388i</v>
      </c>
      <c r="S153" s="2" t="str">
        <f>COMPLEX(BASE!F$19,FRES!$D153*BASE!L$36)</f>
        <v>7.2+1.74926165909388i</v>
      </c>
      <c r="T153" s="2" t="str">
        <f>COMPLEX(BASE!G$19,FRES!$D153*BASE!M$36)</f>
        <v>7.2+1.74926165909388i</v>
      </c>
      <c r="U153" s="2" t="str">
        <f>IMDIV(BASE!K$21*BASE!E$38,IMPRODUCT(FRES!R153,IMSUM(FRES!O153,IMDIV(BASE!K$21^2,FRES!R153))))</f>
        <v>-0.00120106512767727-0.0309007232695162i</v>
      </c>
      <c r="V153" s="2" t="str">
        <f>IMDIV(BASE!L$21*BASE!F$38,IMPRODUCT(FRES!S153,IMSUM(FRES!P153,IMDIV(BASE!L$21^2,FRES!S153))))</f>
        <v>-0.00118566731267297-0.0309953833660271i</v>
      </c>
      <c r="W153" s="2" t="str">
        <f>IMDIV(BASE!M$21*BASE!G$38,IMPRODUCT(FRES!T153,IMSUM(FRES!Q153,IMDIV(BASE!M$21^2,FRES!T153))))</f>
        <v>-0.00115423482916247-0.0311863822883477i</v>
      </c>
      <c r="X153" s="2" t="str">
        <f t="shared" si="54"/>
        <v>-4.91800285345825E-06+1.91155452045136E-07i</v>
      </c>
      <c r="Y153" s="2" t="str">
        <f t="shared" si="74"/>
        <v>-4.93306847573152E-06+1.88704813674387E-07i</v>
      </c>
      <c r="Z153" s="2" t="str">
        <f t="shared" si="74"/>
        <v>-4.96346689834407E-06+1.83702178550036E-07i</v>
      </c>
      <c r="AA153" s="44" t="str">
        <f>IMPRODUCT(COMPLEX(0,$D153),U153,E$2,BASE!E$15^2/10000,1/(2*BASE!$U$3))</f>
        <v>0.462360646577826-0.017971270257055i</v>
      </c>
      <c r="AB153" s="44" t="str">
        <f>IMPRODUCT(COMPLEX(0,$D153),V153,F$2,BASE!F$15^2/10000,1/(2*BASE!$U$3))</f>
        <v>0.46377702453915-0.0177408761773055i</v>
      </c>
      <c r="AC153" s="44" t="str">
        <f>IMPRODUCT(COMPLEX(0,$D153),W153,G$2,BASE!G$15^2/10000,1/(2*BASE!$U$3))</f>
        <v>0.466634898914762-0.0172705589205635i</v>
      </c>
      <c r="AD153" s="44">
        <f t="shared" si="55"/>
        <v>-3.8848955864527357E-2</v>
      </c>
      <c r="AE153" s="44">
        <f t="shared" si="56"/>
        <v>-3.8234387333760528E-2</v>
      </c>
      <c r="AF153" s="44">
        <f t="shared" si="57"/>
        <v>-3.6993974682774794E-2</v>
      </c>
      <c r="AG153" s="31">
        <f t="shared" si="58"/>
        <v>87.285573535921529</v>
      </c>
      <c r="AH153" s="31">
        <f t="shared" si="59"/>
        <v>87.31193504657945</v>
      </c>
      <c r="AI153" s="31">
        <f t="shared" si="60"/>
        <v>87.364889316035942</v>
      </c>
      <c r="AJ153" s="2" t="str">
        <f>IMSUM(R153,IMDIV(BASE!K$21^2,FRES!O153))</f>
        <v>7.24092858581794+1.50511479983886i</v>
      </c>
      <c r="AK153" s="2" t="str">
        <f>IMSUM(S153,IMDIV(BASE!L$21^2,FRES!P153))</f>
        <v>7.24117886399747+1.50439050205055i</v>
      </c>
      <c r="AL153" s="2" t="str">
        <f>IMSUM(T153,IMDIV(BASE!M$21^2,FRES!Q153))</f>
        <v>7.24168629030973+1.50292934129388i</v>
      </c>
      <c r="AM153" s="31">
        <f t="shared" si="73"/>
        <v>3.0924056267251587E-2</v>
      </c>
      <c r="AN153" s="31">
        <f t="shared" si="73"/>
        <v>3.1018052759374349E-2</v>
      </c>
      <c r="AO153" s="31">
        <f t="shared" si="73"/>
        <v>3.1207734590575756E-2</v>
      </c>
      <c r="AP153" s="31">
        <f t="shared" si="61"/>
        <v>6.9603581047917463E-3</v>
      </c>
      <c r="AQ153" s="31">
        <f t="shared" si="62"/>
        <v>6.9815147486716658E-3</v>
      </c>
      <c r="AR153" s="31">
        <f t="shared" si="63"/>
        <v>7.0242081605489644E-3</v>
      </c>
      <c r="AS153" s="2">
        <f t="shared" si="64"/>
        <v>109.87633993280403</v>
      </c>
      <c r="AT153" s="2">
        <f t="shared" si="65"/>
        <v>109.87829616519484</v>
      </c>
      <c r="AU153" s="2">
        <f t="shared" si="66"/>
        <v>109.88224452129239</v>
      </c>
      <c r="AV153" s="2">
        <f t="shared" si="67"/>
        <v>109.87633993280403</v>
      </c>
      <c r="AW153" s="2">
        <f t="shared" si="68"/>
        <v>109.87829616519484</v>
      </c>
      <c r="AX153" s="2">
        <f t="shared" si="69"/>
        <v>109.88224452129239</v>
      </c>
      <c r="AY153">
        <f t="shared" si="70"/>
        <v>7.3957026269049901</v>
      </c>
      <c r="AZ153">
        <f t="shared" si="71"/>
        <v>7.3958003030817157</v>
      </c>
      <c r="BA153">
        <f t="shared" si="72"/>
        <v>7.396000063019331</v>
      </c>
    </row>
    <row r="154" spans="1:53" x14ac:dyDescent="0.2">
      <c r="A154" s="2">
        <v>150</v>
      </c>
      <c r="B154" s="2"/>
      <c r="C154" s="1">
        <v>1080.0597388923061</v>
      </c>
      <c r="D154" s="2">
        <f t="shared" si="53"/>
        <v>6786.2154822843577</v>
      </c>
      <c r="E154" s="2"/>
      <c r="F154" s="2">
        <f>$D154*BASE!E$15/100/E$3</f>
        <v>1.2428243470462632</v>
      </c>
      <c r="G154" s="2">
        <f>$D154*BASE!F$15/100/F$3</f>
        <v>1.2428243470462632</v>
      </c>
      <c r="H154" s="2">
        <f>$D154*BASE!G$15/100/G$3</f>
        <v>1.2428243470462632</v>
      </c>
      <c r="I154" s="2">
        <f>(1-BESSELJ(2*F154,1)/F154)*BASE!K$13*E$2*E$3</f>
        <v>3.0739073002636874</v>
      </c>
      <c r="J154" s="2">
        <f>(1-BESSELJ(2*G154,1)/G154)*BASE!L$13*F$2*F$3</f>
        <v>3.0739073002636874</v>
      </c>
      <c r="K154" s="2">
        <f>(1-BESSELJ(2*H154,1)/H154)*BASE!M$13*G$2*G$3</f>
        <v>3.0739073002636874</v>
      </c>
      <c r="L154" s="2" t="str">
        <f>IMPRODUCT(COMPLEX(1-BESSELJ(2*F154,1)/F154,(STRUVE(2*F154)/(2*F154^2))),PI()*(BASE!E$15/100)^2*E$2*E$3)</f>
        <v>3.07390730026369+3.55181211235582i</v>
      </c>
      <c r="M154" s="2" t="str">
        <f>IMPRODUCT(COMPLEX(1-BESSELJ(2*G154,1)/G154,(STRUVE(2*G154)/(2*G154^2))),PI()*(BASE!F$15/100)^2*F$2*F$3)</f>
        <v>3.07390730026369+3.55181211235582i</v>
      </c>
      <c r="N154" s="2" t="str">
        <f>IMPRODUCT(COMPLEX(1-BESSELJ(2*H154,1)/H154,(STRUVE(2*H154)/(2*H154^2))),PI()*(BASE!G$15/100)^2*G$2*G$3)</f>
        <v>3.07390730026369+3.55181211235582i</v>
      </c>
      <c r="O154" s="2" t="str">
        <f>IMSUM(IMPRODUCT(IF($O$3=1,L154,COMPLEX(I154,$D154*BASE!K$15)),2),COMPLEX(BASE!E$36,$D154*BASE!K$14-BASE!K$10/$D154))</f>
        <v>6.94781460052738+40.3937182006654i</v>
      </c>
      <c r="P154" s="2" t="str">
        <f>IMSUM(IMPRODUCT(IF($O$3=1,M154,COMPLEX(J154,$D154*BASE!L$15)),2),COMPLEX(BASE!F$36,$D154*BASE!L$14-BASE!L$10/$D154))</f>
        <v>6.94781460052738+40.2854104108643i</v>
      </c>
      <c r="Q154" s="2" t="str">
        <f>IMSUM(IMPRODUCT(IF($O$3=1,N154,COMPLEX(K154,$D154*BASE!M$15)),2),COMPLEX(BASE!G$36,$D154*BASE!M$14-BASE!M$10/$D154))</f>
        <v>6.94781460052738+40.0687948312622i</v>
      </c>
      <c r="R154" s="2" t="str">
        <f>COMPLEX(BASE!E$19,FRES!$D154*BASE!K$36)</f>
        <v>7.2+1.88930709077526i</v>
      </c>
      <c r="S154" s="2" t="str">
        <f>COMPLEX(BASE!F$19,FRES!$D154*BASE!L$36)</f>
        <v>7.2+1.88930709077526i</v>
      </c>
      <c r="T154" s="2" t="str">
        <f>COMPLEX(BASE!G$19,FRES!$D154*BASE!M$36)</f>
        <v>7.2+1.88930709077526i</v>
      </c>
      <c r="U154" s="2" t="str">
        <f>IMDIV(BASE!K$21*BASE!E$38,IMPRODUCT(FRES!R154,IMSUM(FRES!O154,IMDIV(BASE!K$21^2,FRES!R154))))</f>
        <v>-0.00158158486811891-0.0284319263908512i</v>
      </c>
      <c r="V154" s="2" t="str">
        <f>IMDIV(BASE!L$21*BASE!F$38,IMPRODUCT(FRES!S154,IMSUM(FRES!P154,IMDIV(BASE!L$21^2,FRES!S154))))</f>
        <v>-0.00157058460068578-0.0285067299461312i</v>
      </c>
      <c r="W154" s="2" t="str">
        <f>IMDIV(BASE!M$21*BASE!G$38,IMPRODUCT(FRES!T154,IMSUM(FRES!Q154,IMDIV(BASE!M$21^2,FRES!T154))))</f>
        <v>-0.00154817041089341-0.0286574750137544i</v>
      </c>
      <c r="X154" s="2" t="str">
        <f t="shared" si="54"/>
        <v>-0.0000041896586492241+2.33058450950709E-07i</v>
      </c>
      <c r="Y154" s="2" t="str">
        <f t="shared" si="74"/>
        <v>-0.0000042006815168998+2.31437478633834E-07i</v>
      </c>
      <c r="Z154" s="2" t="str">
        <f t="shared" si="74"/>
        <v>-4.22289493880141E-06+2.28134578828945E-07i</v>
      </c>
      <c r="AA154" s="44" t="str">
        <f>IMPRODUCT(COMPLEX(0,$D154),U154,E$2,BASE!E$15^2/10000,1/(2*BASE!$U$3))</f>
        <v>0.459479649424828-0.025559508376215i</v>
      </c>
      <c r="AB154" s="44" t="str">
        <f>IMPRODUCT(COMPLEX(0,$D154),V154,F$2,BASE!F$15^2/10000,1/(2*BASE!$U$3))</f>
        <v>0.460688526758122-0.0253817364252655i</v>
      </c>
      <c r="AC154" s="44" t="str">
        <f>IMPRODUCT(COMPLEX(0,$D154),W154,G$2,BASE!G$15^2/10000,1/(2*BASE!$U$3))</f>
        <v>0.463124671600081-0.0250195075728704i</v>
      </c>
      <c r="AD154" s="44">
        <f t="shared" si="55"/>
        <v>-5.5569803168983696E-2</v>
      </c>
      <c r="AE154" s="44">
        <f t="shared" si="56"/>
        <v>-5.5039575936463976E-2</v>
      </c>
      <c r="AF154" s="44">
        <f t="shared" si="57"/>
        <v>-5.3970802500324377E-2</v>
      </c>
      <c r="AG154" s="31">
        <f t="shared" si="58"/>
        <v>87.238143642082363</v>
      </c>
      <c r="AH154" s="31">
        <f t="shared" si="59"/>
        <v>87.2607109854182</v>
      </c>
      <c r="AI154" s="31">
        <f t="shared" si="60"/>
        <v>87.30601491630766</v>
      </c>
      <c r="AJ154" s="2" t="str">
        <f>IMSUM(R154,IMDIV(BASE!K$21^2,FRES!O154))</f>
        <v>7.2388077426744+1.66368376722332i</v>
      </c>
      <c r="AK154" s="2" t="str">
        <f>IMSUM(S154,IMDIV(BASE!L$21^2,FRES!P154))</f>
        <v>7.23901065777906+1.66311217202944i</v>
      </c>
      <c r="AL154" s="2" t="str">
        <f>IMSUM(T154,IMDIV(BASE!M$21^2,FRES!Q154))</f>
        <v>7.23942124338443+1.66196053592564i</v>
      </c>
      <c r="AM154" s="31">
        <f t="shared" si="73"/>
        <v>2.8475881882565873E-2</v>
      </c>
      <c r="AN154" s="31">
        <f t="shared" si="73"/>
        <v>2.8549963015905375E-2</v>
      </c>
      <c r="AO154" s="31">
        <f t="shared" si="73"/>
        <v>2.8699263157529388E-2</v>
      </c>
      <c r="AP154" s="31">
        <f t="shared" si="61"/>
        <v>5.9342321893532035E-3</v>
      </c>
      <c r="AQ154" s="31">
        <f t="shared" si="62"/>
        <v>5.9496703291762303E-3</v>
      </c>
      <c r="AR154" s="31">
        <f t="shared" si="63"/>
        <v>5.9807837363027982E-3</v>
      </c>
      <c r="AS154" s="2">
        <f t="shared" si="64"/>
        <v>109.82311582278025</v>
      </c>
      <c r="AT154" s="2">
        <f t="shared" si="65"/>
        <v>109.82480358848061</v>
      </c>
      <c r="AU154" s="2">
        <f t="shared" si="66"/>
        <v>109.82820559998873</v>
      </c>
      <c r="AV154" s="2">
        <f t="shared" si="67"/>
        <v>109.82311582278025</v>
      </c>
      <c r="AW154" s="2">
        <f t="shared" si="68"/>
        <v>109.82480358848061</v>
      </c>
      <c r="AX154" s="2">
        <f t="shared" si="69"/>
        <v>109.82820559998873</v>
      </c>
      <c r="AY154">
        <f t="shared" si="70"/>
        <v>7.4275286073313245</v>
      </c>
      <c r="AZ154">
        <f t="shared" si="71"/>
        <v>7.4275983601828726</v>
      </c>
      <c r="BA154">
        <f t="shared" si="72"/>
        <v>7.4277407576018701</v>
      </c>
    </row>
    <row r="155" spans="1:53" x14ac:dyDescent="0.2">
      <c r="A155" s="2">
        <v>151</v>
      </c>
      <c r="B155" s="2"/>
      <c r="C155" s="1">
        <v>1166.5290395761165</v>
      </c>
      <c r="D155" s="2">
        <f t="shared" si="53"/>
        <v>7329.5181218629687</v>
      </c>
      <c r="E155" s="2"/>
      <c r="F155" s="2">
        <f>$D155*BASE!E$15/100/E$3</f>
        <v>1.3423245397597878</v>
      </c>
      <c r="G155" s="2">
        <f>$D155*BASE!F$15/100/F$3</f>
        <v>1.3423245397597878</v>
      </c>
      <c r="H155" s="2">
        <f>$D155*BASE!G$15/100/G$3</f>
        <v>1.3423245397597878</v>
      </c>
      <c r="I155" s="2">
        <f>(1-BESSELJ(2*F155,1)/F155)*BASE!K$13*E$2*E$3</f>
        <v>3.4359668276023938</v>
      </c>
      <c r="J155" s="2">
        <f>(1-BESSELJ(2*G155,1)/G155)*BASE!L$13*F$2*F$3</f>
        <v>3.4359668276023938</v>
      </c>
      <c r="K155" s="2">
        <f>(1-BESSELJ(2*H155,1)/H155)*BASE!M$13*G$2*G$3</f>
        <v>3.4359668276023938</v>
      </c>
      <c r="L155" s="2" t="str">
        <f>IMPRODUCT(COMPLEX(1-BESSELJ(2*F155,1)/F155,(STRUVE(2*F155)/(2*F155^2))),PI()*(BASE!E$15/100)^2*E$2*E$3)</f>
        <v>3.43596682760239+3.56527577913783i</v>
      </c>
      <c r="M155" s="2" t="str">
        <f>IMPRODUCT(COMPLEX(1-BESSELJ(2*G155,1)/G155,(STRUVE(2*G155)/(2*G155^2))),PI()*(BASE!F$15/100)^2*F$2*F$3)</f>
        <v>3.43596682760239+3.56527577913783i</v>
      </c>
      <c r="N155" s="2" t="str">
        <f>IMPRODUCT(COMPLEX(1-BESSELJ(2*H155,1)/H155,(STRUVE(2*H155)/(2*H155^2))),PI()*(BASE!G$15/100)^2*G$2*G$3)</f>
        <v>3.43596682760239+3.56527577913783i</v>
      </c>
      <c r="O155" s="2" t="str">
        <f>IMSUM(IMPRODUCT(IF($O$3=1,L155,COMPLEX(I155,$D155*BASE!K$15)),2),COMPLEX(BASE!E$36,$D155*BASE!K$14-BASE!K$10/$D155))</f>
        <v>7.67193365520478+43.6443169206827i</v>
      </c>
      <c r="P155" s="2" t="str">
        <f>IMSUM(IMPRODUCT(IF($O$3=1,M155,COMPLEX(J155,$D155*BASE!L$15)),2),COMPLEX(BASE!F$36,$D155*BASE!L$14-BASE!L$10/$D155))</f>
        <v>7.67193365520478+43.5440374769621i</v>
      </c>
      <c r="Q155" s="2" t="str">
        <f>IMSUM(IMPRODUCT(IF($O$3=1,N155,COMPLEX(K155,$D155*BASE!M$15)),2),COMPLEX(BASE!G$36,$D155*BASE!M$14-BASE!M$10/$D155))</f>
        <v>7.67193365520478+43.3434785895211i</v>
      </c>
      <c r="R155" s="2" t="str">
        <f>COMPLEX(BASE!E$19,FRES!$D155*BASE!K$36)</f>
        <v>7.2+2.04056452315011i</v>
      </c>
      <c r="S155" s="2" t="str">
        <f>COMPLEX(BASE!F$19,FRES!$D155*BASE!L$36)</f>
        <v>7.2+2.04056452315011i</v>
      </c>
      <c r="T155" s="2" t="str">
        <f>COMPLEX(BASE!G$19,FRES!$D155*BASE!M$36)</f>
        <v>7.2+2.04056452315011i</v>
      </c>
      <c r="U155" s="2" t="str">
        <f>IMDIV(BASE!K$21*BASE!E$38,IMPRODUCT(FRES!R155,IMSUM(FRES!O155,IMDIV(BASE!K$21^2,FRES!R155))))</f>
        <v>-0.00193598208011422-0.0261345557476402i</v>
      </c>
      <c r="V155" s="2" t="str">
        <f>IMDIV(BASE!L$21*BASE!F$38,IMPRODUCT(FRES!S155,IMSUM(FRES!P155,IMDIV(BASE!L$21^2,FRES!S155))))</f>
        <v>-0.00192833235791141-0.0261936463878082i</v>
      </c>
      <c r="W155" s="2" t="str">
        <f>IMDIV(BASE!M$21*BASE!G$38,IMPRODUCT(FRES!T155,IMSUM(FRES!Q155,IMDIV(BASE!M$21^2,FRES!T155))))</f>
        <v>-0.00191276653071564-0.026312599463816i</v>
      </c>
      <c r="X155" s="2" t="str">
        <f t="shared" si="54"/>
        <v>-3.56565811191384E-06+2.64134974213304E-07i</v>
      </c>
      <c r="Y155" s="2" t="str">
        <f t="shared" si="74"/>
        <v>-3.57372012079158E-06+2.6309128729206E-07i</v>
      </c>
      <c r="Z155" s="2" t="str">
        <f t="shared" si="74"/>
        <v>-3.58994943819418E-06+2.6096756961554E-07i</v>
      </c>
      <c r="AA155" s="44" t="str">
        <f>IMPRODUCT(COMPLEX(0,$D155),U155,E$2,BASE!E$15^2/10000,1/(2*BASE!$U$3))</f>
        <v>0.45616598108276-0.0337916272027577i</v>
      </c>
      <c r="AB155" s="44" t="str">
        <f>IMPRODUCT(COMPLEX(0,$D155),V155,F$2,BASE!F$15^2/10000,1/(2*BASE!$U$3))</f>
        <v>0.457197379515751-0.0336581050159889i</v>
      </c>
      <c r="AC155" s="44" t="str">
        <f>IMPRODUCT(COMPLEX(0,$D155),W155,G$2,BASE!G$15^2/10000,1/(2*BASE!$U$3))</f>
        <v>0.459273647700444-0.03338641106019i</v>
      </c>
      <c r="AD155" s="44">
        <f t="shared" si="55"/>
        <v>-7.394242687705431E-2</v>
      </c>
      <c r="AE155" s="44">
        <f t="shared" si="56"/>
        <v>-7.3485759868624656E-2</v>
      </c>
      <c r="AF155" s="44">
        <f t="shared" si="57"/>
        <v>-7.2566296454064011E-2</v>
      </c>
      <c r="AG155" s="31">
        <f t="shared" si="58"/>
        <v>87.185624616909394</v>
      </c>
      <c r="AH155" s="31">
        <f t="shared" si="59"/>
        <v>87.2049484588902</v>
      </c>
      <c r="AI155" s="31">
        <f t="shared" si="60"/>
        <v>87.24372009945094</v>
      </c>
      <c r="AJ155" s="2" t="str">
        <f>IMSUM(R155,IMDIV(BASE!K$21^2,FRES!O155))</f>
        <v>7.23666004329996+1.83201181401346i</v>
      </c>
      <c r="AK155" s="2" t="str">
        <f>IMSUM(S155,IMDIV(BASE!L$21^2,FRES!P155))</f>
        <v>7.23682400014225+1.83156041619228i</v>
      </c>
      <c r="AL155" s="2" t="str">
        <f>IMSUM(T155,IMDIV(BASE!M$21^2,FRES!Q155))</f>
        <v>7.23715519609905+1.83065193540034i</v>
      </c>
      <c r="AM155" s="31">
        <f t="shared" si="73"/>
        <v>2.6206163983708806E-2</v>
      </c>
      <c r="AN155" s="31">
        <f t="shared" si="73"/>
        <v>2.6264530773880312E-2</v>
      </c>
      <c r="AO155" s="31">
        <f t="shared" si="73"/>
        <v>2.6382031126208537E-2</v>
      </c>
      <c r="AP155" s="31">
        <f t="shared" si="61"/>
        <v>5.0564187041145297E-3</v>
      </c>
      <c r="AQ155" s="31">
        <f t="shared" si="62"/>
        <v>5.0676804412274432E-3</v>
      </c>
      <c r="AR155" s="31">
        <f t="shared" si="63"/>
        <v>5.090351862333635E-3</v>
      </c>
      <c r="AS155" s="2">
        <f t="shared" si="64"/>
        <v>109.76463394516611</v>
      </c>
      <c r="AT155" s="2">
        <f t="shared" si="65"/>
        <v>109.76608756140088</v>
      </c>
      <c r="AU155" s="2">
        <f t="shared" si="66"/>
        <v>109.76901430434927</v>
      </c>
      <c r="AV155" s="2">
        <f t="shared" si="67"/>
        <v>109.76463394516611</v>
      </c>
      <c r="AW155" s="2">
        <f t="shared" si="68"/>
        <v>109.76608756140088</v>
      </c>
      <c r="AX155" s="2">
        <f t="shared" si="69"/>
        <v>109.76901430434927</v>
      </c>
      <c r="AY155">
        <f t="shared" si="70"/>
        <v>7.4649525027945804</v>
      </c>
      <c r="AZ155">
        <f t="shared" si="71"/>
        <v>7.465000680991082</v>
      </c>
      <c r="BA155">
        <f t="shared" si="72"/>
        <v>7.4650989170277224</v>
      </c>
    </row>
    <row r="156" spans="1:53" x14ac:dyDescent="0.2">
      <c r="A156" s="2">
        <v>152</v>
      </c>
      <c r="B156" s="2"/>
      <c r="C156" s="1">
        <v>1259.9210498948732</v>
      </c>
      <c r="D156" s="2">
        <f t="shared" si="53"/>
        <v>7916.3174289057461</v>
      </c>
      <c r="E156" s="2"/>
      <c r="F156" s="2">
        <f>$D156*BASE!E$15/100/E$3</f>
        <v>1.4497906919216919</v>
      </c>
      <c r="G156" s="2">
        <f>$D156*BASE!F$15/100/F$3</f>
        <v>1.4497906919216919</v>
      </c>
      <c r="H156" s="2">
        <f>$D156*BASE!G$15/100/G$3</f>
        <v>1.4497906919216919</v>
      </c>
      <c r="I156" s="2">
        <f>(1-BESSELJ(2*F156,1)/F156)*BASE!K$13*E$2*E$3</f>
        <v>3.8137886341840943</v>
      </c>
      <c r="J156" s="2">
        <f>(1-BESSELJ(2*G156,1)/G156)*BASE!L$13*F$2*F$3</f>
        <v>3.8137886341840943</v>
      </c>
      <c r="K156" s="2">
        <f>(1-BESSELJ(2*H156,1)/H156)*BASE!M$13*G$2*G$3</f>
        <v>3.8137886341840943</v>
      </c>
      <c r="L156" s="2" t="str">
        <f>IMPRODUCT(COMPLEX(1-BESSELJ(2*F156,1)/F156,(STRUVE(2*F156)/(2*F156^2))),PI()*(BASE!E$15/100)^2*E$2*E$3)</f>
        <v>3.81378863418409+3.53203241175925i</v>
      </c>
      <c r="M156" s="2" t="str">
        <f>IMPRODUCT(COMPLEX(1-BESSELJ(2*G156,1)/G156,(STRUVE(2*G156)/(2*G156^2))),PI()*(BASE!F$15/100)^2*F$2*F$3)</f>
        <v>3.81378863418409+3.53203241175925i</v>
      </c>
      <c r="N156" s="2" t="str">
        <f>IMPRODUCT(COMPLEX(1-BESSELJ(2*H156,1)/H156,(STRUVE(2*H156)/(2*H156^2))),PI()*(BASE!G$15/100)^2*G$2*G$3)</f>
        <v>3.81378863418409+3.53203241175925i</v>
      </c>
      <c r="O156" s="2" t="str">
        <f>IMSUM(IMPRODUCT(IF($O$3=1,L156,COMPLEX(I156,$D156*BASE!K$15)),2),COMPLEX(BASE!E$36,$D156*BASE!K$14-BASE!K$10/$D156))</f>
        <v>8.42757726836818+47.1539207087326i</v>
      </c>
      <c r="P156" s="2" t="str">
        <f>IMSUM(IMPRODUCT(IF($O$3=1,M156,COMPLEX(J156,$D156*BASE!L$15)),2),COMPLEX(BASE!F$36,$D156*BASE!L$14-BASE!L$10/$D156))</f>
        <v>8.42757726836818+47.0610745076295i</v>
      </c>
      <c r="Q156" s="2" t="str">
        <f>IMSUM(IMPRODUCT(IF($O$3=1,N156,COMPLEX(K156,$D156*BASE!M$15)),2),COMPLEX(BASE!G$36,$D156*BASE!M$14-BASE!M$10/$D156))</f>
        <v>8.42757726836818+46.8753821054233i</v>
      </c>
      <c r="R156" s="2" t="str">
        <f>COMPLEX(BASE!E$19,FRES!$D156*BASE!K$36)</f>
        <v>7.2+2.20393158606641i</v>
      </c>
      <c r="S156" s="2" t="str">
        <f>COMPLEX(BASE!F$19,FRES!$D156*BASE!L$36)</f>
        <v>7.2+2.20393158606641i</v>
      </c>
      <c r="T156" s="2" t="str">
        <f>COMPLEX(BASE!G$19,FRES!$D156*BASE!M$36)</f>
        <v>7.2+2.20393158606641i</v>
      </c>
      <c r="U156" s="2" t="str">
        <f>IMDIV(BASE!K$21*BASE!E$38,IMPRODUCT(FRES!R156,IMSUM(FRES!O156,IMDIV(BASE!K$21^2,FRES!R156))))</f>
        <v>-0.00226907236612302-0.0239948168011075i</v>
      </c>
      <c r="V156" s="2" t="str">
        <f>IMDIV(BASE!L$21*BASE!F$38,IMPRODUCT(FRES!S156,IMSUM(FRES!P156,IMDIV(BASE!L$21^2,FRES!S156))))</f>
        <v>-0.00226397261026675-0.0240414751231835i</v>
      </c>
      <c r="W156" s="2" t="str">
        <f>IMDIV(BASE!M$21*BASE!G$38,IMPRODUCT(FRES!T156,IMSUM(FRES!Q156,IMDIV(BASE!M$21^2,FRES!T156))))</f>
        <v>-0.00225360368431341-0.0241353155757933i</v>
      </c>
      <c r="X156" s="2" t="str">
        <f t="shared" si="54"/>
        <v>-3.03105794033631E-06+2.86632311867346E-07i</v>
      </c>
      <c r="Y156" s="2" t="str">
        <f t="shared" si="74"/>
        <v>-3.03695188313169E-06+2.85988103761485E-07i</v>
      </c>
      <c r="Z156" s="2" t="str">
        <f t="shared" si="74"/>
        <v>-3.04880593692028E-06+2.84678286912116E-07i</v>
      </c>
      <c r="AA156" s="44" t="str">
        <f>IMPRODUCT(COMPLEX(0,$D156),U156,E$2,BASE!E$15^2/10000,1/(2*BASE!$U$3))</f>
        <v>0.452348326562522-0.0427763669201107i</v>
      </c>
      <c r="AB156" s="44" t="str">
        <f>IMPRODUCT(COMPLEX(0,$D156),V156,F$2,BASE!F$15^2/10000,1/(2*BASE!$U$3))</f>
        <v>0.45322792543949-0.0426802267392298i</v>
      </c>
      <c r="AC156" s="44" t="str">
        <f>IMPRODUCT(COMPLEX(0,$D156),W156,G$2,BASE!G$15^2/10000,1/(2*BASE!$U$3))</f>
        <v>0.454996997987689-0.0424847525940375i</v>
      </c>
      <c r="AD156" s="44">
        <f t="shared" si="55"/>
        <v>-9.4284723017886693E-2</v>
      </c>
      <c r="AE156" s="44">
        <f t="shared" si="56"/>
        <v>-9.3892565451666382E-2</v>
      </c>
      <c r="AF156" s="44">
        <f t="shared" si="57"/>
        <v>-9.3103745339105412E-2</v>
      </c>
      <c r="AG156" s="31">
        <f t="shared" si="58"/>
        <v>87.127524264468065</v>
      </c>
      <c r="AH156" s="31">
        <f t="shared" si="59"/>
        <v>87.144076284564576</v>
      </c>
      <c r="AI156" s="31">
        <f t="shared" si="60"/>
        <v>87.177271206226777</v>
      </c>
      <c r="AJ156" s="2" t="str">
        <f>IMSUM(R156,IMDIV(BASE!K$21^2,FRES!O156))</f>
        <v>7.23446446542197+2.01109625296588i</v>
      </c>
      <c r="AK156" s="2" t="str">
        <f>IMSUM(S156,IMDIV(BASE!L$21^2,FRES!P156))</f>
        <v>7.23459635892916+2.01073942971929i</v>
      </c>
      <c r="AL156" s="2" t="str">
        <f>IMSUM(T156,IMDIV(BASE!M$21^2,FRES!Q156))</f>
        <v>7.23486240284196+2.01002194842192i</v>
      </c>
      <c r="AM156" s="31">
        <f t="shared" si="73"/>
        <v>2.4101865544422361E-2</v>
      </c>
      <c r="AN156" s="31">
        <f t="shared" si="73"/>
        <v>2.4147838372796212E-2</v>
      </c>
      <c r="AO156" s="31">
        <f t="shared" si="73"/>
        <v>2.4240300895597016E-2</v>
      </c>
      <c r="AP156" s="31">
        <f t="shared" si="61"/>
        <v>4.3056870113565423E-3</v>
      </c>
      <c r="AQ156" s="31">
        <f t="shared" si="62"/>
        <v>4.313899844908365E-3</v>
      </c>
      <c r="AR156" s="31">
        <f t="shared" si="63"/>
        <v>4.3304178477462348E-3</v>
      </c>
      <c r="AS156" s="2">
        <f t="shared" si="64"/>
        <v>109.69988240547306</v>
      </c>
      <c r="AT156" s="2">
        <f t="shared" si="65"/>
        <v>109.70113068177577</v>
      </c>
      <c r="AU156" s="2">
        <f t="shared" si="66"/>
        <v>109.70364157417825</v>
      </c>
      <c r="AV156" s="2">
        <f t="shared" si="67"/>
        <v>109.69988240547306</v>
      </c>
      <c r="AW156" s="2">
        <f t="shared" si="68"/>
        <v>109.70113068177577</v>
      </c>
      <c r="AX156" s="2">
        <f t="shared" si="69"/>
        <v>109.70364157417825</v>
      </c>
      <c r="AY156">
        <f t="shared" si="70"/>
        <v>7.5087937939556317</v>
      </c>
      <c r="AZ156">
        <f t="shared" si="71"/>
        <v>7.5088253096512307</v>
      </c>
      <c r="BA156">
        <f t="shared" si="72"/>
        <v>7.5088895464771621</v>
      </c>
    </row>
    <row r="157" spans="1:53" x14ac:dyDescent="0.2">
      <c r="A157" s="2">
        <v>153</v>
      </c>
      <c r="B157" s="2"/>
      <c r="C157" s="1">
        <v>1360.7900001743769</v>
      </c>
      <c r="D157" s="2">
        <f t="shared" si="53"/>
        <v>8550.0957352525511</v>
      </c>
      <c r="E157" s="2"/>
      <c r="F157" s="2">
        <f>$D157*BASE!E$15/100/E$3</f>
        <v>1.565860556165438</v>
      </c>
      <c r="G157" s="2">
        <f>$D157*BASE!F$15/100/F$3</f>
        <v>1.565860556165438</v>
      </c>
      <c r="H157" s="2">
        <f>$D157*BASE!G$15/100/G$3</f>
        <v>1.565860556165438</v>
      </c>
      <c r="I157" s="2">
        <f>(1-BESSELJ(2*F157,1)/F157)*BASE!K$13*E$2*E$3</f>
        <v>4.1988352040101962</v>
      </c>
      <c r="J157" s="2">
        <f>(1-BESSELJ(2*G157,1)/G157)*BASE!L$13*F$2*F$3</f>
        <v>4.1988352040101962</v>
      </c>
      <c r="K157" s="2">
        <f>(1-BESSELJ(2*H157,1)/H157)*BASE!M$13*G$2*G$3</f>
        <v>4.1988352040101962</v>
      </c>
      <c r="L157" s="2" t="str">
        <f>IMPRODUCT(COMPLEX(1-BESSELJ(2*F157,1)/F157,(STRUVE(2*F157)/(2*F157^2))),PI()*(BASE!E$15/100)^2*E$2*E$3)</f>
        <v>4.1988352040102+3.4445781108114i</v>
      </c>
      <c r="M157" s="2" t="str">
        <f>IMPRODUCT(COMPLEX(1-BESSELJ(2*G157,1)/G157,(STRUVE(2*G157)/(2*G157^2))),PI()*(BASE!F$15/100)^2*F$2*F$3)</f>
        <v>4.1988352040102+3.4445781108114i</v>
      </c>
      <c r="N157" s="2" t="str">
        <f>IMPRODUCT(COMPLEX(1-BESSELJ(2*H157,1)/H157,(STRUVE(2*H157)/(2*H157^2))),PI()*(BASE!G$15/100)^2*G$2*G$3)</f>
        <v>4.1988352040102+3.4445781108114i</v>
      </c>
      <c r="O157" s="2" t="str">
        <f>IMSUM(IMPRODUCT(IF($O$3=1,L157,COMPLEX(I157,$D157*BASE!K$15)),2),COMPLEX(BASE!E$36,$D157*BASE!K$14-BASE!K$10/$D157))</f>
        <v>9.1976704080204+50.943357137155i</v>
      </c>
      <c r="P157" s="2" t="str">
        <f>IMSUM(IMPRODUCT(IF($O$3=1,M157,COMPLEX(J157,$D157*BASE!L$15)),2),COMPLEX(BASE!F$36,$D157*BASE!L$14-BASE!L$10/$D157))</f>
        <v>9.1976704080204+50.8573931874217i</v>
      </c>
      <c r="Q157" s="2" t="str">
        <f>IMSUM(IMPRODUCT(IF($O$3=1,N157,COMPLEX(K157,$D157*BASE!M$15)),2),COMPLEX(BASE!G$36,$D157*BASE!M$14-BASE!M$10/$D157))</f>
        <v>9.1976704080204+50.6854652879552i</v>
      </c>
      <c r="R157" s="2" t="str">
        <f>COMPLEX(BASE!E$19,FRES!$D157*BASE!K$36)</f>
        <v>7.2+2.38037777338339i</v>
      </c>
      <c r="S157" s="2" t="str">
        <f>COMPLEX(BASE!F$19,FRES!$D157*BASE!L$36)</f>
        <v>7.2+2.38037777338339i</v>
      </c>
      <c r="T157" s="2" t="str">
        <f>COMPLEX(BASE!G$19,FRES!$D157*BASE!M$36)</f>
        <v>7.2+2.38037777338339i</v>
      </c>
      <c r="U157" s="2" t="str">
        <f>IMDIV(BASE!K$21*BASE!E$38,IMPRODUCT(FRES!R157,IMSUM(FRES!O157,IMDIV(BASE!K$21^2,FRES!R157))))</f>
        <v>-0.00258423410865952-0.0219996489144589i</v>
      </c>
      <c r="V157" s="2" t="str">
        <f>IMDIV(BASE!L$21*BASE!F$38,IMPRODUCT(FRES!S157,IMSUM(FRES!P157,IMDIV(BASE!L$21^2,FRES!S157))))</f>
        <v>-0.00258106821821348-0.0220364703124351i</v>
      </c>
      <c r="W157" s="2" t="str">
        <f>IMDIV(BASE!M$21*BASE!G$38,IMPRODUCT(FRES!T157,IMSUM(FRES!Q157,IMDIV(BASE!M$21^2,FRES!T157))))</f>
        <v>-0.00257463060353423-0.0221104688770339i</v>
      </c>
      <c r="X157" s="2" t="str">
        <f t="shared" si="54"/>
        <v>-0.0000025730295420849+3.0224621906917E-07i</v>
      </c>
      <c r="Y157" s="2" t="str">
        <f t="shared" si="74"/>
        <v>-2.57733609011855E-06+3.01875943630851E-07i</v>
      </c>
      <c r="Z157" s="2" t="str">
        <f t="shared" si="74"/>
        <v>-2.58599079608795E-06+3.0112301467209E-07i</v>
      </c>
      <c r="AA157" s="44" t="str">
        <f>IMPRODUCT(COMPLEX(0,$D157),U157,E$2,BASE!E$15^2/10000,1/(2*BASE!$U$3))</f>
        <v>0.447939207124258-0.0526181023232424i</v>
      </c>
      <c r="AB157" s="44" t="str">
        <f>IMPRODUCT(COMPLEX(0,$D157),V157,F$2,BASE!F$15^2/10000,1/(2*BASE!$U$3))</f>
        <v>0.448688934898496-0.0525536410010752i</v>
      </c>
      <c r="AC157" s="44" t="str">
        <f>IMPRODUCT(COMPLEX(0,$D157),W157,G$2,BASE!G$15^2/10000,1/(2*BASE!$U$3))</f>
        <v>0.450195634322819-0.0524225634540467i</v>
      </c>
      <c r="AD157" s="44">
        <f t="shared" si="55"/>
        <v>-0.11693120068781304</v>
      </c>
      <c r="AE157" s="44">
        <f t="shared" si="56"/>
        <v>-0.1165958692052296</v>
      </c>
      <c r="AF157" s="44">
        <f t="shared" si="57"/>
        <v>-0.11592190739739154</v>
      </c>
      <c r="AG157" s="31">
        <f t="shared" si="58"/>
        <v>87.063298113637288</v>
      </c>
      <c r="AH157" s="31">
        <f t="shared" si="59"/>
        <v>87.077482120105941</v>
      </c>
      <c r="AI157" s="31">
        <f t="shared" si="60"/>
        <v>87.105916855752469</v>
      </c>
      <c r="AJ157" s="2" t="str">
        <f>IMSUM(R157,IMDIV(BASE!K$21^2,FRES!O157))</f>
        <v>7.2322056240476+2.20199971297246i</v>
      </c>
      <c r="AK157" s="2" t="str">
        <f>IMSUM(S157,IMDIV(BASE!L$21^2,FRES!P157))</f>
        <v>7.23231113888462+2.20171728418435i</v>
      </c>
      <c r="AL157" s="2" t="str">
        <f>IMSUM(T157,IMDIV(BASE!M$21^2,FRES!Q157))</f>
        <v>7.23252371297767+2.20114983282493i</v>
      </c>
      <c r="AM157" s="31">
        <f t="shared" si="73"/>
        <v>2.2150910100666565E-2</v>
      </c>
      <c r="AN157" s="31">
        <f t="shared" si="73"/>
        <v>2.2187111956672174E-2</v>
      </c>
      <c r="AO157" s="31">
        <f t="shared" si="73"/>
        <v>2.225986425625592E-2</v>
      </c>
      <c r="AP157" s="31">
        <f t="shared" si="61"/>
        <v>3.6638323655383692E-3</v>
      </c>
      <c r="AQ157" s="31">
        <f t="shared" si="62"/>
        <v>3.6698202699234727E-3</v>
      </c>
      <c r="AR157" s="31">
        <f t="shared" si="63"/>
        <v>3.6818537362086497E-3</v>
      </c>
      <c r="AS157" s="2">
        <f t="shared" si="64"/>
        <v>109.62779642817728</v>
      </c>
      <c r="AT157" s="2">
        <f t="shared" si="65"/>
        <v>109.62886382143783</v>
      </c>
      <c r="AU157" s="2">
        <f t="shared" si="66"/>
        <v>109.63100910850129</v>
      </c>
      <c r="AV157" s="2">
        <f t="shared" si="67"/>
        <v>109.62779642817728</v>
      </c>
      <c r="AW157" s="2">
        <f t="shared" si="68"/>
        <v>109.62886382143783</v>
      </c>
      <c r="AX157" s="2">
        <f t="shared" si="69"/>
        <v>109.63100910850129</v>
      </c>
      <c r="AY157">
        <f t="shared" si="70"/>
        <v>7.5600000611399816</v>
      </c>
      <c r="AZ157">
        <f t="shared" si="71"/>
        <v>7.5600187439655642</v>
      </c>
      <c r="BA157">
        <f t="shared" si="72"/>
        <v>7.5600568678634641</v>
      </c>
    </row>
    <row r="158" spans="1:53" x14ac:dyDescent="0.2">
      <c r="A158" s="2">
        <v>154</v>
      </c>
      <c r="B158" s="2"/>
      <c r="C158" s="1">
        <v>1469.7344922755988</v>
      </c>
      <c r="D158" s="2">
        <f t="shared" si="53"/>
        <v>9234.6141673210914</v>
      </c>
      <c r="E158" s="2"/>
      <c r="F158" s="2">
        <f>$D158*BASE!E$15/100/E$3</f>
        <v>1.6912229434338044</v>
      </c>
      <c r="G158" s="2">
        <f>$D158*BASE!F$15/100/F$3</f>
        <v>1.6912229434338044</v>
      </c>
      <c r="H158" s="2">
        <f>$D158*BASE!G$15/100/G$3</f>
        <v>1.6912229434338044</v>
      </c>
      <c r="I158" s="2">
        <f>(1-BESSELJ(2*F158,1)/F158)*BASE!K$13*E$2*E$3</f>
        <v>4.5794672735864035</v>
      </c>
      <c r="J158" s="2">
        <f>(1-BESSELJ(2*G158,1)/G158)*BASE!L$13*F$2*F$3</f>
        <v>4.5794672735864035</v>
      </c>
      <c r="K158" s="2">
        <f>(1-BESSELJ(2*H158,1)/H158)*BASE!M$13*G$2*G$3</f>
        <v>4.5794672735864035</v>
      </c>
      <c r="L158" s="2" t="str">
        <f>IMPRODUCT(COMPLEX(1-BESSELJ(2*F158,1)/F158,(STRUVE(2*F158)/(2*F158^2))),PI()*(BASE!E$15/100)^2*E$2*E$3)</f>
        <v>4.5794672735864+3.29666971155611i</v>
      </c>
      <c r="M158" s="2" t="str">
        <f>IMPRODUCT(COMPLEX(1-BESSELJ(2*G158,1)/G158,(STRUVE(2*G158)/(2*G158^2))),PI()*(BASE!F$15/100)^2*F$2*F$3)</f>
        <v>4.5794672735864+3.29666971155611i</v>
      </c>
      <c r="N158" s="2" t="str">
        <f>IMPRODUCT(COMPLEX(1-BESSELJ(2*H158,1)/H158,(STRUVE(2*H158)/(2*H158^2))),PI()*(BASE!G$15/100)^2*G$2*G$3)</f>
        <v>4.5794672735864+3.29666971155611i</v>
      </c>
      <c r="O158" s="2" t="str">
        <f>IMSUM(IMPRODUCT(IF($O$3=1,L158,COMPLEX(I158,$D158*BASE!K$15)),2),COMPLEX(BASE!E$36,$D158*BASE!K$14-BASE!K$10/$D158))</f>
        <v>9.9589345471728+55.0351144314327i</v>
      </c>
      <c r="P158" s="2" t="str">
        <f>IMSUM(IMPRODUCT(IF($O$3=1,M158,COMPLEX(J158,$D158*BASE!L$15)),2),COMPLEX(BASE!F$36,$D158*BASE!L$14-BASE!L$10/$D158))</f>
        <v>9.9589345471728+54.9555225842063i</v>
      </c>
      <c r="Q158" s="2" t="str">
        <f>IMSUM(IMPRODUCT(IF($O$3=1,N158,COMPLEX(K158,$D158*BASE!M$15)),2),COMPLEX(BASE!G$36,$D158*BASE!M$14-BASE!M$10/$D158))</f>
        <v>9.9589345471728+54.7963388897536i</v>
      </c>
      <c r="R158" s="2" t="str">
        <f>COMPLEX(BASE!E$19,FRES!$D158*BASE!K$36)</f>
        <v>7.2+2.57095019638551i</v>
      </c>
      <c r="S158" s="2" t="str">
        <f>COMPLEX(BASE!F$19,FRES!$D158*BASE!L$36)</f>
        <v>7.2+2.57095019638551i</v>
      </c>
      <c r="T158" s="2" t="str">
        <f>COMPLEX(BASE!G$19,FRES!$D158*BASE!M$36)</f>
        <v>7.2+2.57095019638551i</v>
      </c>
      <c r="U158" s="2" t="str">
        <f>IMDIV(BASE!K$21*BASE!E$38,IMPRODUCT(FRES!R158,IMSUM(FRES!O158,IMDIV(BASE!K$21^2,FRES!R158))))</f>
        <v>-0.0028833261540947-0.020136649458697i</v>
      </c>
      <c r="V158" s="2" t="str">
        <f>IMDIV(BASE!L$21*BASE!F$38,IMPRODUCT(FRES!S158,IMSUM(FRES!P158,IMDIV(BASE!L$21^2,FRES!S158))))</f>
        <v>-0.00288161663685593-0.0201656856013013i</v>
      </c>
      <c r="W158" s="2" t="str">
        <f>IMDIV(BASE!M$21*BASE!G$38,IMPRODUCT(FRES!T158,IMSUM(FRES!Q158,IMDIV(BASE!M$21^2,FRES!T158))))</f>
        <v>-0.00287813317169488-0.0202239996892909i</v>
      </c>
      <c r="X158" s="2" t="str">
        <f t="shared" si="54"/>
        <v>-2.18056207805145E-06+3.12230278585763E-07i</v>
      </c>
      <c r="Y158" s="2" t="str">
        <f t="shared" si="74"/>
        <v>-2.18370635046805E-06+3.12045157994064E-07i</v>
      </c>
      <c r="Z158" s="2" t="str">
        <f t="shared" si="74"/>
        <v>-2.19002107969583E-06+3.1166793972615E-07i</v>
      </c>
      <c r="AA158" s="44" t="str">
        <f>IMPRODUCT(COMPLEX(0,$D158),U158,E$2,BASE!E$15^2/10000,1/(2*BASE!$U$3))</f>
        <v>0.442831304193038-0.0634081197992049i</v>
      </c>
      <c r="AB158" s="44" t="str">
        <f>IMPRODUCT(COMPLEX(0,$D158),V158,F$2,BASE!F$15^2/10000,1/(2*BASE!$U$3))</f>
        <v>0.443469847011424-0.0633705252753523i</v>
      </c>
      <c r="AC158" s="44" t="str">
        <f>IMPRODUCT(COMPLEX(0,$D158),W158,G$2,BASE!G$15^2/10000,1/(2*BASE!$U$3))</f>
        <v>0.444752250208154-0.0632939193125012i</v>
      </c>
      <c r="AD158" s="44">
        <f t="shared" si="55"/>
        <v>-0.14222125969114929</v>
      </c>
      <c r="AE158" s="44">
        <f t="shared" si="56"/>
        <v>-0.14193614653237252</v>
      </c>
      <c r="AF158" s="44">
        <f t="shared" si="57"/>
        <v>-0.14136351674072495</v>
      </c>
      <c r="AG158" s="31">
        <f t="shared" si="58"/>
        <v>86.992308362860626</v>
      </c>
      <c r="AH158" s="31">
        <f t="shared" si="59"/>
        <v>87.004469764381298</v>
      </c>
      <c r="AI158" s="31">
        <f t="shared" si="60"/>
        <v>87.028841636557971</v>
      </c>
      <c r="AJ158" s="2" t="str">
        <f>IMSUM(R158,IMDIV(BASE!K$21^2,FRES!O158))</f>
        <v>7.22987445198708+2.40585784881587i</v>
      </c>
      <c r="AK158" s="2" t="str">
        <f>IMSUM(S158,IMDIV(BASE!L$21^2,FRES!P158))</f>
        <v>7.22995829531697+2.40563394020591i</v>
      </c>
      <c r="AL158" s="2" t="str">
        <f>IMSUM(T158,IMDIV(BASE!M$21^2,FRES!Q158))</f>
        <v>7.23012703261942+2.40518436256696i</v>
      </c>
      <c r="AM158" s="31">
        <f t="shared" si="73"/>
        <v>2.0342030899920701E-2</v>
      </c>
      <c r="AN158" s="31">
        <f t="shared" si="73"/>
        <v>2.0370532398843566E-2</v>
      </c>
      <c r="AO158" s="31">
        <f t="shared" si="73"/>
        <v>2.042777065630141E-2</v>
      </c>
      <c r="AP158" s="31">
        <f t="shared" si="61"/>
        <v>3.1152331287086048E-3</v>
      </c>
      <c r="AQ158" s="31">
        <f t="shared" si="62"/>
        <v>3.1195979246377349E-3</v>
      </c>
      <c r="AR158" s="31">
        <f t="shared" si="63"/>
        <v>3.1283635447835125E-3</v>
      </c>
      <c r="AS158" s="2">
        <f t="shared" si="64"/>
        <v>109.54729567014795</v>
      </c>
      <c r="AT158" s="2">
        <f t="shared" si="65"/>
        <v>109.54820321351914</v>
      </c>
      <c r="AU158" s="2">
        <f t="shared" si="66"/>
        <v>109.55002595075719</v>
      </c>
      <c r="AV158" s="2">
        <f t="shared" si="67"/>
        <v>109.54729567014795</v>
      </c>
      <c r="AW158" s="2">
        <f t="shared" si="68"/>
        <v>109.54820321351914</v>
      </c>
      <c r="AX158" s="2">
        <f t="shared" si="69"/>
        <v>109.55002595075719</v>
      </c>
      <c r="AY158">
        <f t="shared" si="70"/>
        <v>7.6196611853942962</v>
      </c>
      <c r="AZ158">
        <f t="shared" si="71"/>
        <v>7.6196700457626951</v>
      </c>
      <c r="BA158">
        <f t="shared" si="72"/>
        <v>7.6196882302198388</v>
      </c>
    </row>
    <row r="159" spans="1:53" x14ac:dyDescent="0.2">
      <c r="A159" s="2">
        <v>155</v>
      </c>
      <c r="B159" s="2"/>
      <c r="C159" s="1">
        <v>1587.4010519681995</v>
      </c>
      <c r="D159" s="2">
        <f t="shared" si="53"/>
        <v>9973.93496632801</v>
      </c>
      <c r="E159" s="2"/>
      <c r="F159" s="2">
        <f>$D159*BASE!E$15/100/E$3</f>
        <v>1.8266218106937926</v>
      </c>
      <c r="G159" s="2">
        <f>$D159*BASE!F$15/100/F$3</f>
        <v>1.8266218106937926</v>
      </c>
      <c r="H159" s="2">
        <f>$D159*BASE!G$15/100/G$3</f>
        <v>1.8266218106937926</v>
      </c>
      <c r="I159" s="2">
        <f>(1-BESSELJ(2*F159,1)/F159)*BASE!K$13*E$2*E$3</f>
        <v>4.9408062070106666</v>
      </c>
      <c r="J159" s="2">
        <f>(1-BESSELJ(2*G159,1)/G159)*BASE!L$13*F$2*F$3</f>
        <v>4.9408062070106666</v>
      </c>
      <c r="K159" s="2">
        <f>(1-BESSELJ(2*H159,1)/H159)*BASE!M$13*G$2*G$3</f>
        <v>4.9408062070106666</v>
      </c>
      <c r="L159" s="2" t="str">
        <f>IMPRODUCT(COMPLEX(1-BESSELJ(2*F159,1)/F159,(STRUVE(2*F159)/(2*F159^2))),PI()*(BASE!E$15/100)^2*E$2*E$3)</f>
        <v>4.94080620701067+3.08453242040067i</v>
      </c>
      <c r="M159" s="2" t="str">
        <f>IMPRODUCT(COMPLEX(1-BESSELJ(2*G159,1)/G159,(STRUVE(2*G159)/(2*G159^2))),PI()*(BASE!F$15/100)^2*F$2*F$3)</f>
        <v>4.94080620701067+3.08453242040067i</v>
      </c>
      <c r="N159" s="2" t="str">
        <f>IMPRODUCT(COMPLEX(1-BESSELJ(2*H159,1)/H159,(STRUVE(2*H159)/(2*H159^2))),PI()*(BASE!G$15/100)^2*G$2*G$3)</f>
        <v>4.94080620701067+3.08453242040067i</v>
      </c>
      <c r="O159" s="2" t="str">
        <f>IMSUM(IMPRODUCT(IF($O$3=1,L159,COMPLEX(I159,$D159*BASE!K$15)),2),COMPLEX(BASE!E$36,$D159*BASE!K$14-BASE!K$10/$D159))</f>
        <v>10.6816124140213+59.4534749254672i</v>
      </c>
      <c r="P159" s="2" t="str">
        <f>IMSUM(IMPRODUCT(IF($O$3=1,M159,COMPLEX(J159,$D159*BASE!L$15)),2),COMPLEX(BASE!F$36,$D159*BASE!L$14-BASE!L$10/$D159))</f>
        <v>10.6816124140213+59.3797828468161i</v>
      </c>
      <c r="Q159" s="2" t="str">
        <f>IMSUM(IMPRODUCT(IF($O$3=1,N159,COMPLEX(K159,$D159*BASE!M$15)),2),COMPLEX(BASE!G$36,$D159*BASE!M$14-BASE!M$10/$D159))</f>
        <v>10.6816124140213+59.2323986895138i</v>
      </c>
      <c r="R159" s="2" t="str">
        <f>COMPLEX(BASE!E$19,FRES!$D159*BASE!K$36)</f>
        <v>7.2+2.77677979781326i</v>
      </c>
      <c r="S159" s="2" t="str">
        <f>COMPLEX(BASE!F$19,FRES!$D159*BASE!L$36)</f>
        <v>7.2+2.77677979781326i</v>
      </c>
      <c r="T159" s="2" t="str">
        <f>COMPLEX(BASE!G$19,FRES!$D159*BASE!M$36)</f>
        <v>7.2+2.77677979781326i</v>
      </c>
      <c r="U159" s="2" t="str">
        <f>IMDIV(BASE!K$21*BASE!E$38,IMPRODUCT(FRES!R159,IMSUM(FRES!O159,IMDIV(BASE!K$21^2,FRES!R159))))</f>
        <v>-0.00316656719544492-0.0183940557190113i</v>
      </c>
      <c r="V159" s="2" t="str">
        <f>IMDIV(BASE!L$21*BASE!F$38,IMPRODUCT(FRES!S159,IMSUM(FRES!P159,IMDIV(BASE!L$21^2,FRES!S159))))</f>
        <v>-0.00316594113097262-0.018416927235962i</v>
      </c>
      <c r="W159" s="2" t="str">
        <f>IMDIV(BASE!M$21*BASE!G$38,IMPRODUCT(FRES!T159,IMSUM(FRES!Q159,IMDIV(BASE!M$21^2,FRES!T159))))</f>
        <v>-0.00316465125148034-0.0184628346827513i</v>
      </c>
      <c r="X159" s="2" t="str">
        <f t="shared" si="54"/>
        <v>-1.84421251803923E-06+3.1748424329367E-07i</v>
      </c>
      <c r="Y159" s="2" t="str">
        <f t="shared" si="74"/>
        <v>-1.84650564678209E-06+3.17421473236073E-07i</v>
      </c>
      <c r="Z159" s="2" t="str">
        <f t="shared" si="74"/>
        <v>-1.85110838852287E-06+3.17292148200705E-07i</v>
      </c>
      <c r="AA159" s="44" t="str">
        <f>IMPRODUCT(COMPLEX(0,$D159),U159,E$2,BASE!E$15^2/10000,1/(2*BASE!$U$3))</f>
        <v>0.436894300471781-0.0752120783412066i</v>
      </c>
      <c r="AB159" s="44" t="str">
        <f>IMPRODUCT(COMPLEX(0,$D159),V159,F$2,BASE!F$15^2/10000,1/(2*BASE!$U$3))</f>
        <v>0.437437543112314-0.0751972081024809i</v>
      </c>
      <c r="AC159" s="44" t="str">
        <f>IMPRODUCT(COMPLEX(0,$D159),W159,G$2,BASE!G$15^2/10000,1/(2*BASE!$U$3))</f>
        <v>0.438527933516575-0.0751665709767115i</v>
      </c>
      <c r="AD159" s="44">
        <f t="shared" si="55"/>
        <v>-0.1704806329348699</v>
      </c>
      <c r="AE159" s="44">
        <f t="shared" si="56"/>
        <v>-0.17023997023214985</v>
      </c>
      <c r="AF159" s="44">
        <f t="shared" si="57"/>
        <v>-0.16975690510199043</v>
      </c>
      <c r="AG159" s="31">
        <f t="shared" si="58"/>
        <v>86.913765672961532</v>
      </c>
      <c r="AH159" s="31">
        <f t="shared" si="59"/>
        <v>86.92419956185293</v>
      </c>
      <c r="AI159" s="31">
        <f t="shared" si="60"/>
        <v>86.945103497753934</v>
      </c>
      <c r="AJ159" s="2" t="str">
        <f>IMSUM(R159,IMDIV(BASE!K$21^2,FRES!O159))</f>
        <v>7.22746914966262+2.62388748742135i</v>
      </c>
      <c r="AK159" s="2" t="str">
        <f>IMSUM(S159,IMDIV(BASE!L$21^2,FRES!P159))</f>
        <v>7.22753523361748+2.62370963111296i</v>
      </c>
      <c r="AL159" s="2" t="str">
        <f>IMSUM(T159,IMDIV(BASE!M$21^2,FRES!Q159))</f>
        <v>7.22766811116631+2.62335271882307i</v>
      </c>
      <c r="AM159" s="31">
        <f t="shared" si="73"/>
        <v>1.8664630550786702E-2</v>
      </c>
      <c r="AN159" s="31">
        <f t="shared" si="73"/>
        <v>1.8687064832645685E-2</v>
      </c>
      <c r="AO159" s="31">
        <f t="shared" si="73"/>
        <v>1.8732092303480153E-2</v>
      </c>
      <c r="AP159" s="31">
        <f t="shared" si="61"/>
        <v>2.6464754132363866E-3</v>
      </c>
      <c r="AQ159" s="31">
        <f t="shared" si="62"/>
        <v>2.6496563910324315E-3</v>
      </c>
      <c r="AR159" s="31">
        <f t="shared" si="63"/>
        <v>2.6560408782131178E-3</v>
      </c>
      <c r="AS159" s="2">
        <f t="shared" si="64"/>
        <v>109.45734329133961</v>
      </c>
      <c r="AT159" s="2">
        <f t="shared" si="65"/>
        <v>109.45810934451472</v>
      </c>
      <c r="AU159" s="2">
        <f t="shared" si="66"/>
        <v>109.45964698858073</v>
      </c>
      <c r="AV159" s="2">
        <f t="shared" si="67"/>
        <v>109.45734329133961</v>
      </c>
      <c r="AW159" s="2">
        <f t="shared" si="68"/>
        <v>109.45810934451472</v>
      </c>
      <c r="AX159" s="2">
        <f t="shared" si="69"/>
        <v>109.45964698858073</v>
      </c>
      <c r="AY159">
        <f t="shared" si="70"/>
        <v>7.6890243760812229</v>
      </c>
      <c r="AZ159">
        <f t="shared" si="71"/>
        <v>7.6890258018540276</v>
      </c>
      <c r="BA159">
        <f t="shared" si="72"/>
        <v>7.6890289251976913</v>
      </c>
    </row>
    <row r="160" spans="1:53" x14ac:dyDescent="0.2">
      <c r="A160" s="2">
        <v>156</v>
      </c>
      <c r="B160" s="2"/>
      <c r="C160" s="1">
        <v>1714.4879657061456</v>
      </c>
      <c r="D160" s="2">
        <f t="shared" si="53"/>
        <v>10772.445595461073</v>
      </c>
      <c r="E160" s="2"/>
      <c r="F160" s="2">
        <f>$D160*BASE!E$15/100/E$3</f>
        <v>1.972860675912929</v>
      </c>
      <c r="G160" s="2">
        <f>$D160*BASE!F$15/100/F$3</f>
        <v>1.972860675912929</v>
      </c>
      <c r="H160" s="2">
        <f>$D160*BASE!G$15/100/G$3</f>
        <v>1.972860675912929</v>
      </c>
      <c r="I160" s="2">
        <f>(1-BESSELJ(2*F160,1)/F160)*BASE!K$13*E$2*E$3</f>
        <v>5.2650161624334668</v>
      </c>
      <c r="J160" s="2">
        <f>(1-BESSELJ(2*G160,1)/G160)*BASE!L$13*F$2*F$3</f>
        <v>5.2650161624334668</v>
      </c>
      <c r="K160" s="2">
        <f>(1-BESSELJ(2*H160,1)/H160)*BASE!M$13*G$2*G$3</f>
        <v>5.2650161624334668</v>
      </c>
      <c r="L160" s="2" t="str">
        <f>IMPRODUCT(COMPLEX(1-BESSELJ(2*F160,1)/F160,(STRUVE(2*F160)/(2*F160^2))),PI()*(BASE!E$15/100)^2*E$2*E$3)</f>
        <v>5.26501616243344+2.80837826684934i</v>
      </c>
      <c r="M160" s="2" t="str">
        <f>IMPRODUCT(COMPLEX(1-BESSELJ(2*G160,1)/G160,(STRUVE(2*G160)/(2*G160^2))),PI()*(BASE!F$15/100)^2*F$2*F$3)</f>
        <v>5.26501616243344+2.80837826684934i</v>
      </c>
      <c r="N160" s="2" t="str">
        <f>IMPRODUCT(COMPLEX(1-BESSELJ(2*H160,1)/H160,(STRUVE(2*H160)/(2*H160^2))),PI()*(BASE!G$15/100)^2*G$2*G$3)</f>
        <v>5.26501616243344+2.80837826684934i</v>
      </c>
      <c r="O160" s="2" t="str">
        <f>IMSUM(IMPRODUCT(IF($O$3=1,L160,COMPLEX(I160,$D160*BASE!K$15)),2),COMPLEX(BASE!E$36,$D160*BASE!K$14-BASE!K$10/$D160))</f>
        <v>11.3300323248669+64.2246591639042i</v>
      </c>
      <c r="P160" s="2" t="str">
        <f>IMSUM(IMPRODUCT(IF($O$3=1,M160,COMPLEX(J160,$D160*BASE!L$15)),2),COMPLEX(BASE!F$36,$D160*BASE!L$14-BASE!L$10/$D160))</f>
        <v>11.3300323248669+64.1564295317852i</v>
      </c>
      <c r="Q160" s="2" t="str">
        <f>IMSUM(IMPRODUCT(IF($O$3=1,N160,COMPLEX(K160,$D160*BASE!M$15)),2),COMPLEX(BASE!G$36,$D160*BASE!M$14-BASE!M$10/$D160))</f>
        <v>11.3300323248669+64.0199702675473i</v>
      </c>
      <c r="R160" s="2" t="str">
        <f>COMPLEX(BASE!E$19,FRES!$D160*BASE!K$36)</f>
        <v>7.2+2.99908806338762i</v>
      </c>
      <c r="S160" s="2" t="str">
        <f>COMPLEX(BASE!F$19,FRES!$D160*BASE!L$36)</f>
        <v>7.2+2.99908806338762i</v>
      </c>
      <c r="T160" s="2" t="str">
        <f>COMPLEX(BASE!G$19,FRES!$D160*BASE!M$36)</f>
        <v>7.2+2.99908806338762i</v>
      </c>
      <c r="U160" s="2" t="str">
        <f>IMDIV(BASE!K$21*BASE!E$38,IMPRODUCT(FRES!R160,IMSUM(FRES!O160,IMDIV(BASE!K$21^2,FRES!R160))))</f>
        <v>-0.0034323998542314-0.0167608179643593i</v>
      </c>
      <c r="V160" s="2" t="str">
        <f>IMDIV(BASE!L$21*BASE!F$38,IMPRODUCT(FRES!S160,IMSUM(FRES!P160,IMDIV(BASE!L$21^2,FRES!S160))))</f>
        <v>-0.00343256360834461-0.0167788043458306i</v>
      </c>
      <c r="W160" s="2" t="str">
        <f>IMDIV(BASE!M$21*BASE!G$38,IMPRODUCT(FRES!T160,IMSUM(FRES!Q160,IMDIV(BASE!M$21^2,FRES!T160))))</f>
        <v>-0.00343287029259712-0.016814888884351i</v>
      </c>
      <c r="X160" s="2" t="str">
        <f t="shared" si="54"/>
        <v>-0.000001555897202342+3.18627726992431E-07i</v>
      </c>
      <c r="Y160" s="2" t="str">
        <f t="shared" si="74"/>
        <v>-0.0000015575668679079+3.18642928193659E-07i</v>
      </c>
      <c r="Z160" s="2" t="str">
        <f t="shared" si="74"/>
        <v>-1.56091657510304E-06+3.18671397518456E-07i</v>
      </c>
      <c r="AA160" s="44" t="str">
        <f>IMPRODUCT(COMPLEX(0,$D160),U160,E$2,BASE!E$15^2/10000,1/(2*BASE!$U$3))</f>
        <v>0.42997367618196-0.08805307632292i</v>
      </c>
      <c r="AB160" s="44" t="str">
        <f>IMPRODUCT(COMPLEX(0,$D160),V160,F$2,BASE!F$15^2/10000,1/(2*BASE!$U$3))</f>
        <v>0.430435089853946-0.088057277189381i</v>
      </c>
      <c r="AC160" s="44" t="str">
        <f>IMPRODUCT(COMPLEX(0,$D160),W160,G$2,BASE!G$15^2/10000,1/(2*BASE!$U$3))</f>
        <v>0.43136078463292-0.0880651447144481i</v>
      </c>
      <c r="AD160" s="44">
        <f t="shared" si="55"/>
        <v>-0.20199430608738264</v>
      </c>
      <c r="AE160" s="44">
        <f t="shared" si="56"/>
        <v>-0.20179297467089924</v>
      </c>
      <c r="AF160" s="44">
        <f t="shared" si="57"/>
        <v>-0.20138906281614835</v>
      </c>
      <c r="AG160" s="31">
        <f t="shared" si="58"/>
        <v>86.826655260551121</v>
      </c>
      <c r="AH160" s="31">
        <f t="shared" si="59"/>
        <v>86.835613334668139</v>
      </c>
      <c r="AI160" s="31">
        <f t="shared" si="60"/>
        <v>86.853556185300732</v>
      </c>
      <c r="AJ160" s="2" t="str">
        <f>IMSUM(R160,IMDIV(BASE!K$21^2,FRES!O160))</f>
        <v>7.22499641323737+2.85739507660178i</v>
      </c>
      <c r="AK160" s="2" t="str">
        <f>IMSUM(S160,IMDIV(BASE!L$21^2,FRES!P160))</f>
        <v>7.22504799945974+2.85725349785649i</v>
      </c>
      <c r="AL160" s="2" t="str">
        <f>IMSUM(T160,IMDIV(BASE!M$21^2,FRES!Q160))</f>
        <v>7.22515164711256+2.85696951913668i</v>
      </c>
      <c r="AM160" s="31">
        <f t="shared" si="73"/>
        <v>1.7108664108974644E-2</v>
      </c>
      <c r="AN160" s="31">
        <f t="shared" si="73"/>
        <v>1.7126317998945241E-2</v>
      </c>
      <c r="AO160" s="31">
        <f t="shared" si="73"/>
        <v>1.7161733206144031E-2</v>
      </c>
      <c r="AP160" s="31">
        <f t="shared" si="61"/>
        <v>2.2460363900275639E-3</v>
      </c>
      <c r="AQ160" s="31">
        <f t="shared" si="62"/>
        <v>2.248354004018164E-3</v>
      </c>
      <c r="AR160" s="31">
        <f t="shared" si="63"/>
        <v>2.2530033351186012E-3</v>
      </c>
      <c r="AS160" s="2">
        <f t="shared" si="64"/>
        <v>109.35703215419551</v>
      </c>
      <c r="AT160" s="2">
        <f t="shared" si="65"/>
        <v>109.35767301199817</v>
      </c>
      <c r="AU160" s="2">
        <f t="shared" si="66"/>
        <v>109.35895870336331</v>
      </c>
      <c r="AV160" s="2">
        <f t="shared" si="67"/>
        <v>109.35703215419551</v>
      </c>
      <c r="AW160" s="2">
        <f t="shared" si="68"/>
        <v>109.35767301199817</v>
      </c>
      <c r="AX160" s="2">
        <f t="shared" si="69"/>
        <v>109.35895870336331</v>
      </c>
      <c r="AY160">
        <f t="shared" si="70"/>
        <v>7.7695096238489176</v>
      </c>
      <c r="AZ160">
        <f t="shared" si="71"/>
        <v>7.7695055277353617</v>
      </c>
      <c r="BA160">
        <f t="shared" si="72"/>
        <v>7.769497484203816</v>
      </c>
    </row>
    <row r="161" spans="1:53" x14ac:dyDescent="0.2">
      <c r="A161" s="2">
        <v>157</v>
      </c>
      <c r="B161" s="2"/>
      <c r="C161" s="1">
        <v>1851.7494245745809</v>
      </c>
      <c r="D161" s="2">
        <f t="shared" si="53"/>
        <v>11634.884777065259</v>
      </c>
      <c r="E161" s="2"/>
      <c r="F161" s="2">
        <f>$D161*BASE!E$15/100/E$3</f>
        <v>2.1308073864974166</v>
      </c>
      <c r="G161" s="2">
        <f>$D161*BASE!F$15/100/F$3</f>
        <v>2.1308073864974166</v>
      </c>
      <c r="H161" s="2">
        <f>$D161*BASE!G$15/100/G$3</f>
        <v>2.1308073864974166</v>
      </c>
      <c r="I161" s="2">
        <f>(1-BESSELJ(2*F161,1)/F161)*BASE!K$13*E$2*E$3</f>
        <v>5.5322457959652658</v>
      </c>
      <c r="J161" s="2">
        <f>(1-BESSELJ(2*G161,1)/G161)*BASE!L$13*F$2*F$3</f>
        <v>5.5322457959652658</v>
      </c>
      <c r="K161" s="2">
        <f>(1-BESSELJ(2*H161,1)/H161)*BASE!M$13*G$2*G$3</f>
        <v>5.5322457959652658</v>
      </c>
      <c r="L161" s="2" t="str">
        <f>IMPRODUCT(COMPLEX(1-BESSELJ(2*F161,1)/F161,(STRUVE(2*F161)/(2*F161^2))),PI()*(BASE!E$15/100)^2*E$2*E$3)</f>
        <v>5.53224579596525+2.47413490665959i</v>
      </c>
      <c r="M161" s="2" t="str">
        <f>IMPRODUCT(COMPLEX(1-BESSELJ(2*G161,1)/G161,(STRUVE(2*G161)/(2*G161^2))),PI()*(BASE!F$15/100)^2*F$2*F$3)</f>
        <v>5.53224579596525+2.47413490665959i</v>
      </c>
      <c r="N161" s="2" t="str">
        <f>IMPRODUCT(COMPLEX(1-BESSELJ(2*H161,1)/H161,(STRUVE(2*H161)/(2*H161^2))),PI()*(BASE!G$15/100)^2*G$2*G$3)</f>
        <v>5.53224579596525+2.47413490665959i</v>
      </c>
      <c r="O161" s="2" t="str">
        <f>IMSUM(IMPRODUCT(IF($O$3=1,L161,COMPLEX(I161,$D161*BASE!K$15)),2),COMPLEX(BASE!E$36,$D161*BASE!K$14-BASE!K$10/$D161))</f>
        <v>11.8644915919305+69.3769815066758i</v>
      </c>
      <c r="P161" s="2" t="str">
        <f>IMSUM(IMPRODUCT(IF($O$3=1,M161,COMPLEX(J161,$D161*BASE!L$15)),2),COMPLEX(BASE!F$36,$D161*BASE!L$14-BASE!L$10/$D161))</f>
        <v>11.8644915919305+69.3138094156681i</v>
      </c>
      <c r="Q161" s="2" t="str">
        <f>IMSUM(IMPRODUCT(IF($O$3=1,N161,COMPLEX(K161,$D161*BASE!M$15)),2),COMPLEX(BASE!G$36,$D161*BASE!M$14-BASE!M$10/$D161))</f>
        <v>11.8644915919305+69.1874652336529i</v>
      </c>
      <c r="R161" s="2" t="str">
        <f>COMPLEX(BASE!E$19,FRES!$D161*BASE!K$36)</f>
        <v>7.2+3.23919427065747i</v>
      </c>
      <c r="S161" s="2" t="str">
        <f>COMPLEX(BASE!F$19,FRES!$D161*BASE!L$36)</f>
        <v>7.2+3.23919427065747i</v>
      </c>
      <c r="T161" s="2" t="str">
        <f>COMPLEX(BASE!G$19,FRES!$D161*BASE!M$36)</f>
        <v>7.2+3.23919427065747i</v>
      </c>
      <c r="U161" s="2" t="str">
        <f>IMDIV(BASE!K$21*BASE!E$38,IMPRODUCT(FRES!R161,IMSUM(FRES!O161,IMDIV(BASE!K$21^2,FRES!R161))))</f>
        <v>-0.00367738282100944-0.015226799697208i</v>
      </c>
      <c r="V161" s="2" t="str">
        <f>IMDIV(BASE!L$21*BASE!F$38,IMPRODUCT(FRES!S161,IMSUM(FRES!P161,IMDIV(BASE!L$21^2,FRES!S161))))</f>
        <v>-0.00367810329768242-0.0152409111540115i</v>
      </c>
      <c r="W161" s="2" t="str">
        <f>IMDIV(BASE!M$21*BASE!G$38,IMPRODUCT(FRES!T161,IMSUM(FRES!Q161,IMDIV(BASE!M$21^2,FRES!T161))))</f>
        <v>-0.00367953391898226-0.0152692099763547i</v>
      </c>
      <c r="X161" s="2" t="str">
        <f t="shared" si="54"/>
        <v>-1.30871942343796E-06+3.1606525474651E-07i</v>
      </c>
      <c r="Y161" s="2" t="str">
        <f t="shared" si="74"/>
        <v>-1.30993228089842E-06+3.16127178580462E-07i</v>
      </c>
      <c r="Z161" s="2" t="str">
        <f t="shared" si="74"/>
        <v>-1.31236452005553E-06+3.16250138225293E-07i</v>
      </c>
      <c r="AA161" s="44" t="str">
        <f>IMPRODUCT(COMPLEX(0,$D161),U161,E$2,BASE!E$15^2/10000,1/(2*BASE!$U$3))</f>
        <v>0.421893729685114-0.101890402756143i</v>
      </c>
      <c r="AB161" s="44" t="str">
        <f>IMPRODUCT(COMPLEX(0,$D161),V161,F$2,BASE!F$15^2/10000,1/(2*BASE!$U$3))</f>
        <v>0.422284720258347-0.101910365229989i</v>
      </c>
      <c r="AC161" s="44" t="str">
        <f>IMPRODUCT(COMPLEX(0,$D161),W161,G$2,BASE!G$15^2/10000,1/(2*BASE!$U$3))</f>
        <v>0.423068804632049-0.101950003904429i</v>
      </c>
      <c r="AD161" s="44">
        <f t="shared" si="55"/>
        <v>-0.23696967181111378</v>
      </c>
      <c r="AE161" s="44">
        <f t="shared" si="56"/>
        <v>-0.23680304589458093</v>
      </c>
      <c r="AF161" s="44">
        <f t="shared" si="57"/>
        <v>-0.23646890623924438</v>
      </c>
      <c r="AG161" s="31">
        <f t="shared" si="58"/>
        <v>86.72965517960391</v>
      </c>
      <c r="AH161" s="31">
        <f t="shared" si="59"/>
        <v>86.737351707133868</v>
      </c>
      <c r="AI161" s="31">
        <f t="shared" si="60"/>
        <v>86.75276452534726</v>
      </c>
      <c r="AJ161" s="2" t="str">
        <f>IMSUM(R161,IMDIV(BASE!K$21^2,FRES!O161))</f>
        <v>7.22247289725795+3.10778520307242i</v>
      </c>
      <c r="AK161" s="2" t="str">
        <f>IMSUM(S161,IMDIV(BASE!L$21^2,FRES!P161))</f>
        <v>7.22251271262173+3.1076722530471i</v>
      </c>
      <c r="AL161" s="2" t="str">
        <f>IMSUM(T161,IMDIV(BASE!M$21^2,FRES!Q161))</f>
        <v>7.22259265831945+3.1074457882298i</v>
      </c>
      <c r="AM161" s="31">
        <f t="shared" si="73"/>
        <v>1.5664564259217331E-2</v>
      </c>
      <c r="AN161" s="31">
        <f t="shared" si="73"/>
        <v>1.5678450710223075E-2</v>
      </c>
      <c r="AO161" s="31">
        <f t="shared" si="73"/>
        <v>1.5706296290435594E-2</v>
      </c>
      <c r="AP161" s="31">
        <f t="shared" si="61"/>
        <v>1.9040187890573786E-3</v>
      </c>
      <c r="AQ161" s="31">
        <f t="shared" si="62"/>
        <v>1.9057066792016973E-3</v>
      </c>
      <c r="AR161" s="31">
        <f t="shared" si="63"/>
        <v>1.9090912934839434E-3</v>
      </c>
      <c r="AS161" s="2">
        <f t="shared" si="64"/>
        <v>109.24570210736795</v>
      </c>
      <c r="AT161" s="2">
        <f t="shared" si="65"/>
        <v>109.24623249413321</v>
      </c>
      <c r="AU161" s="2">
        <f t="shared" si="66"/>
        <v>109.24729609368981</v>
      </c>
      <c r="AV161" s="2">
        <f t="shared" si="67"/>
        <v>109.24570210736795</v>
      </c>
      <c r="AW161" s="2">
        <f t="shared" si="68"/>
        <v>109.24623249413321</v>
      </c>
      <c r="AX161" s="2">
        <f t="shared" si="69"/>
        <v>109.24729609368981</v>
      </c>
      <c r="AY161">
        <f t="shared" si="70"/>
        <v>7.8627249487732644</v>
      </c>
      <c r="AZ161">
        <f t="shared" si="71"/>
        <v>7.8627168788111232</v>
      </c>
      <c r="BA161">
        <f t="shared" si="72"/>
        <v>7.8627008104592875</v>
      </c>
    </row>
    <row r="162" spans="1:53" x14ac:dyDescent="0.2">
      <c r="A162" s="2">
        <v>158</v>
      </c>
      <c r="B162" s="2"/>
      <c r="C162" s="1">
        <v>2000</v>
      </c>
      <c r="D162" s="2">
        <f t="shared" si="53"/>
        <v>12566.370614359172</v>
      </c>
      <c r="E162" s="2"/>
      <c r="F162" s="2">
        <f>$D162*BASE!E$15/100/E$3</f>
        <v>2.3013992694901972</v>
      </c>
      <c r="G162" s="2">
        <f>$D162*BASE!F$15/100/F$3</f>
        <v>2.3013992694901972</v>
      </c>
      <c r="H162" s="2">
        <f>$D162*BASE!G$15/100/G$3</f>
        <v>2.3013992694901972</v>
      </c>
      <c r="I162" s="2">
        <f>(1-BESSELJ(2*F162,1)/F162)*BASE!K$13*E$2*E$3</f>
        <v>5.7224906714589023</v>
      </c>
      <c r="J162" s="2">
        <f>(1-BESSELJ(2*G162,1)/G162)*BASE!L$13*F$2*F$3</f>
        <v>5.7224906714589023</v>
      </c>
      <c r="K162" s="2">
        <f>(1-BESSELJ(2*H162,1)/H162)*BASE!M$13*G$2*G$3</f>
        <v>5.7224906714589023</v>
      </c>
      <c r="L162" s="2" t="str">
        <f>IMPRODUCT(COMPLEX(1-BESSELJ(2*F162,1)/F162,(STRUVE(2*F162)/(2*F162^2))),PI()*(BASE!E$15/100)^2*E$2*E$3)</f>
        <v>5.72249067145892+2.0951384685543i</v>
      </c>
      <c r="M162" s="2" t="str">
        <f>IMPRODUCT(COMPLEX(1-BESSELJ(2*G162,1)/G162,(STRUVE(2*G162)/(2*G162^2))),PI()*(BASE!F$15/100)^2*F$2*F$3)</f>
        <v>5.72249067145892+2.0951384685543i</v>
      </c>
      <c r="N162" s="2" t="str">
        <f>IMPRODUCT(COMPLEX(1-BESSELJ(2*H162,1)/H162,(STRUVE(2*H162)/(2*H162^2))),PI()*(BASE!G$15/100)^2*G$2*G$3)</f>
        <v>5.72249067145892+2.0951384685543i</v>
      </c>
      <c r="O162" s="2" t="str">
        <f>IMSUM(IMPRODUCT(IF($O$3=1,L162,COMPLEX(I162,$D162*BASE!K$15)),2),COMPLEX(BASE!E$36,$D162*BASE!K$14-BASE!K$10/$D162))</f>
        <v>12.2449813429178+74.9410181591863i</v>
      </c>
      <c r="P162" s="2" t="str">
        <f>IMSUM(IMPRODUCT(IF($O$3=1,M162,COMPLEX(J162,$D162*BASE!L$15)),2),COMPLEX(BASE!F$36,$D162*BASE!L$14-BASE!L$10/$D162))</f>
        <v>12.2449813429178+74.8825287176i</v>
      </c>
      <c r="Q162" s="2" t="str">
        <f>IMSUM(IMPRODUCT(IF($O$3=1,N162,COMPLEX(K162,$D162*BASE!M$15)),2),COMPLEX(BASE!G$36,$D162*BASE!M$14-BASE!M$10/$D162))</f>
        <v>12.2449813429178+74.7655498344274i</v>
      </c>
      <c r="R162" s="2" t="str">
        <f>COMPLEX(BASE!E$19,FRES!$D162*BASE!K$36)</f>
        <v>7.2+3.49852331818776i</v>
      </c>
      <c r="S162" s="2" t="str">
        <f>COMPLEX(BASE!F$19,FRES!$D162*BASE!L$36)</f>
        <v>7.2+3.49852331818776i</v>
      </c>
      <c r="T162" s="2" t="str">
        <f>COMPLEX(BASE!G$19,FRES!$D162*BASE!M$36)</f>
        <v>7.2+3.49852331818776i</v>
      </c>
      <c r="U162" s="2" t="str">
        <f>IMDIV(BASE!K$21*BASE!E$38,IMPRODUCT(FRES!R162,IMSUM(FRES!O162,IMDIV(BASE!K$21^2,FRES!R162))))</f>
        <v>-0.0038961835480364-0.01378313048998i</v>
      </c>
      <c r="V162" s="2" t="str">
        <f>IMDIV(BASE!L$21*BASE!F$38,IMPRODUCT(FRES!S162,IMSUM(FRES!P162,IMDIV(BASE!L$21^2,FRES!S162))))</f>
        <v>-0.00389727441250115-0.0137941654882066i</v>
      </c>
      <c r="W162" s="2" t="str">
        <f>IMDIV(BASE!M$21*BASE!G$38,IMPRODUCT(FRES!T162,IMSUM(FRES!Q162,IMDIV(BASE!M$21^2,FRES!T162))))</f>
        <v>-0.0038994520860637-0.0138162869120622i</v>
      </c>
      <c r="X162" s="2" t="str">
        <f t="shared" si="54"/>
        <v>-1.09682667438046E-06+3.10048435431655E-07i</v>
      </c>
      <c r="Y162" s="2" t="str">
        <f t="shared" si="74"/>
        <v>-1.09770481163785E-06+3.10135243667559E-07i</v>
      </c>
      <c r="Z162" s="2" t="str">
        <f t="shared" si="74"/>
        <v>-1.09946517861528E-06+3.1030853742352E-07i</v>
      </c>
      <c r="AA162" s="44" t="str">
        <f>IMPRODUCT(COMPLEX(0,$D162),U162,E$2,BASE!E$15^2/10000,1/(2*BASE!$U$3))</f>
        <v>0.412467829288676-0.116595454982967i</v>
      </c>
      <c r="AB162" s="44" t="str">
        <f>IMPRODUCT(COMPLEX(0,$D162),V162,F$2,BASE!F$15^2/10000,1/(2*BASE!$U$3))</f>
        <v>0.412798057734822-0.116628099707484i</v>
      </c>
      <c r="AC162" s="44" t="str">
        <f>IMPRODUCT(COMPLEX(0,$D162),W162,G$2,BASE!G$15^2/10000,1/(2*BASE!$U$3))</f>
        <v>0.413460053620672-0.116693267797411i</v>
      </c>
      <c r="AD162" s="44">
        <f t="shared" si="55"/>
        <v>-0.27548999806772345</v>
      </c>
      <c r="AE162" s="44">
        <f t="shared" si="56"/>
        <v>-0.27535382020554705</v>
      </c>
      <c r="AF162" s="44">
        <f t="shared" si="57"/>
        <v>-0.27508084085502077</v>
      </c>
      <c r="AG162" s="31">
        <f t="shared" si="58"/>
        <v>86.621063980531147</v>
      </c>
      <c r="AH162" s="31">
        <f t="shared" si="59"/>
        <v>86.627680991102679</v>
      </c>
      <c r="AI162" s="31">
        <f t="shared" si="60"/>
        <v>86.640929669148107</v>
      </c>
      <c r="AJ162" s="2" t="str">
        <f>IMSUM(R162,IMDIV(BASE!K$21^2,FRES!O162))</f>
        <v>7.21992673872321+3.376568858096i</v>
      </c>
      <c r="AK162" s="2" t="str">
        <f>IMSUM(S162,IMDIV(BASE!L$21^2,FRES!P162))</f>
        <v>7.21995706872603+3.37647856122613i</v>
      </c>
      <c r="AL162" s="2" t="str">
        <f>IMSUM(T162,IMDIV(BASE!M$21^2,FRES!Q162))</f>
        <v>7.22001793497876+3.37629757742721i</v>
      </c>
      <c r="AM162" s="31">
        <f t="shared" si="73"/>
        <v>1.4323230513533106E-2</v>
      </c>
      <c r="AN162" s="31">
        <f t="shared" si="73"/>
        <v>1.433414627253281E-2</v>
      </c>
      <c r="AO162" s="31">
        <f t="shared" si="73"/>
        <v>1.4356026978517691E-2</v>
      </c>
      <c r="AP162" s="31">
        <f t="shared" si="61"/>
        <v>1.6119297664266372E-3</v>
      </c>
      <c r="AQ162" s="31">
        <f t="shared" si="62"/>
        <v>1.6131582209179757E-3</v>
      </c>
      <c r="AR162" s="31">
        <f t="shared" si="63"/>
        <v>1.615620665493886E-3</v>
      </c>
      <c r="AS162" s="2">
        <f t="shared" si="64"/>
        <v>109.1230881007029</v>
      </c>
      <c r="AT162" s="2">
        <f t="shared" si="65"/>
        <v>109.123521568301</v>
      </c>
      <c r="AU162" s="2">
        <f t="shared" si="66"/>
        <v>109.12439048856096</v>
      </c>
      <c r="AV162" s="2">
        <f t="shared" si="67"/>
        <v>109.1230881007029</v>
      </c>
      <c r="AW162" s="2">
        <f t="shared" si="68"/>
        <v>109.123521568301</v>
      </c>
      <c r="AX162" s="2">
        <f t="shared" si="69"/>
        <v>109.12439048856096</v>
      </c>
      <c r="AY162">
        <f t="shared" si="70"/>
        <v>7.9704804978115389</v>
      </c>
      <c r="AZ162">
        <f t="shared" si="71"/>
        <v>7.97046971944983</v>
      </c>
      <c r="BA162">
        <f t="shared" si="72"/>
        <v>7.9704481876965865</v>
      </c>
    </row>
    <row r="163" spans="1:53" x14ac:dyDescent="0.2">
      <c r="A163" s="2">
        <v>159</v>
      </c>
      <c r="B163" s="2"/>
      <c r="C163" s="1">
        <v>2160.1194777846122</v>
      </c>
      <c r="D163" s="2">
        <f t="shared" si="53"/>
        <v>13572.430964568715</v>
      </c>
      <c r="E163" s="2"/>
      <c r="F163" s="2">
        <f>$D163*BASE!E$15/100/E$3</f>
        <v>2.4856486940925264</v>
      </c>
      <c r="G163" s="2">
        <f>$D163*BASE!F$15/100/F$3</f>
        <v>2.4856486940925264</v>
      </c>
      <c r="H163" s="2">
        <f>$D163*BASE!G$15/100/G$3</f>
        <v>2.4856486940925264</v>
      </c>
      <c r="I163" s="2">
        <f>(1-BESSELJ(2*F163,1)/F163)*BASE!K$13*E$2*E$3</f>
        <v>5.818586323006806</v>
      </c>
      <c r="J163" s="2">
        <f>(1-BESSELJ(2*G163,1)/G163)*BASE!L$13*F$2*F$3</f>
        <v>5.818586323006806</v>
      </c>
      <c r="K163" s="2">
        <f>(1-BESSELJ(2*H163,1)/H163)*BASE!M$13*G$2*G$3</f>
        <v>5.818586323006806</v>
      </c>
      <c r="L163" s="2" t="str">
        <f>IMPRODUCT(COMPLEX(1-BESSELJ(2*F163,1)/F163,(STRUVE(2*F163)/(2*F163^2))),PI()*(BASE!E$15/100)^2*E$2*E$3)</f>
        <v>5.81858632300679+1.69333846017391i</v>
      </c>
      <c r="M163" s="2" t="str">
        <f>IMPRODUCT(COMPLEX(1-BESSELJ(2*G163,1)/G163,(STRUVE(2*G163)/(2*G163^2))),PI()*(BASE!F$15/100)^2*F$2*F$3)</f>
        <v>5.81858632300679+1.69333846017391i</v>
      </c>
      <c r="N163" s="2" t="str">
        <f>IMPRODUCT(COMPLEX(1-BESSELJ(2*H163,1)/H163,(STRUVE(2*H163)/(2*H163^2))),PI()*(BASE!G$15/100)^2*G$2*G$3)</f>
        <v>5.81858632300679+1.69333846017391i</v>
      </c>
      <c r="O163" s="2" t="str">
        <f>IMSUM(IMPRODUCT(IF($O$3=1,L163,COMPLEX(I163,$D163*BASE!K$15)),2),COMPLEX(BASE!E$36,$D163*BASE!K$14-BASE!K$10/$D163))</f>
        <v>12.4371726460136+80.9497886253118i</v>
      </c>
      <c r="P163" s="2" t="str">
        <f>IMSUM(IMPRODUCT(IF($O$3=1,M163,COMPLEX(J163,$D163*BASE!L$15)),2),COMPLEX(BASE!F$36,$D163*BASE!L$14-BASE!L$10/$D163))</f>
        <v>12.4371726460136+80.8956347304113i</v>
      </c>
      <c r="Q163" s="2" t="str">
        <f>IMSUM(IMPRODUCT(IF($O$3=1,N163,COMPLEX(K163,$D163*BASE!M$15)),2),COMPLEX(BASE!G$36,$D163*BASE!M$14-BASE!M$10/$D163))</f>
        <v>12.4371726460136+80.7873269406102i</v>
      </c>
      <c r="R163" s="2" t="str">
        <f>COMPLEX(BASE!E$19,FRES!$D163*BASE!K$36)</f>
        <v>7.2+3.77861418155052i</v>
      </c>
      <c r="S163" s="2" t="str">
        <f>COMPLEX(BASE!F$19,FRES!$D163*BASE!L$36)</f>
        <v>7.2+3.77861418155052i</v>
      </c>
      <c r="T163" s="2" t="str">
        <f>COMPLEX(BASE!G$19,FRES!$D163*BASE!M$36)</f>
        <v>7.2+3.77861418155052i</v>
      </c>
      <c r="U163" s="2" t="str">
        <f>IMDIV(BASE!K$21*BASE!E$38,IMPRODUCT(FRES!R163,IMSUM(FRES!O163,IMDIV(BASE!K$21^2,FRES!R163))))</f>
        <v>-0.0040817765427852-0.0124227017893041i</v>
      </c>
      <c r="V163" s="2" t="str">
        <f>IMDIV(BASE!L$21*BASE!F$38,IMPRODUCT(FRES!S163,IMSUM(FRES!P163,IMDIV(BASE!L$21^2,FRES!S163))))</f>
        <v>-0.00408308832059594-0.012431293106387i</v>
      </c>
      <c r="W163" s="2" t="str">
        <f>IMDIV(BASE!M$21*BASE!G$38,IMPRODUCT(FRES!T163,IMSUM(FRES!Q163,IMDIV(BASE!M$21^2,FRES!T163))))</f>
        <v>-0.00408571136788804-0.0124485104401288i</v>
      </c>
      <c r="X163" s="2" t="str">
        <f t="shared" si="54"/>
        <v>-9.15289370175026E-07+3.00740269259119E-07i</v>
      </c>
      <c r="Y163" s="2" t="str">
        <f t="shared" si="74"/>
        <v>-9.15922367838106E-07+3.00836919432855E-07i</v>
      </c>
      <c r="Z163" s="2" t="str">
        <f t="shared" si="74"/>
        <v>-9.17190919786298E-07+3.01030182327243E-07i</v>
      </c>
      <c r="AA163" s="44" t="str">
        <f>IMPRODUCT(COMPLEX(0,$D163),U163,E$2,BASE!E$15^2/10000,1/(2*BASE!$U$3))</f>
        <v>0.401518953347835-0.131928679691076i</v>
      </c>
      <c r="AB163" s="44" t="str">
        <f>IMPRODUCT(COMPLEX(0,$D163),V163,F$2,BASE!F$15^2/10000,1/(2*BASE!$U$3))</f>
        <v>0.401796636632962-0.131971078169485i</v>
      </c>
      <c r="AC163" s="44" t="str">
        <f>IMPRODUCT(COMPLEX(0,$D163),W163,G$2,BASE!G$15^2/10000,1/(2*BASE!$U$3))</f>
        <v>0.402353124741643-0.132055858696392i</v>
      </c>
      <c r="AD163" s="44">
        <f t="shared" si="55"/>
        <v>-0.31746103614724042</v>
      </c>
      <c r="AE163" s="44">
        <f t="shared" si="56"/>
        <v>-0.31735132021633611</v>
      </c>
      <c r="AF163" s="44">
        <f t="shared" si="57"/>
        <v>-0.31713145627231615</v>
      </c>
      <c r="AG163" s="31">
        <f t="shared" si="58"/>
        <v>86.498765281341917</v>
      </c>
      <c r="AH163" s="31">
        <f t="shared" si="59"/>
        <v>86.504457143490413</v>
      </c>
      <c r="AI163" s="31">
        <f t="shared" si="60"/>
        <v>86.51585175495066</v>
      </c>
      <c r="AJ163" s="2" t="str">
        <f>IMSUM(R163,IMDIV(BASE!K$21^2,FRES!O163))</f>
        <v>7.21739873184129+3.66537110734164i</v>
      </c>
      <c r="AK163" s="2" t="str">
        <f>IMSUM(S163,IMDIV(BASE!L$21^2,FRES!P163))</f>
        <v>7.21742149599701+3.66529879896773i</v>
      </c>
      <c r="AL163" s="2" t="str">
        <f>IMSUM(T163,IMDIV(BASE!M$21^2,FRES!Q163))</f>
        <v>7.21746715748053+3.66515391190032i</v>
      </c>
      <c r="AM163" s="31">
        <f t="shared" si="73"/>
        <v>1.3076101081408435E-2</v>
      </c>
      <c r="AN163" s="31">
        <f t="shared" si="73"/>
        <v>1.3084672656612083E-2</v>
      </c>
      <c r="AO163" s="31">
        <f t="shared" si="73"/>
        <v>1.3101849089334119E-2</v>
      </c>
      <c r="AP163" s="31">
        <f t="shared" si="61"/>
        <v>1.3624972225362102E-3</v>
      </c>
      <c r="AQ163" s="31">
        <f t="shared" si="62"/>
        <v>1.3633903593615534E-3</v>
      </c>
      <c r="AR163" s="31">
        <f t="shared" si="63"/>
        <v>1.3651801009466908E-3</v>
      </c>
      <c r="AS163" s="2">
        <f t="shared" si="64"/>
        <v>108.98949013716184</v>
      </c>
      <c r="AT163" s="2">
        <f t="shared" si="65"/>
        <v>108.98983937381662</v>
      </c>
      <c r="AU163" s="2">
        <f t="shared" si="66"/>
        <v>108.99053922248659</v>
      </c>
      <c r="AV163" s="2">
        <f t="shared" si="67"/>
        <v>108.98949013716184</v>
      </c>
      <c r="AW163" s="2">
        <f t="shared" si="68"/>
        <v>108.98983937381662</v>
      </c>
      <c r="AX163" s="2">
        <f t="shared" si="69"/>
        <v>108.99053922248659</v>
      </c>
      <c r="AY163">
        <f t="shared" si="70"/>
        <v>8.0948001710307302</v>
      </c>
      <c r="AZ163">
        <f t="shared" si="71"/>
        <v>8.0947877264690522</v>
      </c>
      <c r="BA163">
        <f t="shared" si="72"/>
        <v>8.094762835761669</v>
      </c>
    </row>
    <row r="164" spans="1:53" x14ac:dyDescent="0.2">
      <c r="A164" s="2">
        <v>160</v>
      </c>
      <c r="B164" s="2"/>
      <c r="C164" s="1">
        <v>2333.0580791522334</v>
      </c>
      <c r="D164" s="2">
        <f t="shared" si="53"/>
        <v>14659.036243725941</v>
      </c>
      <c r="E164" s="2"/>
      <c r="F164" s="2">
        <f>$D164*BASE!E$15/100/E$3</f>
        <v>2.6846490795195761</v>
      </c>
      <c r="G164" s="2">
        <f>$D164*BASE!F$15/100/F$3</f>
        <v>2.6846490795195761</v>
      </c>
      <c r="H164" s="2">
        <f>$D164*BASE!G$15/100/G$3</f>
        <v>2.6846490795195761</v>
      </c>
      <c r="I164" s="2">
        <f>(1-BESSELJ(2*F164,1)/F164)*BASE!K$13*E$2*E$3</f>
        <v>5.8103549151781682</v>
      </c>
      <c r="J164" s="2">
        <f>(1-BESSELJ(2*G164,1)/G164)*BASE!L$13*F$2*F$3</f>
        <v>5.8103549151781682</v>
      </c>
      <c r="K164" s="2">
        <f>(1-BESSELJ(2*H164,1)/H164)*BASE!M$13*G$2*G$3</f>
        <v>5.8103549151781682</v>
      </c>
      <c r="L164" s="2" t="str">
        <f>IMPRODUCT(COMPLEX(1-BESSELJ(2*F164,1)/F164,(STRUVE(2*F164)/(2*F164^2))),PI()*(BASE!E$15/100)^2*E$2*E$3)</f>
        <v>5.81035491517819+1.29931974287773i</v>
      </c>
      <c r="M164" s="2" t="str">
        <f>IMPRODUCT(COMPLEX(1-BESSELJ(2*G164,1)/G164,(STRUVE(2*G164)/(2*G164^2))),PI()*(BASE!F$15/100)^2*F$2*F$3)</f>
        <v>5.81035491517819+1.29931974287773i</v>
      </c>
      <c r="N164" s="2" t="str">
        <f>IMPRODUCT(COMPLEX(1-BESSELJ(2*H164,1)/H164,(STRUVE(2*H164)/(2*H164^2))),PI()*(BASE!G$15/100)^2*G$2*G$3)</f>
        <v>5.81035491517819+1.29931974287773i</v>
      </c>
      <c r="O164" s="2" t="str">
        <f>IMSUM(IMPRODUCT(IF($O$3=1,L164,COMPLEX(I164,$D164*BASE!K$15)),2),COMPLEX(BASE!E$36,$D164*BASE!K$14-BASE!K$10/$D164))</f>
        <v>12.4207098303563+87.4389516600331i</v>
      </c>
      <c r="P164" s="2" t="str">
        <f>IMSUM(IMPRODUCT(IF($O$3=1,M164,COMPLEX(J164,$D164*BASE!L$15)),2),COMPLEX(BASE!F$36,$D164*BASE!L$14-BASE!L$10/$D164))</f>
        <v>12.4207098303563+87.3888119381728i</v>
      </c>
      <c r="Q164" s="2" t="str">
        <f>IMSUM(IMPRODUCT(IF($O$3=1,N164,COMPLEX(K164,$D164*BASE!M$15)),2),COMPLEX(BASE!G$36,$D164*BASE!M$14-BASE!M$10/$D164))</f>
        <v>12.4207098303563+87.2885324944522i</v>
      </c>
      <c r="R164" s="2" t="str">
        <f>COMPLEX(BASE!E$19,FRES!$D164*BASE!K$36)</f>
        <v>7.2+4.08112904630022i</v>
      </c>
      <c r="S164" s="2" t="str">
        <f>COMPLEX(BASE!F$19,FRES!$D164*BASE!L$36)</f>
        <v>7.2+4.08112904630022i</v>
      </c>
      <c r="T164" s="2" t="str">
        <f>COMPLEX(BASE!G$19,FRES!$D164*BASE!M$36)</f>
        <v>7.2+4.08112904630022i</v>
      </c>
      <c r="U164" s="2" t="str">
        <f>IMDIV(BASE!K$21*BASE!E$38,IMPRODUCT(FRES!R164,IMSUM(FRES!O164,IMDIV(BASE!K$21^2,FRES!R164))))</f>
        <v>-0.00422597179458241-0.0111407273071538i</v>
      </c>
      <c r="V164" s="2" t="str">
        <f>IMDIV(BASE!L$21*BASE!F$38,IMPRODUCT(FRES!S164,IMSUM(FRES!P164,IMDIV(BASE!L$21^2,FRES!S164))))</f>
        <v>-0.00422738505638414-0.0111473787232898i</v>
      </c>
      <c r="W164" s="2" t="str">
        <f>IMDIV(BASE!M$21*BASE!G$38,IMPRODUCT(FRES!T164,IMSUM(FRES!Q164,IMDIV(BASE!M$21^2,FRES!T164))))</f>
        <v>-0.00423021288445115-0.0111607048289711i</v>
      </c>
      <c r="X164" s="2" t="str">
        <f t="shared" si="54"/>
        <v>-7.59990433335756E-07+2.88284422271698E-07i</v>
      </c>
      <c r="Y164" s="2" t="str">
        <f t="shared" si="74"/>
        <v>-7.60444175043288E-07+2.88380831188235E-07i</v>
      </c>
      <c r="Z164" s="2" t="str">
        <f t="shared" si="74"/>
        <v>-7.61353246107697E-07+2.88573738008301E-07i</v>
      </c>
      <c r="AA164" s="44" t="str">
        <f>IMPRODUCT(COMPLEX(0,$D164),U164,E$2,BASE!E$15^2/10000,1/(2*BASE!$U$3))</f>
        <v>0.38891197165287-0.14752457155334i</v>
      </c>
      <c r="AB164" s="44" t="str">
        <f>IMPRODUCT(COMPLEX(0,$D164),V164,F$2,BASE!F$15^2/10000,1/(2*BASE!$U$3))</f>
        <v>0.389144166131059-0.147573907150435i</v>
      </c>
      <c r="AC164" s="44" t="str">
        <f>IMPRODUCT(COMPLEX(0,$D164),W164,G$2,BASE!G$15^2/10000,1/(2*BASE!$U$3))</f>
        <v>0.389609367539556-0.147672623882181i</v>
      </c>
      <c r="AD164" s="44">
        <f t="shared" si="55"/>
        <v>-0.36255825817887238</v>
      </c>
      <c r="AE164" s="44">
        <f t="shared" si="56"/>
        <v>-0.36247122176849228</v>
      </c>
      <c r="AF164" s="44">
        <f t="shared" si="57"/>
        <v>-0.36229685408406537</v>
      </c>
      <c r="AG164" s="31">
        <f t="shared" si="58"/>
        <v>86.360263283865081</v>
      </c>
      <c r="AH164" s="31">
        <f t="shared" si="59"/>
        <v>86.365160797101609</v>
      </c>
      <c r="AI164" s="31">
        <f t="shared" si="60"/>
        <v>86.374963917759757</v>
      </c>
      <c r="AJ164" s="2" t="str">
        <f>IMSUM(R164,IMDIV(BASE!K$21^2,FRES!O164))</f>
        <v>7.2149424025686+3.97593795547482i</v>
      </c>
      <c r="AK164" s="2" t="str">
        <f>IMSUM(S164,IMDIV(BASE!L$21^2,FRES!P164))</f>
        <v>7.21495921440581+3.97587999110876i</v>
      </c>
      <c r="AL164" s="2" t="str">
        <f>IMSUM(T164,IMDIV(BASE!M$21^2,FRES!Q164))</f>
        <v>7.21499292273454+3.9757638746494i</v>
      </c>
      <c r="AM164" s="31">
        <f t="shared" si="73"/>
        <v>1.1915311264963599E-2</v>
      </c>
      <c r="AN164" s="31">
        <f t="shared" si="73"/>
        <v>1.1922031572487722E-2</v>
      </c>
      <c r="AO164" s="31">
        <f t="shared" si="73"/>
        <v>1.193549468296959E-2</v>
      </c>
      <c r="AP164" s="31">
        <f t="shared" si="61"/>
        <v>1.1495158693001126E-3</v>
      </c>
      <c r="AQ164" s="31">
        <f t="shared" si="62"/>
        <v>1.1501642031936869E-3</v>
      </c>
      <c r="AR164" s="31">
        <f t="shared" si="63"/>
        <v>1.151463041201767E-3</v>
      </c>
      <c r="AS164" s="2">
        <f t="shared" si="64"/>
        <v>108.8459412210409</v>
      </c>
      <c r="AT164" s="2">
        <f t="shared" si="65"/>
        <v>108.84621826653972</v>
      </c>
      <c r="AU164" s="2">
        <f t="shared" si="66"/>
        <v>108.84677329611756</v>
      </c>
      <c r="AV164" s="2">
        <f t="shared" si="67"/>
        <v>108.8459412210409</v>
      </c>
      <c r="AW164" s="2">
        <f t="shared" si="68"/>
        <v>108.84621826653972</v>
      </c>
      <c r="AX164" s="2">
        <f t="shared" si="69"/>
        <v>108.84677329611756</v>
      </c>
      <c r="AY164">
        <f t="shared" si="70"/>
        <v>8.2379291389382363</v>
      </c>
      <c r="AZ164">
        <f t="shared" si="71"/>
        <v>8.2379158874826039</v>
      </c>
      <c r="BA164">
        <f t="shared" si="72"/>
        <v>8.2378893693759139</v>
      </c>
    </row>
    <row r="165" spans="1:53" x14ac:dyDescent="0.2">
      <c r="A165" s="2">
        <v>161</v>
      </c>
      <c r="B165" s="2"/>
      <c r="C165" s="1">
        <v>2519.842099789746</v>
      </c>
      <c r="D165" s="2">
        <f t="shared" si="53"/>
        <v>15832.634857811488</v>
      </c>
      <c r="E165" s="2"/>
      <c r="F165" s="2">
        <f>$D165*BASE!E$15/100/E$3</f>
        <v>2.8995813838433828</v>
      </c>
      <c r="G165" s="2">
        <f>$D165*BASE!F$15/100/F$3</f>
        <v>2.8995813838433828</v>
      </c>
      <c r="H165" s="2">
        <f>$D165*BASE!G$15/100/G$3</f>
        <v>2.8995813838433828</v>
      </c>
      <c r="I165" s="2">
        <f>(1-BESSELJ(2*F165,1)/F165)*BASE!K$13*E$2*E$3</f>
        <v>5.6995325569553641</v>
      </c>
      <c r="J165" s="2">
        <f>(1-BESSELJ(2*G165,1)/G165)*BASE!L$13*F$2*F$3</f>
        <v>5.6995325569553641</v>
      </c>
      <c r="K165" s="2">
        <f>(1-BESSELJ(2*H165,1)/H165)*BASE!M$13*G$2*G$3</f>
        <v>5.6995325569553641</v>
      </c>
      <c r="L165" s="2" t="str">
        <f>IMPRODUCT(COMPLEX(1-BESSELJ(2*F165,1)/F165,(STRUVE(2*F165)/(2*F165^2))),PI()*(BASE!E$15/100)^2*E$2*E$3)</f>
        <v>5.69953255695537+0.950240662229453i</v>
      </c>
      <c r="M165" s="2" t="str">
        <f>IMPRODUCT(COMPLEX(1-BESSELJ(2*G165,1)/G165,(STRUVE(2*G165)/(2*G165^2))),PI()*(BASE!F$15/100)^2*F$2*F$3)</f>
        <v>5.69953255695537+0.950240662229453i</v>
      </c>
      <c r="N165" s="2" t="str">
        <f>IMPRODUCT(COMPLEX(1-BESSELJ(2*H165,1)/H165,(STRUVE(2*H165)/(2*H165^2))),PI()*(BASE!G$15/100)^2*G$2*G$3)</f>
        <v>5.69953255695537+0.950240662229453i</v>
      </c>
      <c r="O165" s="2" t="str">
        <f>IMSUM(IMPRODUCT(IF($O$3=1,L165,COMPLEX(I165,$D165*BASE!K$15)),2),COMPLEX(BASE!E$36,$D165*BASE!K$14-BASE!K$10/$D165))</f>
        <v>12.1990651139107+94.4470168845758i</v>
      </c>
      <c r="P165" s="2" t="str">
        <f>IMSUM(IMPRODUCT(IF($O$3=1,M165,COMPLEX(J165,$D165*BASE!L$15)),2),COMPLEX(BASE!F$36,$D165*BASE!L$14-BASE!L$10/$D165))</f>
        <v>12.1990651139107+94.4005937840242i</v>
      </c>
      <c r="Q165" s="2" t="str">
        <f>IMSUM(IMPRODUCT(IF($O$3=1,N165,COMPLEX(K165,$D165*BASE!M$15)),2),COMPLEX(BASE!G$36,$D165*BASE!M$14-BASE!M$10/$D165))</f>
        <v>12.1990651139107+94.3077475829211i</v>
      </c>
      <c r="R165" s="2" t="str">
        <f>COMPLEX(BASE!E$19,FRES!$D165*BASE!K$36)</f>
        <v>7.2+4.40786317213282i</v>
      </c>
      <c r="S165" s="2" t="str">
        <f>COMPLEX(BASE!F$19,FRES!$D165*BASE!L$36)</f>
        <v>7.2+4.40786317213282i</v>
      </c>
      <c r="T165" s="2" t="str">
        <f>COMPLEX(BASE!G$19,FRES!$D165*BASE!M$36)</f>
        <v>7.2+4.40786317213282i</v>
      </c>
      <c r="U165" s="2" t="str">
        <f>IMDIV(BASE!K$21*BASE!E$38,IMPRODUCT(FRES!R165,IMSUM(FRES!O165,IMDIV(BASE!K$21^2,FRES!R165))))</f>
        <v>-0.00432037419097132-0.00993519179037779i</v>
      </c>
      <c r="V165" s="2" t="str">
        <f>IMDIV(BASE!L$21*BASE!F$38,IMPRODUCT(FRES!S165,IMSUM(FRES!P165,IMDIV(BASE!L$21^2,FRES!S165))))</f>
        <v>-0.00432179516617526-0.0099403069335168i</v>
      </c>
      <c r="W165" s="2" t="str">
        <f>IMDIV(BASE!M$21*BASE!G$38,IMPRODUCT(FRES!T165,IMSUM(FRES!Q165,IMDIV(BASE!M$21^2,FRES!T165))))</f>
        <v>-0.00432463916684317-0.00995055270853767i</v>
      </c>
      <c r="X165" s="2" t="str">
        <f t="shared" ref="X165:X188" si="75">IMDIV(U165,COMPLEX(0,$D165))</f>
        <v>-6.2751347956945E-07+2.72877776173797E-07i</v>
      </c>
      <c r="Y165" s="2" t="str">
        <f t="shared" si="74"/>
        <v>-6.27836555493637E-07+2.72967525935394E-07i</v>
      </c>
      <c r="Z165" s="2" t="str">
        <f t="shared" si="74"/>
        <v>-6.28483685621559E-07+2.73147154954408E-07i</v>
      </c>
      <c r="AA165" s="44" t="str">
        <f>IMPRODUCT(COMPLEX(0,$D165),U165,E$2,BASE!E$15^2/10000,1/(2*BASE!$U$3))</f>
        <v>0.37459484835472-0.162894682764952i</v>
      </c>
      <c r="AB165" s="44" t="str">
        <f>IMPRODUCT(COMPLEX(0,$D165),V165,F$2,BASE!F$15^2/10000,1/(2*BASE!$U$3))</f>
        <v>0.374787708876077-0.162948258981926i</v>
      </c>
      <c r="AC165" s="44" t="str">
        <f>IMPRODUCT(COMPLEX(0,$D165),W165,G$2,BASE!G$15^2/10000,1/(2*BASE!$U$3))</f>
        <v>0.375174013903821-0.163055488718543i</v>
      </c>
      <c r="AD165" s="44">
        <f t="shared" si="55"/>
        <v>-0.41018876005082155</v>
      </c>
      <c r="AE165" s="44">
        <f t="shared" si="56"/>
        <v>-0.41012079080519248</v>
      </c>
      <c r="AF165" s="44">
        <f t="shared" si="57"/>
        <v>-0.40998465421768054</v>
      </c>
      <c r="AG165" s="31">
        <f t="shared" si="58"/>
        <v>86.202817797688283</v>
      </c>
      <c r="AH165" s="31">
        <f t="shared" si="59"/>
        <v>86.207031882273981</v>
      </c>
      <c r="AI165" s="31">
        <f t="shared" si="60"/>
        <v>86.215466069306927</v>
      </c>
      <c r="AJ165" s="2" t="str">
        <f>IMSUM(R165,IMDIV(BASE!K$21^2,FRES!O165))</f>
        <v>7.21262189046347+4.31014257710465i</v>
      </c>
      <c r="AK165" s="2" t="str">
        <f>IMSUM(S165,IMDIV(BASE!L$21^2,FRES!P165))</f>
        <v>7.21263410362158+4.31009609960147i</v>
      </c>
      <c r="AL165" s="2" t="str">
        <f>IMSUM(T165,IMDIV(BASE!M$21^2,FRES!Q165))</f>
        <v>7.21265858288021+4.31000301417177i</v>
      </c>
      <c r="AM165" s="31">
        <f t="shared" si="73"/>
        <v>1.0833912915544473E-2</v>
      </c>
      <c r="AN165" s="31">
        <f t="shared" si="73"/>
        <v>1.0839170419865997E-2</v>
      </c>
      <c r="AO165" s="31">
        <f t="shared" si="73"/>
        <v>1.0849700600882051E-2</v>
      </c>
      <c r="AP165" s="31">
        <f t="shared" si="61"/>
        <v>9.6771426337624632E-4</v>
      </c>
      <c r="AQ165" s="31">
        <f t="shared" si="62"/>
        <v>9.6818387781392535E-4</v>
      </c>
      <c r="AR165" s="31">
        <f t="shared" si="63"/>
        <v>9.6912446192648136E-4</v>
      </c>
      <c r="AS165" s="2">
        <f t="shared" si="64"/>
        <v>108.69432862474353</v>
      </c>
      <c r="AT165" s="2">
        <f t="shared" si="65"/>
        <v>108.69454497757192</v>
      </c>
      <c r="AU165" s="2">
        <f t="shared" si="66"/>
        <v>108.6949783137887</v>
      </c>
      <c r="AV165" s="2">
        <f t="shared" si="67"/>
        <v>108.69432862474353</v>
      </c>
      <c r="AW165" s="2">
        <f t="shared" si="68"/>
        <v>108.69454497757192</v>
      </c>
      <c r="AX165" s="2">
        <f t="shared" si="69"/>
        <v>108.6949783137887</v>
      </c>
      <c r="AY165">
        <f t="shared" si="70"/>
        <v>8.4023356020670317</v>
      </c>
      <c r="AZ165">
        <f t="shared" si="71"/>
        <v>8.4023222445062693</v>
      </c>
      <c r="BA165">
        <f t="shared" si="72"/>
        <v>8.4022955086907825</v>
      </c>
    </row>
    <row r="166" spans="1:53" x14ac:dyDescent="0.2">
      <c r="A166" s="2">
        <v>162</v>
      </c>
      <c r="B166" s="2"/>
      <c r="C166" s="1">
        <v>2721.5800003487539</v>
      </c>
      <c r="D166" s="2">
        <f t="shared" si="53"/>
        <v>17100.191470505102</v>
      </c>
      <c r="E166" s="2"/>
      <c r="F166" s="2">
        <f>$D166*BASE!E$15/100/E$3</f>
        <v>3.1317211123308759</v>
      </c>
      <c r="G166" s="2">
        <f>$D166*BASE!F$15/100/F$3</f>
        <v>3.1317211123308759</v>
      </c>
      <c r="H166" s="2">
        <f>$D166*BASE!G$15/100/G$3</f>
        <v>3.1317211123308759</v>
      </c>
      <c r="I166" s="2">
        <f>(1-BESSELJ(2*F166,1)/F166)*BASE!K$13*E$2*E$3</f>
        <v>5.5044512188516492</v>
      </c>
      <c r="J166" s="2">
        <f>(1-BESSELJ(2*G166,1)/G166)*BASE!L$13*F$2*F$3</f>
        <v>5.5044512188516492</v>
      </c>
      <c r="K166" s="2">
        <f>(1-BESSELJ(2*H166,1)/H166)*BASE!M$13*G$2*G$3</f>
        <v>5.5044512188516492</v>
      </c>
      <c r="L166" s="2" t="str">
        <f>IMPRODUCT(COMPLEX(1-BESSELJ(2*F166,1)/F166,(STRUVE(2*F166)/(2*F166^2))),PI()*(BASE!E$15/100)^2*E$2*E$3)</f>
        <v>5.50445121885163+0.684773864070057i</v>
      </c>
      <c r="M166" s="2" t="str">
        <f>IMPRODUCT(COMPLEX(1-BESSELJ(2*G166,1)/G166,(STRUVE(2*G166)/(2*G166^2))),PI()*(BASE!F$15/100)^2*F$2*F$3)</f>
        <v>5.50445121885163+0.684773864070057i</v>
      </c>
      <c r="N166" s="2" t="str">
        <f>IMPRODUCT(COMPLEX(1-BESSELJ(2*H166,1)/H166,(STRUVE(2*H166)/(2*H166^2))),PI()*(BASE!G$15/100)^2*G$2*G$3)</f>
        <v>5.50445121885163+0.684773864070057i</v>
      </c>
      <c r="O166" s="2" t="str">
        <f>IMSUM(IMPRODUCT(IF($O$3=1,L166,COMPLEX(I166,$D166*BASE!K$15)),2),COMPLEX(BASE!E$36,$D166*BASE!K$14-BASE!K$10/$D166))</f>
        <v>11.8089024377033+102.015573319878i</v>
      </c>
      <c r="P166" s="2" t="str">
        <f>IMSUM(IMPRODUCT(IF($O$3=1,M166,COMPLEX(J166,$D166*BASE!L$15)),2),COMPLEX(BASE!F$36,$D166*BASE!L$14-BASE!L$10/$D166))</f>
        <v>11.8089024377033+101.972591345012i</v>
      </c>
      <c r="Q166" s="2" t="str">
        <f>IMSUM(IMPRODUCT(IF($O$3=1,N166,COMPLEX(K166,$D166*BASE!M$15)),2),COMPLEX(BASE!G$36,$D166*BASE!M$14-BASE!M$10/$D166))</f>
        <v>11.8089024377033+101.886627395279i</v>
      </c>
      <c r="R166" s="2" t="str">
        <f>COMPLEX(BASE!E$19,FRES!$D166*BASE!K$36)</f>
        <v>7.2+4.76075554676678i</v>
      </c>
      <c r="S166" s="2" t="str">
        <f>COMPLEX(BASE!F$19,FRES!$D166*BASE!L$36)</f>
        <v>7.2+4.76075554676678i</v>
      </c>
      <c r="T166" s="2" t="str">
        <f>COMPLEX(BASE!G$19,FRES!$D166*BASE!M$36)</f>
        <v>7.2+4.76075554676678i</v>
      </c>
      <c r="U166" s="2" t="str">
        <f>IMDIV(BASE!K$21*BASE!E$38,IMPRODUCT(FRES!R166,IMSUM(FRES!O166,IMDIV(BASE!K$21^2,FRES!R166))))</f>
        <v>-0.00435777388316497-0.00880692132449221i</v>
      </c>
      <c r="V166" s="2" t="str">
        <f>IMDIV(BASE!L$21*BASE!F$38,IMPRODUCT(FRES!S166,IMSUM(FRES!P166,IMDIV(BASE!L$21^2,FRES!S166))))</f>
        <v>-0.00435913181779508-0.00881082577571943i</v>
      </c>
      <c r="W166" s="2" t="str">
        <f>IMDIV(BASE!M$21*BASE!G$38,IMPRODUCT(FRES!T166,IMSUM(FRES!Q166,IMDIV(BASE!M$21^2,FRES!T166))))</f>
        <v>-0.0043618498622323-0.00881864489256092i</v>
      </c>
      <c r="X166" s="2" t="str">
        <f t="shared" si="75"/>
        <v>-5.15018872138516E-07+2.54837724517961E-07i</v>
      </c>
      <c r="Y166" s="2" t="str">
        <f t="shared" si="74"/>
        <v>-5.15247200063028E-07+2.54917135010671E-07i</v>
      </c>
      <c r="Z166" s="2" t="str">
        <f t="shared" si="74"/>
        <v>-5.1570445323794E-07+2.55076083198001E-07i</v>
      </c>
      <c r="AA166" s="44" t="str">
        <f>IMPRODUCT(COMPLEX(0,$D166),U166,E$2,BASE!E$15^2/10000,1/(2*BASE!$U$3))</f>
        <v>0.358638937433769-0.177458993608646i</v>
      </c>
      <c r="AB166" s="44" t="str">
        <f>IMPRODUCT(COMPLEX(0,$D166),V166,F$2,BASE!F$15^2/10000,1/(2*BASE!$U$3))</f>
        <v>0.358797936042681-0.177514291960352i</v>
      </c>
      <c r="AC166" s="44" t="str">
        <f>IMPRODUCT(COMPLEX(0,$D166),W166,G$2,BASE!G$15^2/10000,1/(2*BASE!$U$3))</f>
        <v>0.359116349214819-0.177624977242183i</v>
      </c>
      <c r="AD166" s="44">
        <f t="shared" si="55"/>
        <v>-0.45948892403241737</v>
      </c>
      <c r="AE166" s="44">
        <f t="shared" si="56"/>
        <v>-0.45943658560606782</v>
      </c>
      <c r="AF166" s="44">
        <f t="shared" si="57"/>
        <v>-0.45933177755821591</v>
      </c>
      <c r="AG166" s="31">
        <f t="shared" si="58"/>
        <v>86.023681817845059</v>
      </c>
      <c r="AH166" s="31">
        <f t="shared" si="59"/>
        <v>86.027306827885127</v>
      </c>
      <c r="AI166" s="31">
        <f t="shared" si="60"/>
        <v>86.034561318231709</v>
      </c>
      <c r="AJ166" s="2" t="str">
        <f>IMSUM(R166,IMDIV(BASE!K$21^2,FRES!O166))</f>
        <v>7.21050644720439+4.66999171492334i</v>
      </c>
      <c r="AK166" s="2" t="str">
        <f>IMSUM(S166,IMDIV(BASE!L$21^2,FRES!P166))</f>
        <v>7.21051518888254+4.66995446982576i</v>
      </c>
      <c r="AL166" s="2" t="str">
        <f>IMSUM(T166,IMDIV(BASE!M$21^2,FRES!Q166))</f>
        <v>7.21053270485385+4.66987988913729i</v>
      </c>
      <c r="AM166" s="31">
        <f t="shared" si="73"/>
        <v>9.8260905976176663E-3</v>
      </c>
      <c r="AN166" s="31">
        <f t="shared" si="73"/>
        <v>9.8301923203462978E-3</v>
      </c>
      <c r="AO166" s="31">
        <f t="shared" si="73"/>
        <v>9.838405966504267E-3</v>
      </c>
      <c r="AP166" s="31">
        <f t="shared" si="61"/>
        <v>8.1263362531502654E-4</v>
      </c>
      <c r="AQ166" s="31">
        <f t="shared" si="62"/>
        <v>8.1297284443557986E-4</v>
      </c>
      <c r="AR166" s="31">
        <f t="shared" si="63"/>
        <v>8.136521262911764E-4</v>
      </c>
      <c r="AS166" s="2">
        <f t="shared" si="64"/>
        <v>108.5374013288853</v>
      </c>
      <c r="AT166" s="2">
        <f t="shared" si="65"/>
        <v>108.53756792727063</v>
      </c>
      <c r="AU166" s="2">
        <f t="shared" si="66"/>
        <v>108.53790154164847</v>
      </c>
      <c r="AV166" s="2">
        <f t="shared" si="67"/>
        <v>108.5374013288853</v>
      </c>
      <c r="AW166" s="2">
        <f t="shared" si="68"/>
        <v>108.53756792727063</v>
      </c>
      <c r="AX166" s="2">
        <f t="shared" si="69"/>
        <v>108.53790154164847</v>
      </c>
      <c r="AY166">
        <f t="shared" si="70"/>
        <v>8.5907057825669177</v>
      </c>
      <c r="AZ166">
        <f t="shared" si="71"/>
        <v>8.5906928730662599</v>
      </c>
      <c r="BA166">
        <f t="shared" si="72"/>
        <v>8.5906670327010044</v>
      </c>
    </row>
    <row r="167" spans="1:53" x14ac:dyDescent="0.2">
      <c r="A167" s="2">
        <v>163</v>
      </c>
      <c r="B167" s="2"/>
      <c r="C167" s="1">
        <v>2939.4689845511975</v>
      </c>
      <c r="D167" s="2">
        <f t="shared" si="53"/>
        <v>18469.228334642183</v>
      </c>
      <c r="E167" s="2"/>
      <c r="F167" s="2">
        <f>$D167*BASE!E$15/100/E$3</f>
        <v>3.3824458868676088</v>
      </c>
      <c r="G167" s="2">
        <f>$D167*BASE!F$15/100/F$3</f>
        <v>3.3824458868676088</v>
      </c>
      <c r="H167" s="2">
        <f>$D167*BASE!G$15/100/G$3</f>
        <v>3.3824458868676088</v>
      </c>
      <c r="I167" s="2">
        <f>(1-BESSELJ(2*F167,1)/F167)*BASE!K$13*E$2*E$3</f>
        <v>5.2625910429478617</v>
      </c>
      <c r="J167" s="2">
        <f>(1-BESSELJ(2*G167,1)/G167)*BASE!L$13*F$2*F$3</f>
        <v>5.2625910429478617</v>
      </c>
      <c r="K167" s="2">
        <f>(1-BESSELJ(2*H167,1)/H167)*BASE!M$13*G$2*G$3</f>
        <v>5.2625910429478617</v>
      </c>
      <c r="L167" s="2" t="str">
        <f>IMPRODUCT(COMPLEX(1-BESSELJ(2*F167,1)/F167,(STRUVE(2*F167)/(2*F167^2))),PI()*(BASE!E$15/100)^2*E$2*E$3)</f>
        <v>5.26259104294785+0.534570281713004i</v>
      </c>
      <c r="M167" s="2" t="str">
        <f>IMPRODUCT(COMPLEX(1-BESSELJ(2*G167,1)/G167,(STRUVE(2*G167)/(2*G167^2))),PI()*(BASE!F$15/100)^2*F$2*F$3)</f>
        <v>5.26259104294785+0.534570281713004i</v>
      </c>
      <c r="N167" s="2" t="str">
        <f>IMPRODUCT(COMPLEX(1-BESSELJ(2*H167,1)/H167,(STRUVE(2*H167)/(2*H167^2))),PI()*(BASE!G$15/100)^2*G$2*G$3)</f>
        <v>5.26259104294785+0.534570281713004i</v>
      </c>
      <c r="O167" s="2" t="str">
        <f>IMSUM(IMPRODUCT(IF($O$3=1,L167,COMPLEX(I167,$D167*BASE!K$15)),2),COMPLEX(BASE!E$36,$D167*BASE!K$14-BASE!K$10/$D167))</f>
        <v>11.3251820858957+110.189536194607i</v>
      </c>
      <c r="P167" s="2" t="str">
        <f>IMSUM(IMPRODUCT(IF($O$3=1,M167,COMPLEX(J167,$D167*BASE!L$15)),2),COMPLEX(BASE!F$36,$D167*BASE!L$14-BASE!L$10/$D167))</f>
        <v>11.3251820858957+110.149740270994i</v>
      </c>
      <c r="Q167" s="2" t="str">
        <f>IMSUM(IMPRODUCT(IF($O$3=1,N167,COMPLEX(K167,$D167*BASE!M$15)),2),COMPLEX(BASE!G$36,$D167*BASE!M$14-BASE!M$10/$D167))</f>
        <v>11.3251820858957+110.070148423767i</v>
      </c>
      <c r="R167" s="2" t="str">
        <f>COMPLEX(BASE!E$19,FRES!$D167*BASE!K$36)</f>
        <v>7.2+5.14190039277103i</v>
      </c>
      <c r="S167" s="2" t="str">
        <f>COMPLEX(BASE!F$19,FRES!$D167*BASE!L$36)</f>
        <v>7.2+5.14190039277103i</v>
      </c>
      <c r="T167" s="2" t="str">
        <f>COMPLEX(BASE!G$19,FRES!$D167*BASE!M$36)</f>
        <v>7.2+5.14190039277103i</v>
      </c>
      <c r="U167" s="2" t="str">
        <f>IMDIV(BASE!K$21*BASE!E$38,IMPRODUCT(FRES!R167,IMSUM(FRES!O167,IMDIV(BASE!K$21^2,FRES!R167))))</f>
        <v>-0.00433378132541307-0.0077590007144621i</v>
      </c>
      <c r="V167" s="2" t="str">
        <f>IMDIV(BASE!L$21*BASE!F$38,IMPRODUCT(FRES!S167,IMSUM(FRES!P167,IMDIV(BASE!L$21^2,FRES!S167))))</f>
        <v>-0.0043350267794727-0.00776195831990642i</v>
      </c>
      <c r="W167" s="2" t="str">
        <f>IMDIV(BASE!M$21*BASE!G$38,IMPRODUCT(FRES!T167,IMSUM(FRES!Q167,IMDIV(BASE!M$21^2,FRES!T167))))</f>
        <v>-0.00433751966162391-0.00776788020268728i</v>
      </c>
      <c r="X167" s="2" t="str">
        <f t="shared" si="75"/>
        <v>-4.20104217343437E-07+2.34648749091716E-07i</v>
      </c>
      <c r="Y167" s="2" t="str">
        <f t="shared" si="74"/>
        <v>-4.2026435426907E-07+2.34716183098003E-07i</v>
      </c>
      <c r="Z167" s="2" t="str">
        <f t="shared" si="74"/>
        <v>-4.20584989364027E-07+2.34851157992787E-07i</v>
      </c>
      <c r="AA167" s="44" t="str">
        <f>IMPRODUCT(COMPLEX(0,$D167),U167,E$2,BASE!E$15^2/10000,1/(2*BASE!$U$3))</f>
        <v>0.341261182767026-0.190611058742072i</v>
      </c>
      <c r="AB167" s="44" t="str">
        <f>IMPRODUCT(COMPLEX(0,$D167),V167,F$2,BASE!F$15^2/10000,1/(2*BASE!$U$3))</f>
        <v>0.341391266004447-0.190665837075148i</v>
      </c>
      <c r="AC167" s="44" t="str">
        <f>IMPRODUCT(COMPLEX(0,$D167),W167,G$2,BASE!G$15^2/10000,1/(2*BASE!$U$3))</f>
        <v>0.341651725926591-0.190775480564397i</v>
      </c>
      <c r="AD167" s="44">
        <f t="shared" si="55"/>
        <v>-0.50938296550054762</v>
      </c>
      <c r="AE167" s="44">
        <f t="shared" si="56"/>
        <v>-0.50934304583796275</v>
      </c>
      <c r="AF167" s="44">
        <f t="shared" si="57"/>
        <v>-0.50926312049327582</v>
      </c>
      <c r="AG167" s="31">
        <f t="shared" si="58"/>
        <v>85.820399722790512</v>
      </c>
      <c r="AH167" s="31">
        <f t="shared" si="59"/>
        <v>85.823516351482397</v>
      </c>
      <c r="AI167" s="31">
        <f t="shared" si="60"/>
        <v>85.829752924154974</v>
      </c>
      <c r="AJ167" s="2" t="str">
        <f>IMSUM(R167,IMDIV(BASE!K$21^2,FRES!O167))</f>
        <v>7.20866085576282+5.05763369645525i</v>
      </c>
      <c r="AK167" s="2" t="str">
        <f>IMSUM(S167,IMDIV(BASE!L$21^2,FRES!P167))</f>
        <v>7.2086670495667+5.05760388862234i</v>
      </c>
      <c r="AL167" s="2" t="str">
        <f>IMSUM(T167,IMDIV(BASE!M$21^2,FRES!Q167))</f>
        <v>7.20867945705341+5.05754421033965i</v>
      </c>
      <c r="AM167" s="31">
        <f t="shared" si="73"/>
        <v>8.8872803862330377E-3</v>
      </c>
      <c r="AN167" s="31">
        <f t="shared" si="73"/>
        <v>8.8904698491536413E-3</v>
      </c>
      <c r="AO167" s="31">
        <f t="shared" si="73"/>
        <v>8.8968556051154946E-3</v>
      </c>
      <c r="AP167" s="31">
        <f t="shared" si="61"/>
        <v>6.8051096814092404E-4</v>
      </c>
      <c r="AQ167" s="31">
        <f t="shared" si="62"/>
        <v>6.8075518959063921E-4</v>
      </c>
      <c r="AR167" s="31">
        <f t="shared" si="63"/>
        <v>6.8124415548155961E-4</v>
      </c>
      <c r="AS167" s="2">
        <f t="shared" si="64"/>
        <v>108.37858366227559</v>
      </c>
      <c r="AT167" s="2">
        <f t="shared" si="65"/>
        <v>108.37871073050813</v>
      </c>
      <c r="AU167" s="2">
        <f t="shared" si="66"/>
        <v>108.37896514078183</v>
      </c>
      <c r="AV167" s="2">
        <f t="shared" si="67"/>
        <v>108.37858366227559</v>
      </c>
      <c r="AW167" s="2">
        <f t="shared" si="68"/>
        <v>108.37871073050813</v>
      </c>
      <c r="AX167" s="2">
        <f t="shared" si="69"/>
        <v>108.37896514078183</v>
      </c>
      <c r="AY167">
        <f t="shared" si="70"/>
        <v>8.8059326559386513</v>
      </c>
      <c r="AZ167">
        <f t="shared" si="71"/>
        <v>8.8059206063714033</v>
      </c>
      <c r="BA167">
        <f t="shared" si="72"/>
        <v>8.8058964878133779</v>
      </c>
    </row>
    <row r="168" spans="1:53" x14ac:dyDescent="0.2">
      <c r="A168" s="2">
        <v>164</v>
      </c>
      <c r="B168" s="2"/>
      <c r="C168" s="1">
        <v>3174.8021039363989</v>
      </c>
      <c r="D168" s="2">
        <f t="shared" si="53"/>
        <v>19947.86993265602</v>
      </c>
      <c r="E168" s="2"/>
      <c r="F168" s="2">
        <f>$D168*BASE!E$15/100/E$3</f>
        <v>3.6532436213875852</v>
      </c>
      <c r="G168" s="2">
        <f>$D168*BASE!F$15/100/F$3</f>
        <v>3.6532436213875852</v>
      </c>
      <c r="H168" s="2">
        <f>$D168*BASE!G$15/100/G$3</f>
        <v>3.6532436213875852</v>
      </c>
      <c r="I168" s="2">
        <f>(1-BESSELJ(2*F168,1)/F168)*BASE!K$13*E$2*E$3</f>
        <v>5.0283313926823014</v>
      </c>
      <c r="J168" s="2">
        <f>(1-BESSELJ(2*G168,1)/G168)*BASE!L$13*F$2*F$3</f>
        <v>5.0283313926823014</v>
      </c>
      <c r="K168" s="2">
        <f>(1-BESSELJ(2*H168,1)/H168)*BASE!M$13*G$2*G$3</f>
        <v>5.0283313926823014</v>
      </c>
      <c r="L168" s="2" t="str">
        <f>IMPRODUCT(COMPLEX(1-BESSELJ(2*F168,1)/F168,(STRUVE(2*F168)/(2*F168^2))),PI()*(BASE!E$15/100)^2*E$2*E$3)</f>
        <v>5.0283313926823+0.512952540663437i</v>
      </c>
      <c r="M168" s="2" t="str">
        <f>IMPRODUCT(COMPLEX(1-BESSELJ(2*G168,1)/G168,(STRUVE(2*G168)/(2*G168^2))),PI()*(BASE!F$15/100)^2*F$2*F$3)</f>
        <v>5.0283313926823+0.512952540663437i</v>
      </c>
      <c r="N168" s="2" t="str">
        <f>IMPRODUCT(COMPLEX(1-BESSELJ(2*H168,1)/H168,(STRUVE(2*H168)/(2*H168^2))),PI()*(BASE!G$15/100)^2*G$2*G$3)</f>
        <v>5.0283313926823+0.512952540663437i</v>
      </c>
      <c r="O168" s="2" t="str">
        <f>IMSUM(IMPRODUCT(IF($O$3=1,L168,COMPLEX(I168,$D168*BASE!K$15)),2),COMPLEX(BASE!E$36,$D168*BASE!K$14-BASE!K$10/$D168))</f>
        <v>10.8566627853646+119.017413492384i</v>
      </c>
      <c r="P168" s="2" t="str">
        <f>IMSUM(IMPRODUCT(IF($O$3=1,M168,COMPLEX(J168,$D168*BASE!L$15)),2),COMPLEX(BASE!F$36,$D168*BASE!L$14-BASE!L$10/$D168))</f>
        <v>10.8566627853646+118.980567453059i</v>
      </c>
      <c r="Q168" s="2" t="str">
        <f>IMSUM(IMPRODUCT(IF($O$3=1,N168,COMPLEX(K168,$D168*BASE!M$15)),2),COMPLEX(BASE!G$36,$D168*BASE!M$14-BASE!M$10/$D168))</f>
        <v>10.8566627853646+118.906875374407i</v>
      </c>
      <c r="R168" s="2" t="str">
        <f>COMPLEX(BASE!E$19,FRES!$D168*BASE!K$36)</f>
        <v>7.2+5.55355959562652i</v>
      </c>
      <c r="S168" s="2" t="str">
        <f>COMPLEX(BASE!F$19,FRES!$D168*BASE!L$36)</f>
        <v>7.2+5.55355959562652i</v>
      </c>
      <c r="T168" s="2" t="str">
        <f>COMPLEX(BASE!G$19,FRES!$D168*BASE!M$36)</f>
        <v>7.2+5.55355959562652i</v>
      </c>
      <c r="U168" s="2" t="str">
        <f>IMDIV(BASE!K$21*BASE!E$38,IMPRODUCT(FRES!R168,IMSUM(FRES!O168,IMDIV(BASE!K$21^2,FRES!R168))))</f>
        <v>-0.00424830620265561-0.00679542446930214i</v>
      </c>
      <c r="V168" s="2" t="str">
        <f>IMDIV(BASE!L$21*BASE!F$38,IMPRODUCT(FRES!S168,IMSUM(FRES!P168,IMDIV(BASE!L$21^2,FRES!S168))))</f>
        <v>-0.00424940941608971-0.00679764890918157i</v>
      </c>
      <c r="W168" s="2" t="str">
        <f>IMDIV(BASE!M$21*BASE!G$38,IMPRODUCT(FRES!T168,IMSUM(FRES!Q168,IMDIV(BASE!M$21^2,FRES!T168))))</f>
        <v>-0.00425161747871937-0.00680210210819086i</v>
      </c>
      <c r="X168" s="2" t="str">
        <f t="shared" si="75"/>
        <v>-3.40659152693671E-07+2.1297041824505E-07i</v>
      </c>
      <c r="Y168" s="2" t="str">
        <f t="shared" si="74"/>
        <v>-3.40770665345745E-07+2.13025723068965E-07i</v>
      </c>
      <c r="Z168" s="2" t="str">
        <f t="shared" si="74"/>
        <v>-3.40993907176794E-07+2.13136414718605E-07i</v>
      </c>
      <c r="AA168" s="44" t="str">
        <f>IMPRODUCT(COMPLEX(0,$D168),U168,E$2,BASE!E$15^2/10000,1/(2*BASE!$U$3))</f>
        <v>0.322808875353799-0.201810932287305i</v>
      </c>
      <c r="AB168" s="44" t="str">
        <f>IMPRODUCT(COMPLEX(0,$D168),V168,F$2,BASE!F$15^2/10000,1/(2*BASE!$U$3))</f>
        <v>0.322914544828755-0.201863339181024i</v>
      </c>
      <c r="AC168" s="44" t="str">
        <f>IMPRODUCT(COMPLEX(0,$D168),W168,G$2,BASE!G$15^2/10000,1/(2*BASE!$U$3))</f>
        <v>0.323126088959723-0.20196823067344i</v>
      </c>
      <c r="AD168" s="44">
        <f t="shared" si="55"/>
        <v>-0.55872268395306601</v>
      </c>
      <c r="AE168" s="44">
        <f t="shared" si="56"/>
        <v>-0.55869228039131014</v>
      </c>
      <c r="AF168" s="44">
        <f t="shared" si="57"/>
        <v>-0.55863141698707963</v>
      </c>
      <c r="AG168" s="31">
        <f t="shared" si="58"/>
        <v>85.591079569470082</v>
      </c>
      <c r="AH168" s="31">
        <f t="shared" si="59"/>
        <v>85.593757285122379</v>
      </c>
      <c r="AI168" s="31">
        <f t="shared" si="60"/>
        <v>85.599115170061907</v>
      </c>
      <c r="AJ168" s="2" t="str">
        <f>IMSUM(R168,IMDIV(BASE!K$21^2,FRES!O168))</f>
        <v>7.20713241332107+5.47536969489788i</v>
      </c>
      <c r="AK168" s="2" t="str">
        <f>IMSUM(S168,IMDIV(BASE!L$21^2,FRES!P168))</f>
        <v>7.20713679507025+5.47534588078231i</v>
      </c>
      <c r="AL168" s="2" t="str">
        <f>IMSUM(T168,IMDIV(BASE!M$21^2,FRES!Q168))</f>
        <v>7.20714557065713+5.47529820937879i</v>
      </c>
      <c r="AM168" s="31">
        <f t="shared" si="73"/>
        <v>8.0141062701659001E-3</v>
      </c>
      <c r="AN168" s="31">
        <f t="shared" si="73"/>
        <v>8.0165772670167217E-3</v>
      </c>
      <c r="AO168" s="31">
        <f t="shared" si="73"/>
        <v>8.0215238125686938E-3</v>
      </c>
      <c r="AP168" s="31">
        <f t="shared" si="61"/>
        <v>5.6816380976165909E-4</v>
      </c>
      <c r="AQ168" s="31">
        <f t="shared" si="62"/>
        <v>5.6833899223832454E-4</v>
      </c>
      <c r="AR168" s="31">
        <f t="shared" si="63"/>
        <v>5.686896798972129E-4</v>
      </c>
      <c r="AS168" s="2">
        <f t="shared" si="64"/>
        <v>108.22153046062597</v>
      </c>
      <c r="AT168" s="2">
        <f t="shared" si="65"/>
        <v>108.22162723816879</v>
      </c>
      <c r="AU168" s="2">
        <f t="shared" si="66"/>
        <v>108.22182097240153</v>
      </c>
      <c r="AV168" s="2">
        <f t="shared" si="67"/>
        <v>108.22153046062597</v>
      </c>
      <c r="AW168" s="2">
        <f t="shared" si="68"/>
        <v>108.22162723816879</v>
      </c>
      <c r="AX168" s="2">
        <f t="shared" si="69"/>
        <v>108.22182097240153</v>
      </c>
      <c r="AY168">
        <f t="shared" si="70"/>
        <v>9.0511010887598253</v>
      </c>
      <c r="AZ168">
        <f t="shared" si="71"/>
        <v>9.0510901717447982</v>
      </c>
      <c r="BA168">
        <f t="shared" si="72"/>
        <v>9.0510683213789349</v>
      </c>
    </row>
    <row r="169" spans="1:53" x14ac:dyDescent="0.2">
      <c r="A169" s="2">
        <v>165</v>
      </c>
      <c r="B169" s="2"/>
      <c r="C169" s="1">
        <v>3400</v>
      </c>
      <c r="D169" s="2">
        <f t="shared" si="53"/>
        <v>21362.830044410592</v>
      </c>
      <c r="E169" s="2"/>
      <c r="F169" s="2">
        <f>$D169*BASE!E$15/100/E$3</f>
        <v>3.9123787581333351</v>
      </c>
      <c r="G169" s="2">
        <f>$D169*BASE!F$15/100/F$3</f>
        <v>3.9123787581333351</v>
      </c>
      <c r="H169" s="2">
        <f>$D169*BASE!G$15/100/G$3</f>
        <v>3.9123787581333351</v>
      </c>
      <c r="I169" s="2">
        <f>(1-BESSELJ(2*F169,1)/F169)*BASE!K$13*E$2*E$3</f>
        <v>4.8762016147054759</v>
      </c>
      <c r="J169" s="2">
        <f>(1-BESSELJ(2*G169,1)/G169)*BASE!L$13*F$2*F$3</f>
        <v>4.8762016147054759</v>
      </c>
      <c r="K169" s="2">
        <f>(1-BESSELJ(2*H169,1)/H169)*BASE!M$13*G$2*G$3</f>
        <v>4.8762016147054759</v>
      </c>
      <c r="L169" s="2" t="str">
        <f>IMPRODUCT(COMPLEX(1-BESSELJ(2*F169,1)/F169,(STRUVE(2*F169)/(2*F169^2))),PI()*(BASE!E$15/100)^2*E$2*E$3)</f>
        <v>4.87620161470548+0.589453928909189i</v>
      </c>
      <c r="M169" s="2" t="str">
        <f>IMPRODUCT(COMPLEX(1-BESSELJ(2*G169,1)/G169,(STRUVE(2*G169)/(2*G169^2))),PI()*(BASE!F$15/100)^2*F$2*F$3)</f>
        <v>4.87620161470548+0.589453928909189i</v>
      </c>
      <c r="N169" s="2" t="str">
        <f>IMPRODUCT(COMPLEX(1-BESSELJ(2*H169,1)/H169,(STRUVE(2*H169)/(2*H169^2))),PI()*(BASE!G$15/100)^2*G$2*G$3)</f>
        <v>4.87620161470548+0.589453928909189i</v>
      </c>
      <c r="O169" s="2" t="str">
        <f>IMSUM(IMPRODUCT(IF($O$3=1,L169,COMPLEX(I169,$D169*BASE!K$15)),2),COMPLEX(BASE!E$36,$D169*BASE!K$14-BASE!K$10/$D169))</f>
        <v>10.552403229411+127.464713554972i</v>
      </c>
      <c r="P169" s="2" t="str">
        <f>IMSUM(IMPRODUCT(IF($O$3=1,M169,COMPLEX(J169,$D169*BASE!L$15)),2),COMPLEX(BASE!F$36,$D169*BASE!L$14-BASE!L$10/$D169))</f>
        <v>10.552403229411+127.430308001098i</v>
      </c>
      <c r="Q169" s="2" t="str">
        <f>IMSUM(IMPRODUCT(IF($O$3=1,N169,COMPLEX(K169,$D169*BASE!M$15)),2),COMPLEX(BASE!G$36,$D169*BASE!M$14-BASE!M$10/$D169))</f>
        <v>10.552403229411+127.36149689335i</v>
      </c>
      <c r="R169" s="2" t="str">
        <f>COMPLEX(BASE!E$19,FRES!$D169*BASE!K$36)</f>
        <v>7.2+5.94748964091919i</v>
      </c>
      <c r="S169" s="2" t="str">
        <f>COMPLEX(BASE!F$19,FRES!$D169*BASE!L$36)</f>
        <v>7.2+5.94748964091919i</v>
      </c>
      <c r="T169" s="2" t="str">
        <f>COMPLEX(BASE!G$19,FRES!$D169*BASE!M$36)</f>
        <v>7.2+5.94748964091919i</v>
      </c>
      <c r="U169" s="2" t="str">
        <f>IMDIV(BASE!K$21*BASE!E$38,IMPRODUCT(FRES!R169,IMSUM(FRES!O169,IMDIV(BASE!K$21^2,FRES!R169))))</f>
        <v>-0.00412450338080365-0.00601143858772427i</v>
      </c>
      <c r="V169" s="2" t="str">
        <f>IMDIV(BASE!L$21*BASE!F$38,IMPRODUCT(FRES!S169,IMSUM(FRES!P169,IMDIV(BASE!L$21^2,FRES!S169))))</f>
        <v>-0.00412546915774333-0.0060131561174869i</v>
      </c>
      <c r="W169" s="2" t="str">
        <f>IMDIV(BASE!M$21*BASE!G$38,IMPRODUCT(FRES!T169,IMSUM(FRES!Q169,IMDIV(BASE!M$21^2,FRES!T169))))</f>
        <v>-0.0041274020243222-0.00601659409225652i</v>
      </c>
      <c r="X169" s="2" t="str">
        <f t="shared" si="75"/>
        <v>-2.81397107744023E-07+1.9306914731004E-07i</v>
      </c>
      <c r="Y169" s="2" t="str">
        <f t="shared" si="74"/>
        <v>-2.81477505788621E-07+1.93114355596473E-07i</v>
      </c>
      <c r="Z169" s="2" t="str">
        <f t="shared" si="74"/>
        <v>-2.81638438341212E-07+1.93204833617169E-07i</v>
      </c>
      <c r="AA169" s="44" t="str">
        <f>IMPRODUCT(COMPLEX(0,$D169),U169,E$2,BASE!E$15^2/10000,1/(2*BASE!$U$3))</f>
        <v>0.305822581152498-0.209827689575897i</v>
      </c>
      <c r="AB169" s="44" t="str">
        <f>IMPRODUCT(COMPLEX(0,$D169),V169,F$2,BASE!F$15^2/10000,1/(2*BASE!$U$3))</f>
        <v>0.305909957805781-0.20987682197444i</v>
      </c>
      <c r="AC169" s="44" t="str">
        <f>IMPRODUCT(COMPLEX(0,$D169),W169,G$2,BASE!G$15^2/10000,1/(2*BASE!$U$3))</f>
        <v>0.306084859420867-0.209975153553071i</v>
      </c>
      <c r="AD169" s="44">
        <f t="shared" si="55"/>
        <v>-0.60134232375319419</v>
      </c>
      <c r="AE169" s="44">
        <f t="shared" si="56"/>
        <v>-0.60131827990662856</v>
      </c>
      <c r="AF169" s="44">
        <f t="shared" si="57"/>
        <v>-0.60127015335566447</v>
      </c>
      <c r="AG169" s="31">
        <f t="shared" si="58"/>
        <v>85.364167386315458</v>
      </c>
      <c r="AH169" s="31">
        <f t="shared" si="59"/>
        <v>85.366505394907534</v>
      </c>
      <c r="AI169" s="31">
        <f t="shared" si="60"/>
        <v>85.371183285842392</v>
      </c>
      <c r="AJ169" s="2" t="str">
        <f>IMSUM(R169,IMDIV(BASE!K$21^2,FRES!O169))</f>
        <v>7.20605292126535+5.8743751229762i</v>
      </c>
      <c r="AK169" s="2" t="str">
        <f>IMSUM(S169,IMDIV(BASE!L$21^2,FRES!P169))</f>
        <v>7.20605616796052+5.87435565127368i</v>
      </c>
      <c r="AL169" s="2" t="str">
        <f>IMSUM(T169,IMDIV(BASE!M$21^2,FRES!Q169))</f>
        <v>7.20606266917446+5.87431667695623i</v>
      </c>
      <c r="AM169" s="31">
        <f t="shared" si="73"/>
        <v>7.2903307217328005E-3</v>
      </c>
      <c r="AN169" s="31">
        <f t="shared" si="73"/>
        <v>7.2922933474155842E-3</v>
      </c>
      <c r="AO169" s="31">
        <f t="shared" si="73"/>
        <v>7.2962217579617909E-3</v>
      </c>
      <c r="AP169" s="31">
        <f t="shared" si="61"/>
        <v>4.8261791904098878E-4</v>
      </c>
      <c r="AQ169" s="31">
        <f t="shared" si="62"/>
        <v>4.827478443295717E-4</v>
      </c>
      <c r="AR169" s="31">
        <f t="shared" si="63"/>
        <v>4.8300790404363908E-4</v>
      </c>
      <c r="AS169" s="2">
        <f t="shared" si="64"/>
        <v>108.08586793368625</v>
      </c>
      <c r="AT169" s="2">
        <f t="shared" si="65"/>
        <v>108.08594446762689</v>
      </c>
      <c r="AU169" s="2">
        <f t="shared" si="66"/>
        <v>108.08609765919648</v>
      </c>
      <c r="AV169" s="2">
        <f t="shared" si="67"/>
        <v>108.08586793368625</v>
      </c>
      <c r="AW169" s="2">
        <f t="shared" si="68"/>
        <v>108.08594446762689</v>
      </c>
      <c r="AX169" s="2">
        <f t="shared" si="69"/>
        <v>108.08609765919648</v>
      </c>
      <c r="AY169">
        <f t="shared" si="70"/>
        <v>9.2970684513731818</v>
      </c>
      <c r="AZ169">
        <f t="shared" si="71"/>
        <v>9.2970586646236075</v>
      </c>
      <c r="BA169">
        <f t="shared" si="72"/>
        <v>9.297039077751359</v>
      </c>
    </row>
    <row r="170" spans="1:53" x14ac:dyDescent="0.2">
      <c r="A170" s="2">
        <v>166</v>
      </c>
      <c r="B170" s="2"/>
      <c r="C170" s="1">
        <v>3816.3709642518684</v>
      </c>
      <c r="D170" s="2">
        <f t="shared" si="53"/>
        <v>23978.965969334131</v>
      </c>
      <c r="E170" s="2"/>
      <c r="F170" s="2">
        <f>$D170*BASE!E$15/100/E$3</f>
        <v>4.391496674616425</v>
      </c>
      <c r="G170" s="2">
        <f>$D170*BASE!F$15/100/F$3</f>
        <v>4.391496674616425</v>
      </c>
      <c r="H170" s="2">
        <f>$D170*BASE!G$15/100/G$3</f>
        <v>4.391496674616425</v>
      </c>
      <c r="I170" s="2">
        <f>(1-BESSELJ(2*F170,1)/F170)*BASE!K$13*E$2*E$3</f>
        <v>4.8363484086502773</v>
      </c>
      <c r="J170" s="2">
        <f>(1-BESSELJ(2*G170,1)/G170)*BASE!L$13*F$2*F$3</f>
        <v>4.8363484086502773</v>
      </c>
      <c r="K170" s="2">
        <f>(1-BESSELJ(2*H170,1)/H170)*BASE!M$13*G$2*G$3</f>
        <v>4.8363484086502773</v>
      </c>
      <c r="L170" s="2" t="str">
        <f>IMPRODUCT(COMPLEX(1-BESSELJ(2*F170,1)/F170,(STRUVE(2*F170)/(2*F170^2))),PI()*(BASE!E$15/100)^2*E$2*E$3)</f>
        <v>4.83634840865028+0.814039342509204i</v>
      </c>
      <c r="M170" s="2" t="str">
        <f>IMPRODUCT(COMPLEX(1-BESSELJ(2*G170,1)/G170,(STRUVE(2*G170)/(2*G170^2))),PI()*(BASE!F$15/100)^2*F$2*F$3)</f>
        <v>4.83634840865028+0.814039342509204i</v>
      </c>
      <c r="N170" s="2" t="str">
        <f>IMPRODUCT(COMPLEX(1-BESSELJ(2*H170,1)/H170,(STRUVE(2*H170)/(2*H170^2))),PI()*(BASE!G$15/100)^2*G$2*G$3)</f>
        <v>4.83634840865028+0.814039342509204i</v>
      </c>
      <c r="O170" s="2" t="str">
        <f>IMSUM(IMPRODUCT(IF($O$3=1,L170,COMPLEX(I170,$D170*BASE!K$15)),2),COMPLEX(BASE!E$36,$D170*BASE!K$14-BASE!K$10/$D170))</f>
        <v>10.4726968173006+143.082265160797i</v>
      </c>
      <c r="P170" s="2" t="str">
        <f>IMSUM(IMPRODUCT(IF($O$3=1,M170,COMPLEX(J170,$D170*BASE!L$15)),2),COMPLEX(BASE!F$36,$D170*BASE!L$14-BASE!L$10/$D170))</f>
        <v>10.4726968173006+143.051613296954i</v>
      </c>
      <c r="Q170" s="2" t="str">
        <f>IMSUM(IMPRODUCT(IF($O$3=1,N170,COMPLEX(K170,$D170*BASE!M$15)),2),COMPLEX(BASE!G$36,$D170*BASE!M$14-BASE!M$10/$D170))</f>
        <v>10.4726968173006+142.990309569267i</v>
      </c>
      <c r="R170" s="2" t="str">
        <f>COMPLEX(BASE!E$19,FRES!$D170*BASE!K$36)</f>
        <v>7.2+6.67583140464493i</v>
      </c>
      <c r="S170" s="2" t="str">
        <f>COMPLEX(BASE!F$19,FRES!$D170*BASE!L$36)</f>
        <v>7.2+6.67583140464493i</v>
      </c>
      <c r="T170" s="2" t="str">
        <f>COMPLEX(BASE!G$19,FRES!$D170*BASE!M$36)</f>
        <v>7.2+6.67583140464493i</v>
      </c>
      <c r="U170" s="2" t="str">
        <f>IMDIV(BASE!K$21*BASE!E$38,IMPRODUCT(FRES!R170,IMSUM(FRES!O170,IMDIV(BASE!K$21^2,FRES!R170))))</f>
        <v>-0.0038344090765369-0.00484630868522282i</v>
      </c>
      <c r="V170" s="2" t="str">
        <f>IMDIV(BASE!L$21*BASE!F$38,IMPRODUCT(FRES!S170,IMSUM(FRES!P170,IMDIV(BASE!L$21^2,FRES!S170))))</f>
        <v>-0.00383514802877065-0.00484740983010479i</v>
      </c>
      <c r="W170" s="2" t="str">
        <f>IMDIV(BASE!M$21*BASE!G$38,IMPRODUCT(FRES!T170,IMSUM(FRES!Q170,IMDIV(BASE!M$21^2,FRES!T170))))</f>
        <v>-0.00383662677115647-0.00484961360837879i</v>
      </c>
      <c r="X170" s="2" t="str">
        <f t="shared" si="75"/>
        <v>-2.02106658453104E-07+0.0000001599071903868i</v>
      </c>
      <c r="Y170" s="2" t="str">
        <f t="shared" si="74"/>
        <v>-2.0215257973609E-07+1.59938007071501E-07i</v>
      </c>
      <c r="Z170" s="2" t="str">
        <f t="shared" si="74"/>
        <v>-2.02244484377717E-07+1.59999675384794E-07i</v>
      </c>
      <c r="AA170" s="44" t="str">
        <f>IMPRODUCT(COMPLEX(0,$D170),U170,E$2,BASE!E$15^2/10000,1/(2*BASE!$U$3))</f>
        <v>0.27674123433429-0.218958215356568i</v>
      </c>
      <c r="AB170" s="44" t="str">
        <f>IMPRODUCT(COMPLEX(0,$D170),V170,F$2,BASE!F$15^2/10000,1/(2*BASE!$U$3))</f>
        <v>0.276804113571584-0.219000412122512i</v>
      </c>
      <c r="AC170" s="44" t="str">
        <f>IMPRODUCT(COMPLEX(0,$D170),W170,G$2,BASE!G$15^2/10000,1/(2*BASE!$U$3))</f>
        <v>0.27692995704532-0.219084853502477i</v>
      </c>
      <c r="AD170" s="44">
        <f t="shared" si="55"/>
        <v>-0.66935323146316283</v>
      </c>
      <c r="AE170" s="44">
        <f t="shared" si="56"/>
        <v>-0.66933644900059752</v>
      </c>
      <c r="AF170" s="44">
        <f t="shared" si="57"/>
        <v>-0.6693028625244305</v>
      </c>
      <c r="AG170" s="31">
        <f t="shared" si="58"/>
        <v>84.932084546343731</v>
      </c>
      <c r="AH170" s="31">
        <f t="shared" si="59"/>
        <v>84.933942538177902</v>
      </c>
      <c r="AI170" s="31">
        <f t="shared" si="60"/>
        <v>84.937659707249281</v>
      </c>
      <c r="AJ170" s="2" t="str">
        <f>IMSUM(R170,IMDIV(BASE!K$21^2,FRES!O170))</f>
        <v>7.20477448391184+6.61060045363039i</v>
      </c>
      <c r="AK170" s="2" t="str">
        <f>IMSUM(S170,IMDIV(BASE!L$21^2,FRES!P170))</f>
        <v>7.20477651929257+6.61058662551438i</v>
      </c>
      <c r="AL170" s="2" t="str">
        <f>IMSUM(T170,IMDIV(BASE!M$21^2,FRES!Q170))</f>
        <v>7.20478059395359+6.61055895178254i</v>
      </c>
      <c r="AM170" s="31">
        <f t="shared" si="73"/>
        <v>6.1797573446450713E-3</v>
      </c>
      <c r="AN170" s="31">
        <f t="shared" si="73"/>
        <v>6.1810793930817572E-3</v>
      </c>
      <c r="AO170" s="31">
        <f t="shared" si="73"/>
        <v>6.1837251824225876E-3</v>
      </c>
      <c r="AP170" s="31">
        <f t="shared" si="61"/>
        <v>3.6446511747622689E-4</v>
      </c>
      <c r="AQ170" s="31">
        <f t="shared" si="62"/>
        <v>3.645430882624433E-4</v>
      </c>
      <c r="AR170" s="31">
        <f t="shared" si="63"/>
        <v>3.6469912965195867E-4</v>
      </c>
      <c r="AS170" s="2">
        <f t="shared" si="64"/>
        <v>107.86938249076208</v>
      </c>
      <c r="AT170" s="2">
        <f t="shared" si="65"/>
        <v>107.86943591099957</v>
      </c>
      <c r="AU170" s="2">
        <f t="shared" si="66"/>
        <v>107.86954282007363</v>
      </c>
      <c r="AV170" s="2">
        <f t="shared" si="67"/>
        <v>107.86938249076208</v>
      </c>
      <c r="AW170" s="2">
        <f t="shared" si="68"/>
        <v>107.86943591099957</v>
      </c>
      <c r="AX170" s="2">
        <f t="shared" si="69"/>
        <v>107.86954282007363</v>
      </c>
      <c r="AY170">
        <f t="shared" si="70"/>
        <v>9.7779759521879299</v>
      </c>
      <c r="AZ170">
        <f t="shared" si="71"/>
        <v>9.7779681031581998</v>
      </c>
      <c r="BA170">
        <f t="shared" si="72"/>
        <v>9.7779523961820622</v>
      </c>
    </row>
    <row r="171" spans="1:53" x14ac:dyDescent="0.2">
      <c r="A171" s="2">
        <v>167</v>
      </c>
      <c r="B171" s="2"/>
      <c r="C171" s="1">
        <v>4283.7315696425685</v>
      </c>
      <c r="D171" s="2">
        <f t="shared" si="53"/>
        <v>26915.479258279534</v>
      </c>
      <c r="E171" s="2"/>
      <c r="F171" s="2">
        <f>$D171*BASE!E$15/100/E$3</f>
        <v>4.9292883525337512</v>
      </c>
      <c r="G171" s="2">
        <f>$D171*BASE!F$15/100/F$3</f>
        <v>4.9292883525337512</v>
      </c>
      <c r="H171" s="2">
        <f>$D171*BASE!G$15/100/G$3</f>
        <v>4.9292883525337512</v>
      </c>
      <c r="I171" s="2">
        <f>(1-BESSELJ(2*F171,1)/F171)*BASE!K$13*E$2*E$3</f>
        <v>5.0651509145509204</v>
      </c>
      <c r="J171" s="2">
        <f>(1-BESSELJ(2*G171,1)/G171)*BASE!L$13*F$2*F$3</f>
        <v>5.0651509145509204</v>
      </c>
      <c r="K171" s="2">
        <f>(1-BESSELJ(2*H171,1)/H171)*BASE!M$13*G$2*G$3</f>
        <v>5.0651509145509204</v>
      </c>
      <c r="L171" s="2" t="str">
        <f>IMPRODUCT(COMPLEX(1-BESSELJ(2*F171,1)/F171,(STRUVE(2*F171)/(2*F171^2))),PI()*(BASE!E$15/100)^2*E$2*E$3)</f>
        <v>5.06515091455092+0.924296375066005i</v>
      </c>
      <c r="M171" s="2" t="str">
        <f>IMPRODUCT(COMPLEX(1-BESSELJ(2*G171,1)/G171,(STRUVE(2*G171)/(2*G171^2))),PI()*(BASE!F$15/100)^2*F$2*F$3)</f>
        <v>5.06515091455092+0.924296375066005i</v>
      </c>
      <c r="N171" s="2" t="str">
        <f>IMPRODUCT(COMPLEX(1-BESSELJ(2*H171,1)/H171,(STRUVE(2*H171)/(2*H171^2))),PI()*(BASE!G$15/100)^2*G$2*G$3)</f>
        <v>5.06515091455092+0.924296375066005i</v>
      </c>
      <c r="O171" s="2" t="str">
        <f>IMSUM(IMPRODUCT(IF($O$3=1,L171,COMPLEX(I171,$D171*BASE!K$15)),2),COMPLEX(BASE!E$36,$D171*BASE!K$14-BASE!K$10/$D171))</f>
        <v>10.9303018291018+160.611505494531i</v>
      </c>
      <c r="P171" s="2" t="str">
        <f>IMSUM(IMPRODUCT(IF($O$3=1,M171,COMPLEX(J171,$D171*BASE!L$15)),2),COMPLEX(BASE!F$36,$D171*BASE!L$14-BASE!L$10/$D171))</f>
        <v>10.9303018291018+160.584197788325i</v>
      </c>
      <c r="Q171" s="2" t="str">
        <f>IMSUM(IMPRODUCT(IF($O$3=1,N171,COMPLEX(K171,$D171*BASE!M$15)),2),COMPLEX(BASE!G$36,$D171*BASE!M$14-BASE!M$10/$D171))</f>
        <v>10.9303018291018+160.529582375911i</v>
      </c>
      <c r="R171" s="2" t="str">
        <f>COMPLEX(BASE!E$19,FRES!$D171*BASE!K$36)</f>
        <v>7.2+7.49336739262579i</v>
      </c>
      <c r="S171" s="2" t="str">
        <f>COMPLEX(BASE!F$19,FRES!$D171*BASE!L$36)</f>
        <v>7.2+7.49336739262579i</v>
      </c>
      <c r="T171" s="2" t="str">
        <f>COMPLEX(BASE!G$19,FRES!$D171*BASE!M$36)</f>
        <v>7.2+7.49336739262579i</v>
      </c>
      <c r="U171" s="2" t="str">
        <f>IMDIV(BASE!K$21*BASE!E$38,IMPRODUCT(FRES!R171,IMSUM(FRES!O171,IMDIV(BASE!K$21^2,FRES!R171))))</f>
        <v>-0.00348129642183083-0.00386476902620313i</v>
      </c>
      <c r="V171" s="2" t="str">
        <f>IMDIV(BASE!L$21*BASE!F$38,IMPRODUCT(FRES!S171,IMSUM(FRES!P171,IMDIV(BASE!L$21^2,FRES!S171))))</f>
        <v>-0.00348184031472282-0.00386546821331945i</v>
      </c>
      <c r="W171" s="2" t="str">
        <f>IMDIV(BASE!M$21*BASE!G$38,IMPRODUCT(FRES!T171,IMSUM(FRES!Q171,IMDIV(BASE!M$21^2,FRES!T171))))</f>
        <v>-0.00348292860347905-0.00386686734044576i</v>
      </c>
      <c r="X171" s="2" t="str">
        <f t="shared" si="75"/>
        <v>-1.43589084523334E-07+1.29341795790612E-07i</v>
      </c>
      <c r="Y171" s="2" t="str">
        <f t="shared" si="74"/>
        <v>-1.43615061661233E-07+1.29362003229118E-07i</v>
      </c>
      <c r="Z171" s="2" t="str">
        <f t="shared" si="74"/>
        <v>-1.43667043909548E-07+1.29402436793232E-07i</v>
      </c>
      <c r="AA171" s="44" t="str">
        <f>IMPRODUCT(COMPLEX(0,$D171),U171,E$2,BASE!E$15^2/10000,1/(2*BASE!$U$3))</f>
        <v>0.247718254094279-0.223138993754518i</v>
      </c>
      <c r="AB171" s="44" t="str">
        <f>IMPRODUCT(COMPLEX(0,$D171),V171,F$2,BASE!F$15^2/10000,1/(2*BASE!$U$3))</f>
        <v>0.247763069556876-0.223173855397401i</v>
      </c>
      <c r="AC171" s="44" t="str">
        <f>IMPRODUCT(COMPLEX(0,$D171),W171,G$2,BASE!G$15^2/10000,1/(2*BASE!$U$3))</f>
        <v>0.247852748739936-0.22324361092194i</v>
      </c>
      <c r="AD171" s="44">
        <f t="shared" si="55"/>
        <v>-0.73324441382176886</v>
      </c>
      <c r="AE171" s="44">
        <f t="shared" si="56"/>
        <v>-0.73323214288465</v>
      </c>
      <c r="AF171" s="44">
        <f t="shared" si="57"/>
        <v>-0.73320758850028234</v>
      </c>
      <c r="AG171" s="31">
        <f t="shared" si="58"/>
        <v>84.438703555105917</v>
      </c>
      <c r="AH171" s="31">
        <f t="shared" si="59"/>
        <v>84.440178796412454</v>
      </c>
      <c r="AI171" s="31">
        <f t="shared" si="60"/>
        <v>84.443130026991682</v>
      </c>
      <c r="AJ171" s="2" t="str">
        <f>IMSUM(R171,IMDIV(BASE!K$21^2,FRES!O171))</f>
        <v>7.20395760145284+7.43521379930093i</v>
      </c>
      <c r="AK171" s="2" t="str">
        <f>IMSUM(S171,IMDIV(BASE!L$21^2,FRES!P171))</f>
        <v>7.20395894135772+7.43520400135258i</v>
      </c>
      <c r="AL171" s="2" t="str">
        <f>IMSUM(T171,IMDIV(BASE!M$21^2,FRES!Q171))</f>
        <v>7.20396162320653+7.43518439559432i</v>
      </c>
      <c r="AM171" s="31">
        <f t="shared" si="73"/>
        <v>5.2015251996458912E-3</v>
      </c>
      <c r="AN171" s="31">
        <f t="shared" si="73"/>
        <v>5.2024087195655985E-3</v>
      </c>
      <c r="AO171" s="31">
        <f t="shared" si="73"/>
        <v>5.2041766577950246E-3</v>
      </c>
      <c r="AP171" s="31">
        <f t="shared" si="61"/>
        <v>2.7330248931390852E-4</v>
      </c>
      <c r="AQ171" s="31">
        <f t="shared" si="62"/>
        <v>2.7334891188885352E-4</v>
      </c>
      <c r="AR171" s="31">
        <f t="shared" si="63"/>
        <v>2.734418042426373E-4</v>
      </c>
      <c r="AS171" s="2">
        <f t="shared" si="64"/>
        <v>107.66601054091493</v>
      </c>
      <c r="AT171" s="2">
        <f t="shared" si="65"/>
        <v>107.66604960052091</v>
      </c>
      <c r="AU171" s="2">
        <f t="shared" si="66"/>
        <v>107.66612775955383</v>
      </c>
      <c r="AV171" s="2">
        <f t="shared" si="67"/>
        <v>107.66601054091493</v>
      </c>
      <c r="AW171" s="2">
        <f t="shared" si="68"/>
        <v>107.66604960052091</v>
      </c>
      <c r="AX171" s="2">
        <f t="shared" si="69"/>
        <v>107.66612775955383</v>
      </c>
      <c r="AY171">
        <f t="shared" si="70"/>
        <v>10.352748879637964</v>
      </c>
      <c r="AZ171">
        <f t="shared" si="71"/>
        <v>10.352742775250297</v>
      </c>
      <c r="BA171">
        <f t="shared" si="72"/>
        <v>10.352730560828951</v>
      </c>
    </row>
    <row r="172" spans="1:53" x14ac:dyDescent="0.2">
      <c r="A172" s="2">
        <v>168</v>
      </c>
      <c r="B172" s="2"/>
      <c r="C172" s="1">
        <v>4808.3261120685238</v>
      </c>
      <c r="D172" s="2">
        <f t="shared" si="53"/>
        <v>30211.603979476895</v>
      </c>
      <c r="E172" s="2"/>
      <c r="F172" s="2">
        <f>$D172*BASE!E$15/100/E$3</f>
        <v>5.5329391008925706</v>
      </c>
      <c r="G172" s="2">
        <f>$D172*BASE!F$15/100/F$3</f>
        <v>5.5329391008925706</v>
      </c>
      <c r="H172" s="2">
        <f>$D172*BASE!G$15/100/G$3</f>
        <v>5.5329391008925706</v>
      </c>
      <c r="I172" s="2">
        <f>(1-BESSELJ(2*F172,1)/F172)*BASE!K$13*E$2*E$3</f>
        <v>5.3207730785646703</v>
      </c>
      <c r="J172" s="2">
        <f>(1-BESSELJ(2*G172,1)/G172)*BASE!L$13*F$2*F$3</f>
        <v>5.3207730785646703</v>
      </c>
      <c r="K172" s="2">
        <f>(1-BESSELJ(2*H172,1)/H172)*BASE!M$13*G$2*G$3</f>
        <v>5.3207730785646703</v>
      </c>
      <c r="L172" s="2" t="str">
        <f>IMPRODUCT(COMPLEX(1-BESSELJ(2*F172,1)/F172,(STRUVE(2*F172)/(2*F172^2))),PI()*(BASE!E$15/100)^2*E$2*E$3)</f>
        <v>5.32077307856467+0.737712768602451i</v>
      </c>
      <c r="M172" s="2" t="str">
        <f>IMPRODUCT(COMPLEX(1-BESSELJ(2*G172,1)/G172,(STRUVE(2*G172)/(2*G172^2))),PI()*(BASE!F$15/100)^2*F$2*F$3)</f>
        <v>5.32077307856467+0.737712768602451i</v>
      </c>
      <c r="N172" s="2" t="str">
        <f>IMPRODUCT(COMPLEX(1-BESSELJ(2*H172,1)/H172,(STRUVE(2*H172)/(2*H172^2))),PI()*(BASE!G$15/100)^2*G$2*G$3)</f>
        <v>5.32077307856467+0.737712768602451i</v>
      </c>
      <c r="O172" s="2" t="str">
        <f>IMSUM(IMPRODUCT(IF($O$3=1,L172,COMPLEX(I172,$D172*BASE!K$15)),2),COMPLEX(BASE!E$36,$D172*BASE!K$14-BASE!K$10/$D172))</f>
        <v>11.4415461571293+180.286638642315i</v>
      </c>
      <c r="P172" s="2" t="str">
        <f>IMSUM(IMPRODUCT(IF($O$3=1,M172,COMPLEX(J172,$D172*BASE!L$15)),2),COMPLEX(BASE!F$36,$D172*BASE!L$14-BASE!L$10/$D172))</f>
        <v>11.4415461571293+180.26231024186i</v>
      </c>
      <c r="Q172" s="2" t="str">
        <f>IMSUM(IMPRODUCT(IF($O$3=1,N172,COMPLEX(K172,$D172*BASE!M$15)),2),COMPLEX(BASE!G$36,$D172*BASE!M$14-BASE!M$10/$D172))</f>
        <v>11.4415461571293+180.21365344095i</v>
      </c>
      <c r="R172" s="2" t="str">
        <f>COMPLEX(BASE!E$19,FRES!$D172*BASE!K$36)</f>
        <v>7.2+8.41102051226141i</v>
      </c>
      <c r="S172" s="2" t="str">
        <f>COMPLEX(BASE!F$19,FRES!$D172*BASE!L$36)</f>
        <v>7.2+8.41102051226141i</v>
      </c>
      <c r="T172" s="2" t="str">
        <f>COMPLEX(BASE!G$19,FRES!$D172*BASE!M$36)</f>
        <v>7.2+8.41102051226141i</v>
      </c>
      <c r="U172" s="2" t="str">
        <f>IMDIV(BASE!K$21*BASE!E$38,IMPRODUCT(FRES!R172,IMSUM(FRES!O172,IMDIV(BASE!K$21^2,FRES!R172))))</f>
        <v>-0.00310799251311469-0.00304181725579118i</v>
      </c>
      <c r="V172" s="2" t="str">
        <f>IMDIV(BASE!L$21*BASE!F$38,IMPRODUCT(FRES!S172,IMSUM(FRES!P172,IMDIV(BASE!L$21^2,FRES!S172))))</f>
        <v>-0.00310838422043094-0.00304225540762672i</v>
      </c>
      <c r="W172" s="2" t="str">
        <f>IMDIV(BASE!M$21*BASE!G$38,IMPRODUCT(FRES!T172,IMSUM(FRES!Q172,IMDIV(BASE!M$21^2,FRES!T172))))</f>
        <v>-0.00310916792838289-0.00304313208705629i</v>
      </c>
      <c r="X172" s="2" t="str">
        <f t="shared" si="75"/>
        <v>-1.0068373919695E-07+1.02874131251885E-07i</v>
      </c>
      <c r="Y172" s="2" t="str">
        <f t="shared" si="74"/>
        <v>-1.00698241963365E-07+1.02887096711002E-07i</v>
      </c>
      <c r="Z172" s="2" t="str">
        <f t="shared" si="74"/>
        <v>-1.0072725993375E-07+1.0291303733807E-07i</v>
      </c>
      <c r="AA172" s="44" t="str">
        <f>IMPRODUCT(COMPLEX(0,$D172),U172,E$2,BASE!E$15^2/10000,1/(2*BASE!$U$3))</f>
        <v>0.218846321827201-0.223607361180781i</v>
      </c>
      <c r="AB172" s="44" t="str">
        <f>IMPRODUCT(COMPLEX(0,$D172),V172,F$2,BASE!F$15^2/10000,1/(2*BASE!$U$3))</f>
        <v>0.218877845061356-0.223635542921558i</v>
      </c>
      <c r="AC172" s="44" t="str">
        <f>IMPRODUCT(COMPLEX(0,$D172),W172,G$2,BASE!G$15^2/10000,1/(2*BASE!$U$3))</f>
        <v>0.218940918563953-0.223691927506248i</v>
      </c>
      <c r="AD172" s="44">
        <f t="shared" si="55"/>
        <v>-0.79615828539498468</v>
      </c>
      <c r="AE172" s="44">
        <f t="shared" si="56"/>
        <v>-0.79614928342976532</v>
      </c>
      <c r="AF172" s="44">
        <f t="shared" si="57"/>
        <v>-0.79613127221421032</v>
      </c>
      <c r="AG172" s="31">
        <f t="shared" si="58"/>
        <v>83.886959257788831</v>
      </c>
      <c r="AH172" s="31">
        <f t="shared" si="59"/>
        <v>83.888130417045403</v>
      </c>
      <c r="AI172" s="31">
        <f t="shared" si="60"/>
        <v>83.890473207290739</v>
      </c>
      <c r="AJ172" s="2" t="str">
        <f>IMSUM(R172,IMDIV(BASE!K$21^2,FRES!O172))</f>
        <v>7.20328981857537+8.35918220959227i</v>
      </c>
      <c r="AK172" s="2" t="str">
        <f>IMSUM(S172,IMDIV(BASE!L$21^2,FRES!P172))</f>
        <v>7.20329070306708+8.35917526957784i</v>
      </c>
      <c r="AL172" s="2" t="str">
        <f>IMSUM(T172,IMDIV(BASE!M$21^2,FRES!Q172))</f>
        <v>7.20329247311951+8.35916138399555i</v>
      </c>
      <c r="AM172" s="31">
        <f t="shared" si="73"/>
        <v>4.3488239420797379E-3</v>
      </c>
      <c r="AN172" s="31">
        <f t="shared" si="73"/>
        <v>4.3494103539512205E-3</v>
      </c>
      <c r="AO172" s="31">
        <f t="shared" si="73"/>
        <v>4.350583651207769E-3</v>
      </c>
      <c r="AP172" s="31">
        <f t="shared" si="61"/>
        <v>2.0356965500540358E-4</v>
      </c>
      <c r="AQ172" s="31">
        <f t="shared" si="62"/>
        <v>2.0359710510776662E-4</v>
      </c>
      <c r="AR172" s="31">
        <f t="shared" si="63"/>
        <v>2.0365202747779472E-4</v>
      </c>
      <c r="AS172" s="2">
        <f t="shared" si="64"/>
        <v>107.46574946791641</v>
      </c>
      <c r="AT172" s="2">
        <f t="shared" si="65"/>
        <v>107.46577812206165</v>
      </c>
      <c r="AU172" s="2">
        <f t="shared" si="66"/>
        <v>107.46583545354139</v>
      </c>
      <c r="AV172" s="2">
        <f t="shared" si="67"/>
        <v>107.46574946791641</v>
      </c>
      <c r="AW172" s="2">
        <f t="shared" si="68"/>
        <v>107.46577812206165</v>
      </c>
      <c r="AX172" s="2">
        <f t="shared" si="69"/>
        <v>107.46583545354139</v>
      </c>
      <c r="AY172">
        <f t="shared" si="70"/>
        <v>11.034641427049429</v>
      </c>
      <c r="AZ172">
        <f t="shared" si="71"/>
        <v>11.034636747098402</v>
      </c>
      <c r="BA172">
        <f t="shared" si="72"/>
        <v>11.034627383694593</v>
      </c>
    </row>
    <row r="173" spans="1:53" x14ac:dyDescent="0.2">
      <c r="A173" s="2">
        <v>169</v>
      </c>
      <c r="B173" s="2"/>
      <c r="C173" s="1">
        <v>5397.163576691878</v>
      </c>
      <c r="D173" s="2">
        <f t="shared" si="53"/>
        <v>33911.378885515231</v>
      </c>
      <c r="E173" s="2"/>
      <c r="F173" s="2">
        <f>$D173*BASE!E$15/100/E$3</f>
        <v>6.2105141563588937</v>
      </c>
      <c r="G173" s="2">
        <f>$D173*BASE!F$15/100/F$3</f>
        <v>6.2105141563588937</v>
      </c>
      <c r="H173" s="2">
        <f>$D173*BASE!G$15/100/G$3</f>
        <v>6.2105141563588937</v>
      </c>
      <c r="I173" s="2">
        <f>(1-BESSELJ(2*F173,1)/F173)*BASE!K$13*E$2*E$3</f>
        <v>5.2944228854896904</v>
      </c>
      <c r="J173" s="2">
        <f>(1-BESSELJ(2*G173,1)/G173)*BASE!L$13*F$2*F$3</f>
        <v>5.2944228854896904</v>
      </c>
      <c r="K173" s="2">
        <f>(1-BESSELJ(2*H173,1)/H173)*BASE!M$13*G$2*G$3</f>
        <v>5.2944228854896904</v>
      </c>
      <c r="L173" s="2" t="str">
        <f>IMPRODUCT(COMPLEX(1-BESSELJ(2*F173,1)/F173,(STRUVE(2*F173)/(2*F173^2))),PI()*(BASE!E$15/100)^2*E$2*E$3)</f>
        <v>5.2944228854897+0.41430041728375i</v>
      </c>
      <c r="M173" s="2" t="str">
        <f>IMPRODUCT(COMPLEX(1-BESSELJ(2*G173,1)/G173,(STRUVE(2*G173)/(2*G173^2))),PI()*(BASE!F$15/100)^2*F$2*F$3)</f>
        <v>5.2944228854897+0.41430041728375i</v>
      </c>
      <c r="N173" s="2" t="str">
        <f>IMPRODUCT(COMPLEX(1-BESSELJ(2*H173,1)/H173,(STRUVE(2*H173)/(2*H173^2))),PI()*(BASE!G$15/100)^2*G$2*G$3)</f>
        <v>5.2944228854897+0.41430041728375i</v>
      </c>
      <c r="O173" s="2" t="str">
        <f>IMSUM(IMPRODUCT(IF($O$3=1,L173,COMPLEX(I173,$D173*BASE!K$15)),2),COMPLEX(BASE!E$36,$D173*BASE!K$14-BASE!K$10/$D173))</f>
        <v>11.3888457709794+202.370539463002i</v>
      </c>
      <c r="P173" s="2" t="str">
        <f>IMSUM(IMPRODUCT(IF($O$3=1,M173,COMPLEX(J173,$D173*BASE!L$15)),2),COMPLEX(BASE!F$36,$D173*BASE!L$14-BASE!L$10/$D173))</f>
        <v>11.3888457709794+202.348865322222i</v>
      </c>
      <c r="Q173" s="2" t="str">
        <f>IMSUM(IMPRODUCT(IF($O$3=1,N173,COMPLEX(K173,$D173*BASE!M$15)),2),COMPLEX(BASE!G$36,$D173*BASE!M$14-BASE!M$10/$D173))</f>
        <v>11.3888457709794+202.305517040663i</v>
      </c>
      <c r="R173" s="2" t="str">
        <f>COMPLEX(BASE!E$19,FRES!$D173*BASE!K$36)</f>
        <v>7.2+9.44105131256509i</v>
      </c>
      <c r="S173" s="2" t="str">
        <f>COMPLEX(BASE!F$19,FRES!$D173*BASE!L$36)</f>
        <v>7.2+9.44105131256509i</v>
      </c>
      <c r="T173" s="2" t="str">
        <f>COMPLEX(BASE!G$19,FRES!$D173*BASE!M$36)</f>
        <v>7.2+9.44105131256509i</v>
      </c>
      <c r="U173" s="2" t="str">
        <f>IMDIV(BASE!K$21*BASE!E$38,IMPRODUCT(FRES!R173,IMSUM(FRES!O173,IMDIV(BASE!K$21^2,FRES!R173))))</f>
        <v>-0.00273916220377792-0.00235578799020994i</v>
      </c>
      <c r="V173" s="2" t="str">
        <f>IMDIV(BASE!L$21*BASE!F$38,IMPRODUCT(FRES!S173,IMSUM(FRES!P173,IMDIV(BASE!L$21^2,FRES!S173))))</f>
        <v>-0.00273944066087337-0.00235605749403266i</v>
      </c>
      <c r="W173" s="2" t="str">
        <f>IMDIV(BASE!M$21*BASE!G$38,IMPRODUCT(FRES!T173,IMSUM(FRES!Q173,IMDIV(BASE!M$21^2,FRES!T173))))</f>
        <v>-0.00273999774380737-0.00235659668538879i</v>
      </c>
      <c r="X173" s="2" t="str">
        <f t="shared" si="75"/>
        <v>-6.9468953125235E-08+8.07741322765238E-08i</v>
      </c>
      <c r="Y173" s="2" t="str">
        <f t="shared" si="74"/>
        <v>-6.94769004229144E-08+8.07823435939223E-08i</v>
      </c>
      <c r="Z173" s="2" t="str">
        <f t="shared" si="74"/>
        <v>-6.9492800435649E-08+8.07987712047216E-08i</v>
      </c>
      <c r="AA173" s="44" t="str">
        <f>IMPRODUCT(COMPLEX(0,$D173),U173,E$2,BASE!E$15^2/10000,1/(2*BASE!$U$3))</f>
        <v>0.190245328708448-0.221205310498696i</v>
      </c>
      <c r="AB173" s="44" t="str">
        <f>IMPRODUCT(COMPLEX(0,$D173),V173,F$2,BASE!F$15^2/10000,1/(2*BASE!$U$3))</f>
        <v>0.190267092909452-0.221227797735185i</v>
      </c>
      <c r="AC173" s="44" t="str">
        <f>IMPRODUCT(COMPLEX(0,$D173),W173,G$2,BASE!G$15^2/10000,1/(2*BASE!$U$3))</f>
        <v>0.190310636147303-0.221272785835276i</v>
      </c>
      <c r="AD173" s="44">
        <f t="shared" si="55"/>
        <v>-0.86050255083472571</v>
      </c>
      <c r="AE173" s="44">
        <f t="shared" si="56"/>
        <v>-0.86049625177734912</v>
      </c>
      <c r="AF173" s="44">
        <f t="shared" si="57"/>
        <v>-0.86048364961487767</v>
      </c>
      <c r="AG173" s="31">
        <f t="shared" si="58"/>
        <v>83.279975136199496</v>
      </c>
      <c r="AH173" s="31">
        <f t="shared" si="59"/>
        <v>83.280905134986</v>
      </c>
      <c r="AI173" s="31">
        <f t="shared" si="60"/>
        <v>83.282765430303002</v>
      </c>
      <c r="AJ173" s="2" t="str">
        <f>IMSUM(R173,IMDIV(BASE!K$21^2,FRES!O173))</f>
        <v>7.20260118830552+9.39483030903064i</v>
      </c>
      <c r="AK173" s="2" t="str">
        <f>IMSUM(S173,IMDIV(BASE!L$21^2,FRES!P173))</f>
        <v>7.20260174381642+9.39482538943839i</v>
      </c>
      <c r="AL173" s="2" t="str">
        <f>IMSUM(T173,IMDIV(BASE!M$21^2,FRES!Q173))</f>
        <v>7.20260285537163+9.39481554712153i</v>
      </c>
      <c r="AM173" s="31">
        <f t="shared" si="73"/>
        <v>3.6128585127877485E-3</v>
      </c>
      <c r="AN173" s="31">
        <f t="shared" si="73"/>
        <v>3.6132453625008342E-3</v>
      </c>
      <c r="AO173" s="31">
        <f t="shared" si="73"/>
        <v>3.6140193100832911E-3</v>
      </c>
      <c r="AP173" s="31">
        <f t="shared" si="61"/>
        <v>1.5066781934667709E-4</v>
      </c>
      <c r="AQ173" s="31">
        <f t="shared" si="62"/>
        <v>1.5068395222386544E-4</v>
      </c>
      <c r="AR173" s="31">
        <f t="shared" si="63"/>
        <v>1.5071622832715719E-4</v>
      </c>
      <c r="AS173" s="2">
        <f t="shared" si="64"/>
        <v>107.26093530982936</v>
      </c>
      <c r="AT173" s="2">
        <f t="shared" si="65"/>
        <v>107.26095536035173</v>
      </c>
      <c r="AU173" s="2">
        <f t="shared" si="66"/>
        <v>107.26099547428075</v>
      </c>
      <c r="AV173" s="2">
        <f t="shared" si="67"/>
        <v>107.26093530982936</v>
      </c>
      <c r="AW173" s="2">
        <f t="shared" si="68"/>
        <v>107.26095536035173</v>
      </c>
      <c r="AX173" s="2">
        <f t="shared" si="69"/>
        <v>107.26099547428075</v>
      </c>
      <c r="AY173">
        <f t="shared" si="70"/>
        <v>11.83808685612928</v>
      </c>
      <c r="AZ173">
        <f t="shared" si="71"/>
        <v>11.838083289876936</v>
      </c>
      <c r="BA173">
        <f t="shared" si="72"/>
        <v>11.838076155213903</v>
      </c>
    </row>
    <row r="174" spans="1:53" x14ac:dyDescent="0.2">
      <c r="A174" s="2">
        <v>170</v>
      </c>
      <c r="B174" s="2"/>
      <c r="C174" s="1">
        <v>6058.1112833543075</v>
      </c>
      <c r="D174" s="2">
        <f t="shared" ref="D174:D184" si="76">C174*2*PI()</f>
        <v>38064.235804830649</v>
      </c>
      <c r="E174" s="2"/>
      <c r="F174" s="2">
        <f>$D174*BASE!E$15/100/E$3</f>
        <v>6.9710664410009606</v>
      </c>
      <c r="G174" s="2">
        <f>$D174*BASE!F$15/100/F$3</f>
        <v>6.9710664410009606</v>
      </c>
      <c r="H174" s="2">
        <f>$D174*BASE!G$15/100/G$3</f>
        <v>6.9710664410009606</v>
      </c>
      <c r="I174" s="2">
        <f>(1-BESSELJ(2*F174,1)/F174)*BASE!K$13*E$2*E$3</f>
        <v>5.0557930557664408</v>
      </c>
      <c r="J174" s="2">
        <f>(1-BESSELJ(2*G174,1)/G174)*BASE!L$13*F$2*F$3</f>
        <v>5.0557930557664408</v>
      </c>
      <c r="K174" s="2">
        <f>(1-BESSELJ(2*H174,1)/H174)*BASE!M$13*G$2*G$3</f>
        <v>5.0557930557664408</v>
      </c>
      <c r="L174" s="2" t="str">
        <f>IMPRODUCT(COMPLEX(1-BESSELJ(2*F174,1)/F174,(STRUVE(2*F174)/(2*F174^2))),PI()*(BASE!E$15/100)^2*E$2*E$3)</f>
        <v>5.05579305576644+0.343649688229723i</v>
      </c>
      <c r="M174" s="2" t="str">
        <f>IMPRODUCT(COMPLEX(1-BESSELJ(2*G174,1)/G174,(STRUVE(2*G174)/(2*G174^2))),PI()*(BASE!F$15/100)^2*F$2*F$3)</f>
        <v>5.05579305576644+0.343649688229723i</v>
      </c>
      <c r="N174" s="2" t="str">
        <f>IMPRODUCT(COMPLEX(1-BESSELJ(2*H174,1)/H174,(STRUVE(2*H174)/(2*H174^2))),PI()*(BASE!G$15/100)^2*G$2*G$3)</f>
        <v>5.05579305576644+0.343649688229723i</v>
      </c>
      <c r="O174" s="2" t="str">
        <f>IMSUM(IMPRODUCT(IF($O$3=1,L174,COMPLEX(I174,$D174*BASE!K$15)),2),COMPLEX(BASE!E$36,$D174*BASE!K$14-BASE!K$10/$D174))</f>
        <v>10.9115861115329+227.158265797756i</v>
      </c>
      <c r="P174" s="2" t="str">
        <f>IMSUM(IMPRODUCT(IF($O$3=1,M174,COMPLEX(J174,$D174*BASE!L$15)),2),COMPLEX(BASE!F$36,$D174*BASE!L$14-BASE!L$10/$D174))</f>
        <v>10.9115861115329+227.138956333519i</v>
      </c>
      <c r="Q174" s="2" t="str">
        <f>IMSUM(IMPRODUCT(IF($O$3=1,N174,COMPLEX(K174,$D174*BASE!M$15)),2),COMPLEX(BASE!G$36,$D174*BASE!M$14-BASE!M$10/$D174))</f>
        <v>10.9115861115329+227.100337405044i</v>
      </c>
      <c r="R174" s="2" t="str">
        <f>COMPLEX(BASE!E$19,FRES!$D174*BASE!K$36)</f>
        <v>7.2+10.5972217944957i</v>
      </c>
      <c r="S174" s="2" t="str">
        <f>COMPLEX(BASE!F$19,FRES!$D174*BASE!L$36)</f>
        <v>7.2+10.5972217944957i</v>
      </c>
      <c r="T174" s="2" t="str">
        <f>COMPLEX(BASE!G$19,FRES!$D174*BASE!M$36)</f>
        <v>7.2+10.5972217944957i</v>
      </c>
      <c r="U174" s="2" t="str">
        <f>IMDIV(BASE!K$21*BASE!E$38,IMPRODUCT(FRES!R174,IMSUM(FRES!O174,IMDIV(BASE!K$21^2,FRES!R174))))</f>
        <v>-0.00238059122188603-0.00179744976446223i</v>
      </c>
      <c r="V174" s="2" t="str">
        <f>IMDIV(BASE!L$21*BASE!F$38,IMPRODUCT(FRES!S174,IMSUM(FRES!P174,IMDIV(BASE!L$21^2,FRES!S174))))</f>
        <v>-0.00238078599622292-0.00179761271305558i</v>
      </c>
      <c r="W174" s="2" t="str">
        <f>IMDIV(BASE!M$21*BASE!G$38,IMPRODUCT(FRES!T174,IMSUM(FRES!Q174,IMDIV(BASE!M$21^2,FRES!T174))))</f>
        <v>-0.00238117564012292-0.00179793869835463i</v>
      </c>
      <c r="X174" s="2" t="str">
        <f t="shared" si="75"/>
        <v>-4.72214856401799E-08+6.25414164123037E-08i</v>
      </c>
      <c r="Y174" s="2" t="str">
        <f t="shared" si="74"/>
        <v>-4.72257665245824E-08+6.25465334029058E-08i</v>
      </c>
      <c r="Z174" s="2" t="str">
        <f t="shared" si="74"/>
        <v>-4.72343306082204E-08+6.25567698858342E-08i</v>
      </c>
      <c r="AA174" s="44" t="str">
        <f>IMPRODUCT(COMPLEX(0,$D174),U174,E$2,BASE!E$15^2/10000,1/(2*BASE!$U$3))</f>
        <v>0.162931938975104-0.21579147932685i</v>
      </c>
      <c r="AB174" s="44" t="str">
        <f>IMPRODUCT(COMPLEX(0,$D174),V174,F$2,BASE!F$15^2/10000,1/(2*BASE!$U$3))</f>
        <v>0.162946709641185-0.215809134874727i</v>
      </c>
      <c r="AC174" s="44" t="str">
        <f>IMPRODUCT(COMPLEX(0,$D174),W174,G$2,BASE!G$15^2/10000,1/(2*BASE!$U$3))</f>
        <v>0.162976258960393-0.215844454602372i</v>
      </c>
      <c r="AD174" s="44">
        <f t="shared" si="55"/>
        <v>-0.9240752282903093</v>
      </c>
      <c r="AE174" s="44">
        <f t="shared" si="56"/>
        <v>-0.92407097862534171</v>
      </c>
      <c r="AF174" s="44">
        <f t="shared" si="57"/>
        <v>-0.92406247712703216</v>
      </c>
      <c r="AG174" s="31">
        <f t="shared" si="58"/>
        <v>82.61933302036303</v>
      </c>
      <c r="AH174" s="31">
        <f t="shared" si="59"/>
        <v>82.620071520593271</v>
      </c>
      <c r="AI174" s="31">
        <f t="shared" si="60"/>
        <v>82.621548708978139</v>
      </c>
      <c r="AJ174" s="2" t="str">
        <f>IMSUM(R174,IMDIV(BASE!K$21^2,FRES!O174))</f>
        <v>7.20197965640087+10.5560091504035i</v>
      </c>
      <c r="AK174" s="2" t="str">
        <f>IMSUM(S174,IMDIV(BASE!L$21^2,FRES!P174))</f>
        <v>7.20197999222799+10.5560056629802i</v>
      </c>
      <c r="AL174" s="2" t="str">
        <f>IMSUM(T174,IMDIV(BASE!M$21^2,FRES!Q174))</f>
        <v>7.20198066413847+10.555998686367i</v>
      </c>
      <c r="AM174" s="31">
        <f t="shared" si="73"/>
        <v>2.982958300326397E-3</v>
      </c>
      <c r="AN174" s="31">
        <f t="shared" si="73"/>
        <v>2.9832119311155561E-3</v>
      </c>
      <c r="AO174" s="31">
        <f t="shared" si="73"/>
        <v>2.9837193219463421E-3</v>
      </c>
      <c r="AP174" s="31">
        <f t="shared" si="61"/>
        <v>1.1082686924137923E-4</v>
      </c>
      <c r="AQ174" s="31">
        <f t="shared" si="62"/>
        <v>1.1083629247277428E-4</v>
      </c>
      <c r="AR174" s="31">
        <f t="shared" si="63"/>
        <v>1.108551437377254E-4</v>
      </c>
      <c r="AS174" s="2">
        <f t="shared" si="64"/>
        <v>107.05857719257651</v>
      </c>
      <c r="AT174" s="2">
        <f t="shared" si="65"/>
        <v>107.05859071968024</v>
      </c>
      <c r="AU174" s="2">
        <f t="shared" si="66"/>
        <v>107.05861778078983</v>
      </c>
      <c r="AV174" s="2">
        <f t="shared" si="67"/>
        <v>107.05857719257651</v>
      </c>
      <c r="AW174" s="2">
        <f t="shared" si="68"/>
        <v>107.05859071968024</v>
      </c>
      <c r="AX174" s="2">
        <f t="shared" si="69"/>
        <v>107.05861778078983</v>
      </c>
      <c r="AY174">
        <f t="shared" si="70"/>
        <v>12.778804331963709</v>
      </c>
      <c r="AZ174">
        <f t="shared" si="71"/>
        <v>12.778801640424751</v>
      </c>
      <c r="BA174">
        <f t="shared" si="72"/>
        <v>12.778796256033125</v>
      </c>
    </row>
    <row r="175" spans="1:53" x14ac:dyDescent="0.2">
      <c r="A175" s="2">
        <v>171</v>
      </c>
      <c r="B175" s="2"/>
      <c r="C175" s="1">
        <v>6800</v>
      </c>
      <c r="D175" s="2">
        <f t="shared" si="76"/>
        <v>42725.660088821183</v>
      </c>
      <c r="E175" s="2"/>
      <c r="F175" s="2">
        <f>$D175*BASE!E$15/100/E$3</f>
        <v>7.8247575162666703</v>
      </c>
      <c r="G175" s="2">
        <f>$D175*BASE!F$15/100/F$3</f>
        <v>7.8247575162666703</v>
      </c>
      <c r="H175" s="2">
        <f>$D175*BASE!G$15/100/G$3</f>
        <v>7.8247575162666703</v>
      </c>
      <c r="I175" s="2">
        <f>(1-BESSELJ(2*F175,1)/F175)*BASE!K$13*E$2*E$3</f>
        <v>5.0501233898684479</v>
      </c>
      <c r="J175" s="2">
        <f>(1-BESSELJ(2*G175,1)/G175)*BASE!L$13*F$2*F$3</f>
        <v>5.0501233898684479</v>
      </c>
      <c r="K175" s="2">
        <f>(1-BESSELJ(2*H175,1)/H175)*BASE!M$13*G$2*G$3</f>
        <v>5.0501233898684479</v>
      </c>
      <c r="L175" s="2" t="str">
        <f>IMPRODUCT(COMPLEX(1-BESSELJ(2*F175,1)/F175,(STRUVE(2*F175)/(2*F175^2))),PI()*(BASE!E$15/100)^2*E$2*E$3)</f>
        <v>5.05012338986845+0.511054209364353i</v>
      </c>
      <c r="M175" s="2" t="str">
        <f>IMPRODUCT(COMPLEX(1-BESSELJ(2*G175,1)/G175,(STRUVE(2*G175)/(2*G175^2))),PI()*(BASE!F$15/100)^2*F$2*F$3)</f>
        <v>5.05012338986845+0.511054209364353i</v>
      </c>
      <c r="N175" s="2" t="str">
        <f>IMPRODUCT(COMPLEX(1-BESSELJ(2*H175,1)/H175,(STRUVE(2*H175)/(2*H175^2))),PI()*(BASE!G$15/100)^2*G$2*G$3)</f>
        <v>5.05012338986845+0.511054209364353i</v>
      </c>
      <c r="O175" s="2" t="str">
        <f>IMSUM(IMPRODUCT(IF($O$3=1,L175,COMPLEX(I175,$D175*BASE!K$15)),2),COMPLEX(BASE!E$36,$D175*BASE!K$14-BASE!K$10/$D175))</f>
        <v>10.9002467797369+254.981000668957i</v>
      </c>
      <c r="P175" s="2" t="str">
        <f>IMSUM(IMPRODUCT(IF($O$3=1,M175,COMPLEX(J175,$D175*BASE!L$15)),2),COMPLEX(BASE!F$36,$D175*BASE!L$14-BASE!L$10/$D175))</f>
        <v>10.9002467797369+254.96379789202i</v>
      </c>
      <c r="Q175" s="2" t="str">
        <f>IMSUM(IMPRODUCT(IF($O$3=1,N175,COMPLEX(K175,$D175*BASE!M$15)),2),COMPLEX(BASE!G$36,$D175*BASE!M$14-BASE!M$10/$D175))</f>
        <v>10.9002467797369+254.929392338146i</v>
      </c>
      <c r="R175" s="2" t="str">
        <f>COMPLEX(BASE!E$19,FRES!$D175*BASE!K$36)</f>
        <v>7.2+11.8949792818384i</v>
      </c>
      <c r="S175" s="2" t="str">
        <f>COMPLEX(BASE!F$19,FRES!$D175*BASE!L$36)</f>
        <v>7.2+11.8949792818384i</v>
      </c>
      <c r="T175" s="2" t="str">
        <f>COMPLEX(BASE!G$19,FRES!$D175*BASE!M$36)</f>
        <v>7.2+11.8949792818384i</v>
      </c>
      <c r="U175" s="2" t="str">
        <f>IMDIV(BASE!K$21*BASE!E$38,IMPRODUCT(FRES!R175,IMSUM(FRES!O175,IMDIV(BASE!K$21^2,FRES!R175))))</f>
        <v>-0.00203645622757927-0.0013590912103297i</v>
      </c>
      <c r="V175" s="2" t="str">
        <f>IMDIV(BASE!L$21*BASE!F$38,IMPRODUCT(FRES!S175,IMSUM(FRES!P175,IMDIV(BASE!L$21^2,FRES!S175))))</f>
        <v>-0.00203658961676748-0.0013591890171497i</v>
      </c>
      <c r="W175" s="2" t="str">
        <f>IMDIV(BASE!M$21*BASE!G$38,IMPRODUCT(FRES!T175,IMSUM(FRES!Q175,IMDIV(BASE!M$21^2,FRES!T175))))</f>
        <v>-0.00203685644741584-0.00135938467279185i</v>
      </c>
      <c r="X175" s="2" t="str">
        <f t="shared" si="75"/>
        <v>-3.18097182701057E-08+4.76635404425757E-08i</v>
      </c>
      <c r="Y175" s="2" t="str">
        <f t="shared" si="74"/>
        <v>-3.18120074522926E-08+4.76666624350255E-08i</v>
      </c>
      <c r="Z175" s="2" t="str">
        <f t="shared" si="74"/>
        <v>-3.18165867997326E-08+4.76729076433571E-08i</v>
      </c>
      <c r="AA175" s="44" t="str">
        <f>IMPRODUCT(COMPLEX(0,$D175),U175,E$2,BASE!E$15^2/10000,1/(2*BASE!$U$3))</f>
        <v>0.138283299712473-0.207203081536641i</v>
      </c>
      <c r="AB175" s="44" t="str">
        <f>IMPRODUCT(COMPLEX(0,$D175),V175,F$2,BASE!F$15^2/10000,1/(2*BASE!$U$3))</f>
        <v>0.138293251251929-0.207216653471292i</v>
      </c>
      <c r="AC175" s="44" t="str">
        <f>IMPRODUCT(COMPLEX(0,$D175),W175,G$2,BASE!G$15^2/10000,1/(2*BASE!$U$3))</f>
        <v>0.13831315860443-0.207243802659102i</v>
      </c>
      <c r="AD175" s="44">
        <f t="shared" si="55"/>
        <v>-0.98229968187337968</v>
      </c>
      <c r="AE175" s="44">
        <f t="shared" si="56"/>
        <v>-0.98229669735841096</v>
      </c>
      <c r="AF175" s="44">
        <f t="shared" si="57"/>
        <v>-0.98229072711971877</v>
      </c>
      <c r="AG175" s="31">
        <f t="shared" si="58"/>
        <v>81.907195038923561</v>
      </c>
      <c r="AH175" s="31">
        <f t="shared" si="59"/>
        <v>81.907781252303295</v>
      </c>
      <c r="AI175" s="31">
        <f t="shared" si="60"/>
        <v>81.908953797535133</v>
      </c>
      <c r="AJ175" s="2" t="str">
        <f>IMSUM(R175,IMDIV(BASE!K$21^2,FRES!O175))</f>
        <v>7.20157031829339+11.8582460465357i</v>
      </c>
      <c r="AK175" s="2" t="str">
        <f>IMSUM(S175,IMDIV(BASE!L$21^2,FRES!P175))</f>
        <v>7.20157052981723+11.8582435771341i</v>
      </c>
      <c r="AL175" s="2" t="str">
        <f>IMSUM(T175,IMDIV(BASE!M$21^2,FRES!Q175))</f>
        <v>7.20157095299307+11.8582386373368i</v>
      </c>
      <c r="AM175" s="31">
        <f t="shared" si="73"/>
        <v>2.4483224634107821E-3</v>
      </c>
      <c r="AN175" s="31">
        <f t="shared" si="73"/>
        <v>2.4484877070276418E-3</v>
      </c>
      <c r="AO175" s="31">
        <f t="shared" si="73"/>
        <v>2.4488182611212459E-3</v>
      </c>
      <c r="AP175" s="31">
        <f t="shared" si="61"/>
        <v>8.103914194936354E-5</v>
      </c>
      <c r="AQ175" s="31">
        <f t="shared" si="62"/>
        <v>8.1044611490701734E-5</v>
      </c>
      <c r="AR175" s="31">
        <f t="shared" si="63"/>
        <v>8.1055552786431296E-5</v>
      </c>
      <c r="AS175" s="2">
        <f t="shared" si="64"/>
        <v>106.8732430006451</v>
      </c>
      <c r="AT175" s="2">
        <f t="shared" si="65"/>
        <v>106.8732525006513</v>
      </c>
      <c r="AU175" s="2">
        <f t="shared" si="66"/>
        <v>106.87327150451129</v>
      </c>
      <c r="AV175" s="2">
        <f t="shared" si="67"/>
        <v>106.8732430006451</v>
      </c>
      <c r="AW175" s="2">
        <f t="shared" si="68"/>
        <v>106.8732525006513</v>
      </c>
      <c r="AX175" s="2">
        <f t="shared" si="69"/>
        <v>106.87327150451129</v>
      </c>
      <c r="AY175">
        <f t="shared" si="70"/>
        <v>13.873738297571562</v>
      </c>
      <c r="AZ175">
        <f t="shared" si="71"/>
        <v>13.873736296707321</v>
      </c>
      <c r="BA175">
        <f t="shared" si="72"/>
        <v>13.873732294196138</v>
      </c>
    </row>
    <row r="176" spans="1:53" x14ac:dyDescent="0.2">
      <c r="A176" s="2">
        <v>172</v>
      </c>
      <c r="B176" s="2"/>
      <c r="C176" s="1">
        <v>7632.7419285037367</v>
      </c>
      <c r="D176" s="2">
        <f t="shared" si="76"/>
        <v>47957.931938668262</v>
      </c>
      <c r="E176" s="2"/>
      <c r="F176" s="2">
        <f>$D176*BASE!E$15/100/E$3</f>
        <v>8.78299334923285</v>
      </c>
      <c r="G176" s="2">
        <f>$D176*BASE!F$15/100/F$3</f>
        <v>8.78299334923285</v>
      </c>
      <c r="H176" s="2">
        <f>$D176*BASE!G$15/100/G$3</f>
        <v>8.78299334923285</v>
      </c>
      <c r="I176" s="2">
        <f>(1-BESSELJ(2*F176,1)/F176)*BASE!K$13*E$2*E$3</f>
        <v>5.2463755765222526</v>
      </c>
      <c r="J176" s="2">
        <f>(1-BESSELJ(2*G176,1)/G176)*BASE!L$13*F$2*F$3</f>
        <v>5.2463755765222526</v>
      </c>
      <c r="K176" s="2">
        <f>(1-BESSELJ(2*H176,1)/H176)*BASE!M$13*G$2*G$3</f>
        <v>5.2463755765222526</v>
      </c>
      <c r="L176" s="2" t="str">
        <f>IMPRODUCT(COMPLEX(1-BESSELJ(2*F176,1)/F176,(STRUVE(2*F176)/(2*F176^2))),PI()*(BASE!E$15/100)^2*E$2*E$3)</f>
        <v>5.24637557652227+0.42552144198641i</v>
      </c>
      <c r="M176" s="2" t="str">
        <f>IMPRODUCT(COMPLEX(1-BESSELJ(2*G176,1)/G176,(STRUVE(2*G176)/(2*G176^2))),PI()*(BASE!F$15/100)^2*F$2*F$3)</f>
        <v>5.24637557652227+0.42552144198641i</v>
      </c>
      <c r="N176" s="2" t="str">
        <f>IMPRODUCT(COMPLEX(1-BESSELJ(2*H176,1)/H176,(STRUVE(2*H176)/(2*H176^2))),PI()*(BASE!G$15/100)^2*G$2*G$3)</f>
        <v>5.24637557652227+0.42552144198641i</v>
      </c>
      <c r="O176" s="2" t="str">
        <f>IMSUM(IMPRODUCT(IF($O$3=1,L176,COMPLEX(I176,$D176*BASE!K$15)),2),COMPLEX(BASE!E$36,$D176*BASE!K$14-BASE!K$10/$D176))</f>
        <v>11.2927511530445+286.210477139208i</v>
      </c>
      <c r="P176" s="2" t="str">
        <f>IMSUM(IMPRODUCT(IF($O$3=1,M176,COMPLEX(J176,$D176*BASE!L$15)),2),COMPLEX(BASE!F$36,$D176*BASE!L$14-BASE!L$10/$D176))</f>
        <v>11.2927511530445+286.195151207286i</v>
      </c>
      <c r="Q176" s="2" t="str">
        <f>IMSUM(IMPRODUCT(IF($O$3=1,N176,COMPLEX(K176,$D176*BASE!M$15)),2),COMPLEX(BASE!G$36,$D176*BASE!M$14-BASE!M$10/$D176))</f>
        <v>11.2927511530445+286.164499343443i</v>
      </c>
      <c r="R176" s="2" t="str">
        <f>COMPLEX(BASE!E$19,FRES!$D176*BASE!K$36)</f>
        <v>7.2+13.3516628092899i</v>
      </c>
      <c r="S176" s="2" t="str">
        <f>COMPLEX(BASE!F$19,FRES!$D176*BASE!L$36)</f>
        <v>7.2+13.3516628092899i</v>
      </c>
      <c r="T176" s="2" t="str">
        <f>COMPLEX(BASE!G$19,FRES!$D176*BASE!M$36)</f>
        <v>7.2+13.3516628092899i</v>
      </c>
      <c r="U176" s="2" t="str">
        <f>IMDIV(BASE!K$21*BASE!E$38,IMPRODUCT(FRES!R176,IMSUM(FRES!O176,IMDIV(BASE!K$21^2,FRES!R176))))</f>
        <v>-0.00171947339334347-0.00101927464961326i</v>
      </c>
      <c r="V176" s="2" t="str">
        <f>IMDIV(BASE!L$21*BASE!F$38,IMPRODUCT(FRES!S176,IMSUM(FRES!P176,IMDIV(BASE!L$21^2,FRES!S176))))</f>
        <v>-0.00171956328168629-0.00101933298243966i</v>
      </c>
      <c r="W176" s="2" t="str">
        <f>IMDIV(BASE!M$21*BASE!G$38,IMPRODUCT(FRES!T176,IMSUM(FRES!Q176,IMDIV(BASE!M$21^2,FRES!T176))))</f>
        <v>-0.0017197430865034-0.00101944966801393i</v>
      </c>
      <c r="X176" s="2" t="str">
        <f t="shared" si="75"/>
        <v>-2.12535154959721E-08+3.5853785262101E-08i</v>
      </c>
      <c r="Y176" s="2" t="str">
        <f t="shared" si="74"/>
        <v>-2.1254731829205E-08+3.58556595785944E-08i</v>
      </c>
      <c r="Z176" s="2" t="str">
        <f t="shared" si="74"/>
        <v>-2.12571649110656E-08+3.58594087981675E-08i</v>
      </c>
      <c r="AA176" s="44" t="str">
        <f>IMPRODUCT(COMPLEX(0,$D176),U176,E$2,BASE!E$15^2/10000,1/(2*BASE!$U$3))</f>
        <v>0.116408319395633-0.19637593070775i</v>
      </c>
      <c r="AB176" s="44" t="str">
        <f>IMPRODUCT(COMPLEX(0,$D176),V176,F$2,BASE!F$15^2/10000,1/(2*BASE!$U$3))</f>
        <v>0.116414981413853-0.196386196587437i</v>
      </c>
      <c r="AC176" s="44" t="str">
        <f>IMPRODUCT(COMPLEX(0,$D176),W176,G$2,BASE!G$15^2/10000,1/(2*BASE!$U$3))</f>
        <v>0.116428307725465-0.196406731559623i</v>
      </c>
      <c r="AD176" s="44">
        <f t="shared" si="55"/>
        <v>-1.03570032111863</v>
      </c>
      <c r="AE176" s="44">
        <f t="shared" si="56"/>
        <v>-1.0356981485875101</v>
      </c>
      <c r="AF176" s="44">
        <f t="shared" si="57"/>
        <v>-1.0356938028269658</v>
      </c>
      <c r="AG176" s="31">
        <f t="shared" si="58"/>
        <v>81.148977755958299</v>
      </c>
      <c r="AH176" s="31">
        <f t="shared" si="59"/>
        <v>81.149442999534855</v>
      </c>
      <c r="AI176" s="31">
        <f t="shared" si="60"/>
        <v>81.150373561331236</v>
      </c>
      <c r="AJ176" s="2" t="str">
        <f>IMSUM(R176,IMDIV(BASE!K$21^2,FRES!O176))</f>
        <v>7.20129155550773+13.3189288268343i</v>
      </c>
      <c r="AK176" s="2" t="str">
        <f>IMSUM(S176,IMDIV(BASE!L$21^2,FRES!P176))</f>
        <v>7.20129169362363+13.3189270793586i</v>
      </c>
      <c r="AL176" s="2" t="str">
        <f>IMSUM(T176,IMDIV(BASE!M$21^2,FRES!Q176))</f>
        <v>7.20129196992186+13.3189235838483i</v>
      </c>
      <c r="AM176" s="31">
        <f t="shared" si="73"/>
        <v>1.9988770752000589E-3</v>
      </c>
      <c r="AN176" s="31">
        <f t="shared" si="73"/>
        <v>1.9989841442125188E-3</v>
      </c>
      <c r="AO176" s="31">
        <f t="shared" si="73"/>
        <v>1.9991983166234291E-3</v>
      </c>
      <c r="AP176" s="31">
        <f t="shared" si="61"/>
        <v>5.8944140311966158E-5</v>
      </c>
      <c r="AQ176" s="31">
        <f t="shared" si="62"/>
        <v>5.8947297630128364E-5</v>
      </c>
      <c r="AR176" s="31">
        <f t="shared" si="63"/>
        <v>5.89536132804484E-5</v>
      </c>
      <c r="AS176" s="2">
        <f t="shared" si="64"/>
        <v>106.70326348664213</v>
      </c>
      <c r="AT176" s="2">
        <f t="shared" si="65"/>
        <v>106.70327040202346</v>
      </c>
      <c r="AU176" s="2">
        <f t="shared" si="66"/>
        <v>106.70328423500891</v>
      </c>
      <c r="AV176" s="2">
        <f t="shared" si="67"/>
        <v>106.70326348664213</v>
      </c>
      <c r="AW176" s="2">
        <f t="shared" si="68"/>
        <v>106.70327040202346</v>
      </c>
      <c r="AX176" s="2">
        <f t="shared" si="69"/>
        <v>106.70328423500891</v>
      </c>
      <c r="AY176">
        <f t="shared" si="70"/>
        <v>15.141085336319343</v>
      </c>
      <c r="AZ176">
        <f t="shared" si="71"/>
        <v>15.141083864833604</v>
      </c>
      <c r="BA176">
        <f t="shared" si="72"/>
        <v>15.141080921402258</v>
      </c>
    </row>
    <row r="177" spans="1:53" x14ac:dyDescent="0.2">
      <c r="A177" s="2">
        <v>173</v>
      </c>
      <c r="B177" s="2"/>
      <c r="C177" s="1">
        <v>8567.463139285137</v>
      </c>
      <c r="D177" s="2">
        <f t="shared" si="76"/>
        <v>53830.958516559069</v>
      </c>
      <c r="E177" s="2"/>
      <c r="F177" s="2">
        <f>$D177*BASE!E$15/100/E$3</f>
        <v>9.8585767050675024</v>
      </c>
      <c r="G177" s="2">
        <f>$D177*BASE!F$15/100/F$3</f>
        <v>9.8585767050675024</v>
      </c>
      <c r="H177" s="2">
        <f>$D177*BASE!G$15/100/G$3</f>
        <v>9.8585767050675024</v>
      </c>
      <c r="I177" s="2">
        <f>(1-BESSELJ(2*F177,1)/F177)*BASE!K$13*E$2*E$3</f>
        <v>5.1377132506087122</v>
      </c>
      <c r="J177" s="2">
        <f>(1-BESSELJ(2*G177,1)/G177)*BASE!L$13*F$2*F$3</f>
        <v>5.1377132506087122</v>
      </c>
      <c r="K177" s="2">
        <f>(1-BESSELJ(2*H177,1)/H177)*BASE!M$13*G$2*G$3</f>
        <v>5.1377132506087122</v>
      </c>
      <c r="L177" s="2" t="str">
        <f>IMPRODUCT(COMPLEX(1-BESSELJ(2*F177,1)/F177,(STRUVE(2*F177)/(2*F177^2))),PI()*(BASE!E$15/100)^2*E$2*E$3)</f>
        <v>5.13771325060871+0.239849498453583i</v>
      </c>
      <c r="M177" s="2" t="str">
        <f>IMPRODUCT(COMPLEX(1-BESSELJ(2*G177,1)/G177,(STRUVE(2*G177)/(2*G177^2))),PI()*(BASE!F$15/100)^2*F$2*F$3)</f>
        <v>5.13771325060871+0.239849498453583i</v>
      </c>
      <c r="N177" s="2" t="str">
        <f>IMPRODUCT(COMPLEX(1-BESSELJ(2*H177,1)/H177,(STRUVE(2*H177)/(2*H177^2))),PI()*(BASE!G$15/100)^2*G$2*G$3)</f>
        <v>5.13771325060871+0.239849498453583i</v>
      </c>
      <c r="O177" s="2" t="str">
        <f>IMSUM(IMPRODUCT(IF($O$3=1,L177,COMPLEX(I177,$D177*BASE!K$15)),2),COMPLEX(BASE!E$36,$D177*BASE!K$14-BASE!K$10/$D177))</f>
        <v>11.0754265012174+321.263944949978i</v>
      </c>
      <c r="P177" s="2" t="str">
        <f>IMSUM(IMPRODUCT(IF($O$3=1,M177,COMPLEX(J177,$D177*BASE!L$15)),2),COMPLEX(BASE!F$36,$D177*BASE!L$14-BASE!L$10/$D177))</f>
        <v>11.0754265012174+321.250291096874i</v>
      </c>
      <c r="Q177" s="2" t="str">
        <f>IMSUM(IMPRODUCT(IF($O$3=1,N177,COMPLEX(K177,$D177*BASE!M$15)),2),COMPLEX(BASE!G$36,$D177*BASE!M$14-BASE!M$10/$D177))</f>
        <v>11.0754265012174+321.222983390668i</v>
      </c>
      <c r="R177" s="2" t="str">
        <f>COMPLEX(BASE!E$19,FRES!$D177*BASE!K$36)</f>
        <v>7.2+14.9867347852516i</v>
      </c>
      <c r="S177" s="2" t="str">
        <f>COMPLEX(BASE!F$19,FRES!$D177*BASE!L$36)</f>
        <v>7.2+14.9867347852516i</v>
      </c>
      <c r="T177" s="2" t="str">
        <f>COMPLEX(BASE!G$19,FRES!$D177*BASE!M$36)</f>
        <v>7.2+14.9867347852516i</v>
      </c>
      <c r="U177" s="2" t="str">
        <f>IMDIV(BASE!K$21*BASE!E$38,IMPRODUCT(FRES!R177,IMSUM(FRES!O177,IMDIV(BASE!K$21^2,FRES!R177))))</f>
        <v>-0.00143856088141953-0.000754684350041283i</v>
      </c>
      <c r="V177" s="2" t="str">
        <f>IMDIV(BASE!L$21*BASE!F$38,IMPRODUCT(FRES!S177,IMSUM(FRES!P177,IMDIV(BASE!L$21^2,FRES!S177))))</f>
        <v>-0.00143862091182806-0.000754718595312118i</v>
      </c>
      <c r="W177" s="2" t="str">
        <f>IMDIV(BASE!M$21*BASE!G$38,IMPRODUCT(FRES!T177,IMSUM(FRES!Q177,IMDIV(BASE!M$21^2,FRES!T177))))</f>
        <v>-0.0014387409876518-0.000754787095131058i</v>
      </c>
      <c r="X177" s="2" t="str">
        <f t="shared" si="75"/>
        <v>-1.40195227957744E-08+2.67236720478795E-08i</v>
      </c>
      <c r="Y177" s="2" t="str">
        <f t="shared" si="74"/>
        <v>-1.40201589589002E-08+2.67247872130221E-08i</v>
      </c>
      <c r="Z177" s="2" t="str">
        <f t="shared" si="74"/>
        <v>-1.40214314574926E-08+2.67270178220815E-08i</v>
      </c>
      <c r="AA177" s="44" t="str">
        <f>IMPRODUCT(COMPLEX(0,$D177),U177,E$2,BASE!E$15^2/10000,1/(2*BASE!$U$3))</f>
        <v>0.0967452845523175-0.184413499247933i</v>
      </c>
      <c r="AB177" s="44" t="str">
        <f>IMPRODUCT(COMPLEX(0,$D177),V177,F$2,BASE!F$15^2/10000,1/(2*BASE!$U$3))</f>
        <v>0.0967496745578494-0.184421194728772i</v>
      </c>
      <c r="AC177" s="44" t="str">
        <f>IMPRODUCT(COMPLEX(0,$D177),W177,G$2,BASE!G$15^2/10000,1/(2*BASE!$U$3))</f>
        <v>0.0967584557581946-0.184436587614201i</v>
      </c>
      <c r="AD177" s="44">
        <f t="shared" si="55"/>
        <v>-1.087654601985079</v>
      </c>
      <c r="AE177" s="44">
        <f t="shared" si="56"/>
        <v>-1.0876531015227913</v>
      </c>
      <c r="AF177" s="44">
        <f t="shared" si="57"/>
        <v>-1.0876501002154082</v>
      </c>
      <c r="AG177" s="31">
        <f t="shared" si="58"/>
        <v>80.3510929066546</v>
      </c>
      <c r="AH177" s="31">
        <f t="shared" si="59"/>
        <v>80.351462194000788</v>
      </c>
      <c r="AI177" s="31">
        <f t="shared" si="60"/>
        <v>80.35220081573938</v>
      </c>
      <c r="AJ177" s="2" t="str">
        <f>IMSUM(R177,IMDIV(BASE!K$21^2,FRES!O177))</f>
        <v>7.20100572809828+14.9575617167143i</v>
      </c>
      <c r="AK177" s="2" t="str">
        <f>IMSUM(S177,IMDIV(BASE!L$21^2,FRES!P177))</f>
        <v>7.20100581348997+14.9575604797379i</v>
      </c>
      <c r="AL177" s="2" t="str">
        <f>IMSUM(T177,IMDIV(BASE!M$21^2,FRES!Q177))</f>
        <v>7.20100598430597+14.9575580054706i</v>
      </c>
      <c r="AM177" s="31">
        <f t="shared" si="73"/>
        <v>1.6245017321467432E-3</v>
      </c>
      <c r="AN177" s="31">
        <f t="shared" si="73"/>
        <v>1.6245708005682286E-3</v>
      </c>
      <c r="AO177" s="31">
        <f t="shared" si="73"/>
        <v>1.6247089550210701E-3</v>
      </c>
      <c r="AP177" s="31">
        <f t="shared" si="61"/>
        <v>4.2677902177680989E-5</v>
      </c>
      <c r="AQ177" s="31">
        <f t="shared" si="62"/>
        <v>4.2679716700421974E-5</v>
      </c>
      <c r="AR177" s="31">
        <f t="shared" si="63"/>
        <v>4.268334620853959E-5</v>
      </c>
      <c r="AS177" s="2">
        <f t="shared" si="64"/>
        <v>106.53788787434853</v>
      </c>
      <c r="AT177" s="2">
        <f t="shared" si="65"/>
        <v>106.53789265046834</v>
      </c>
      <c r="AU177" s="2">
        <f t="shared" si="66"/>
        <v>106.53790220392645</v>
      </c>
      <c r="AV177" s="2">
        <f t="shared" si="67"/>
        <v>106.53788787434853</v>
      </c>
      <c r="AW177" s="2">
        <f t="shared" si="68"/>
        <v>106.53789265046834</v>
      </c>
      <c r="AX177" s="2">
        <f t="shared" si="69"/>
        <v>106.53790220392645</v>
      </c>
      <c r="AY177">
        <f t="shared" si="70"/>
        <v>16.600696853006546</v>
      </c>
      <c r="AZ177">
        <f t="shared" si="71"/>
        <v>16.600695775506924</v>
      </c>
      <c r="BA177">
        <f t="shared" si="72"/>
        <v>16.600693620238527</v>
      </c>
    </row>
    <row r="178" spans="1:53" x14ac:dyDescent="0.2">
      <c r="A178" s="2">
        <v>174</v>
      </c>
      <c r="B178" s="2"/>
      <c r="C178" s="1">
        <v>9616.6522241370458</v>
      </c>
      <c r="D178" s="2">
        <f t="shared" si="76"/>
        <v>60423.207958953775</v>
      </c>
      <c r="E178" s="2"/>
      <c r="F178" s="2">
        <f>$D178*BASE!E$15/100/E$3</f>
        <v>11.065878201785139</v>
      </c>
      <c r="G178" s="2">
        <f>$D178*BASE!F$15/100/F$3</f>
        <v>11.065878201785139</v>
      </c>
      <c r="H178" s="2">
        <f>$D178*BASE!G$15/100/G$3</f>
        <v>11.065878201785139</v>
      </c>
      <c r="I178" s="2">
        <f>(1-BESSELJ(2*F178,1)/F178)*BASE!K$13*E$2*E$3</f>
        <v>5.1008370990955241</v>
      </c>
      <c r="J178" s="2">
        <f>(1-BESSELJ(2*G178,1)/G178)*BASE!L$13*F$2*F$3</f>
        <v>5.1008370990955241</v>
      </c>
      <c r="K178" s="2">
        <f>(1-BESSELJ(2*H178,1)/H178)*BASE!M$13*G$2*G$3</f>
        <v>5.1008370990955241</v>
      </c>
      <c r="L178" s="2" t="str">
        <f>IMPRODUCT(COMPLEX(1-BESSELJ(2*F178,1)/F178,(STRUVE(2*F178)/(2*F178^2))),PI()*(BASE!E$15/100)^2*E$2*E$3)</f>
        <v>5.10083709909552+0.360587199472064i</v>
      </c>
      <c r="M178" s="2" t="str">
        <f>IMPRODUCT(COMPLEX(1-BESSELJ(2*G178,1)/G178,(STRUVE(2*G178)/(2*G178^2))),PI()*(BASE!F$15/100)^2*F$2*F$3)</f>
        <v>5.10083709909552+0.360587199472064i</v>
      </c>
      <c r="N178" s="2" t="str">
        <f>IMPRODUCT(COMPLEX(1-BESSELJ(2*H178,1)/H178,(STRUVE(2*H178)/(2*H178^2))),PI()*(BASE!G$15/100)^2*G$2*G$3)</f>
        <v>5.10083709909552+0.360587199472064i</v>
      </c>
      <c r="O178" s="2" t="str">
        <f>IMSUM(IMPRODUCT(IF($O$3=1,L178,COMPLEX(I178,$D178*BASE!K$15)),2),COMPLEX(BASE!E$36,$D178*BASE!K$14-BASE!K$10/$D178))</f>
        <v>11.001674198191+360.609745297937i</v>
      </c>
      <c r="P178" s="2" t="str">
        <f>IMSUM(IMPRODUCT(IF($O$3=1,M178,COMPLEX(J178,$D178*BASE!L$15)),2),COMPLEX(BASE!F$36,$D178*BASE!L$14-BASE!L$10/$D178))</f>
        <v>11.001674198191+360.59758109771i</v>
      </c>
      <c r="Q178" s="2" t="str">
        <f>IMSUM(IMPRODUCT(IF($O$3=1,N178,COMPLEX(K178,$D178*BASE!M$15)),2),COMPLEX(BASE!G$36,$D178*BASE!M$14-BASE!M$10/$D178))</f>
        <v>11.001674198191+360.573252697255i</v>
      </c>
      <c r="R178" s="2" t="str">
        <f>COMPLEX(BASE!E$19,FRES!$D178*BASE!K$36)</f>
        <v>7.2+16.8220410245228i</v>
      </c>
      <c r="S178" s="2" t="str">
        <f>COMPLEX(BASE!F$19,FRES!$D178*BASE!L$36)</f>
        <v>7.2+16.8220410245228i</v>
      </c>
      <c r="T178" s="2" t="str">
        <f>COMPLEX(BASE!G$19,FRES!$D178*BASE!M$36)</f>
        <v>7.2+16.8220410245228i</v>
      </c>
      <c r="U178" s="2" t="str">
        <f>IMDIV(BASE!K$21*BASE!E$38,IMPRODUCT(FRES!R178,IMSUM(FRES!O178,IMDIV(BASE!K$21^2,FRES!R178))))</f>
        <v>-0.00119212421790017-0.000554712377874408i</v>
      </c>
      <c r="V178" s="2" t="str">
        <f>IMDIV(BASE!L$21*BASE!F$38,IMPRODUCT(FRES!S178,IMSUM(FRES!P178,IMDIV(BASE!L$21^2,FRES!S178))))</f>
        <v>-0.00119216386373653-0.000554732348106891i</v>
      </c>
      <c r="W178" s="2" t="str">
        <f>IMDIV(BASE!M$21*BASE!G$38,IMPRODUCT(FRES!T178,IMSUM(FRES!Q178,IMDIV(BASE!M$21^2,FRES!T178))))</f>
        <v>-0.00119224316331106-0.000554772292865256i</v>
      </c>
      <c r="X178" s="2" t="str">
        <f t="shared" si="75"/>
        <v>-9.18045228997492E-09+1.97295750783374E-08i</v>
      </c>
      <c r="Y178" s="2" t="str">
        <f t="shared" si="74"/>
        <v>-9.18078279597017E-09+1.97302312142444E-08i</v>
      </c>
      <c r="Z178" s="2" t="str">
        <f t="shared" si="74"/>
        <v>-9.18144387901615E-09+1.97315436168329E-08i</v>
      </c>
      <c r="AA178" s="44" t="str">
        <f>IMPRODUCT(COMPLEX(0,$D178),U178,E$2,BASE!E$15^2/10000,1/(2*BASE!$U$3))</f>
        <v>0.0798185777523045-0.171536932241331i</v>
      </c>
      <c r="AB178" s="44" t="str">
        <f>IMPRODUCT(COMPLEX(0,$D178),V178,F$2,BASE!F$15^2/10000,1/(2*BASE!$U$3))</f>
        <v>0.0798214513055507-0.171542636953175i</v>
      </c>
      <c r="AC178" s="44" t="str">
        <f>IMPRODUCT(COMPLEX(0,$D178),W178,G$2,BASE!G$15^2/10000,1/(2*BASE!$U$3))</f>
        <v>0.0798271990298282-0.171554047513869i</v>
      </c>
      <c r="AD178" s="44">
        <f t="shared" si="55"/>
        <v>-1.1352803093659012</v>
      </c>
      <c r="AE178" s="44">
        <f t="shared" si="56"/>
        <v>-1.1352792596024122</v>
      </c>
      <c r="AF178" s="44">
        <f t="shared" si="57"/>
        <v>-1.1352771598628693</v>
      </c>
      <c r="AG178" s="31">
        <f t="shared" si="58"/>
        <v>79.51773591801026</v>
      </c>
      <c r="AH178" s="31">
        <f t="shared" si="59"/>
        <v>79.518029017986279</v>
      </c>
      <c r="AI178" s="31">
        <f t="shared" si="60"/>
        <v>79.518615247582687</v>
      </c>
      <c r="AJ178" s="2" t="str">
        <f>IMSUM(R178,IMDIV(BASE!K$21^2,FRES!O178))</f>
        <v>7.20079312158781+16.7960443108756i</v>
      </c>
      <c r="AK178" s="2" t="str">
        <f>IMSUM(S178,IMDIV(BASE!L$21^2,FRES!P178))</f>
        <v>7.2007931750484+16.7960434355478i</v>
      </c>
      <c r="AL178" s="2" t="str">
        <f>IMSUM(T178,IMDIV(BASE!M$21^2,FRES!Q178))</f>
        <v>7.2007932819858+16.7960416847156i</v>
      </c>
      <c r="AM178" s="31">
        <f t="shared" si="73"/>
        <v>1.3148634807732596E-3</v>
      </c>
      <c r="AN178" s="31">
        <f t="shared" si="73"/>
        <v>1.314907850777155E-3</v>
      </c>
      <c r="AO178" s="31">
        <f t="shared" si="73"/>
        <v>1.3149965997647814E-3</v>
      </c>
      <c r="AP178" s="31">
        <f t="shared" si="61"/>
        <v>3.0774562125894105E-5</v>
      </c>
      <c r="AQ178" s="31">
        <f t="shared" si="62"/>
        <v>3.0775600611988911E-5</v>
      </c>
      <c r="AR178" s="31">
        <f t="shared" si="63"/>
        <v>3.0777677794352925E-5</v>
      </c>
      <c r="AS178" s="2">
        <f t="shared" si="64"/>
        <v>106.38629053939042</v>
      </c>
      <c r="AT178" s="2">
        <f t="shared" si="65"/>
        <v>106.38629388089139</v>
      </c>
      <c r="AU178" s="2">
        <f t="shared" si="66"/>
        <v>106.38630056456994</v>
      </c>
      <c r="AV178" s="2">
        <f t="shared" si="67"/>
        <v>106.38629053939042</v>
      </c>
      <c r="AW178" s="2">
        <f t="shared" si="68"/>
        <v>106.38629388089139</v>
      </c>
      <c r="AX178" s="2">
        <f t="shared" si="69"/>
        <v>106.38630056456994</v>
      </c>
      <c r="AY178">
        <f t="shared" si="70"/>
        <v>18.274532171106404</v>
      </c>
      <c r="AZ178">
        <f t="shared" si="71"/>
        <v>18.274531387661682</v>
      </c>
      <c r="BA178">
        <f t="shared" si="72"/>
        <v>18.27452982061634</v>
      </c>
    </row>
    <row r="179" spans="1:53" x14ac:dyDescent="0.2">
      <c r="A179" s="2">
        <v>175</v>
      </c>
      <c r="B179" s="2"/>
      <c r="C179" s="1">
        <v>10794.327153383756</v>
      </c>
      <c r="D179" s="2">
        <f t="shared" si="76"/>
        <v>67822.757771030461</v>
      </c>
      <c r="E179" s="2"/>
      <c r="F179" s="2">
        <f>$D179*BASE!E$15/100/E$3</f>
        <v>12.421028312717787</v>
      </c>
      <c r="G179" s="2">
        <f>$D179*BASE!F$15/100/F$3</f>
        <v>12.421028312717787</v>
      </c>
      <c r="H179" s="2">
        <f>$D179*BASE!G$15/100/G$3</f>
        <v>12.421028312717787</v>
      </c>
      <c r="I179" s="2">
        <f>(1-BESSELJ(2*F179,1)/F179)*BASE!K$13*E$2*E$3</f>
        <v>5.205115277430072</v>
      </c>
      <c r="J179" s="2">
        <f>(1-BESSELJ(2*G179,1)/G179)*BASE!L$13*F$2*F$3</f>
        <v>5.205115277430072</v>
      </c>
      <c r="K179" s="2">
        <f>(1-BESSELJ(2*H179,1)/H179)*BASE!M$13*G$2*G$3</f>
        <v>5.205115277430072</v>
      </c>
      <c r="L179" s="2" t="str">
        <f>IMPRODUCT(COMPLEX(1-BESSELJ(2*F179,1)/F179,(STRUVE(2*F179)/(2*F179^2))),PI()*(BASE!E$15/100)^2*E$2*E$3)</f>
        <v>5.20511527743007+0.231854002805535i</v>
      </c>
      <c r="M179" s="2" t="str">
        <f>IMPRODUCT(COMPLEX(1-BESSELJ(2*G179,1)/G179,(STRUVE(2*G179)/(2*G179^2))),PI()*(BASE!F$15/100)^2*F$2*F$3)</f>
        <v>5.20511527743007+0.231854002805535i</v>
      </c>
      <c r="N179" s="2" t="str">
        <f>IMPRODUCT(COMPLEX(1-BESSELJ(2*H179,1)/H179,(STRUVE(2*H179)/(2*H179^2))),PI()*(BASE!G$15/100)^2*G$2*G$3)</f>
        <v>5.20511527743007+0.231854002805535i</v>
      </c>
      <c r="O179" s="2" t="str">
        <f>IMSUM(IMPRODUCT(IF($O$3=1,L179,COMPLEX(I179,$D179*BASE!K$15)),2),COMPLEX(BASE!E$36,$D179*BASE!K$14-BASE!K$10/$D179))</f>
        <v>11.2102305548601+404.773568232313i</v>
      </c>
      <c r="P179" s="2" t="str">
        <f>IMSUM(IMPRODUCT(IF($O$3=1,M179,COMPLEX(J179,$D179*BASE!L$15)),2),COMPLEX(BASE!F$36,$D179*BASE!L$14-BASE!L$10/$D179))</f>
        <v>11.2102305548601+404.762731161923i</v>
      </c>
      <c r="Q179" s="2" t="str">
        <f>IMSUM(IMPRODUCT(IF($O$3=1,N179,COMPLEX(K179,$D179*BASE!M$15)),2),COMPLEX(BASE!G$36,$D179*BASE!M$14-BASE!M$10/$D179))</f>
        <v>11.2102305548601+404.741057021143i</v>
      </c>
      <c r="R179" s="2" t="str">
        <f>COMPLEX(BASE!E$19,FRES!$D179*BASE!K$36)</f>
        <v>7.2+18.8821026251302i</v>
      </c>
      <c r="S179" s="2" t="str">
        <f>COMPLEX(BASE!F$19,FRES!$D179*BASE!L$36)</f>
        <v>7.2+18.8821026251302i</v>
      </c>
      <c r="T179" s="2" t="str">
        <f>COMPLEX(BASE!G$19,FRES!$D179*BASE!M$36)</f>
        <v>7.2+18.8821026251302i</v>
      </c>
      <c r="U179" s="2" t="str">
        <f>IMDIV(BASE!K$21*BASE!E$38,IMPRODUCT(FRES!R179,IMSUM(FRES!O179,IMDIV(BASE!K$21^2,FRES!R179))))</f>
        <v>-0.000979906571551992-0.000405571108039556i</v>
      </c>
      <c r="V179" s="2" t="str">
        <f>IMDIV(BASE!L$21*BASE!F$38,IMPRODUCT(FRES!S179,IMSUM(FRES!P179,IMDIV(BASE!L$21^2,FRES!S179))))</f>
        <v>-0.000979932509243451-0.000405582708154184i</v>
      </c>
      <c r="W179" s="2" t="str">
        <f>IMDIV(BASE!M$21*BASE!G$38,IMPRODUCT(FRES!T179,IMSUM(FRES!Q179,IMDIV(BASE!M$21^2,FRES!T179))))</f>
        <v>-0.000979984388742034-0.00040560591036482i</v>
      </c>
      <c r="X179" s="2" t="str">
        <f t="shared" si="75"/>
        <v>-5.97986754547439E-09+1.44480496481749E-08i</v>
      </c>
      <c r="Y179" s="2" t="str">
        <f t="shared" si="74"/>
        <v>-5.98003858120058E-09+1.44484320816281E-08i</v>
      </c>
      <c r="Z179" s="2" t="str">
        <f t="shared" si="74"/>
        <v>-5.98038068186706E-09+1.44491970092172E-08i</v>
      </c>
      <c r="AA179" s="44" t="str">
        <f>IMPRODUCT(COMPLEX(0,$D179),U179,E$2,BASE!E$15^2/10000,1/(2*BASE!$U$3))</f>
        <v>0.065505053157826-0.158267763129113i</v>
      </c>
      <c r="AB179" s="44" t="str">
        <f>IMPRODUCT(COMPLEX(0,$D179),V179,F$2,BASE!F$15^2/10000,1/(2*BASE!$U$3))</f>
        <v>0.065506926728478-0.158271952406465i</v>
      </c>
      <c r="AC179" s="44" t="str">
        <f>IMPRODUCT(COMPLEX(0,$D179),W179,G$2,BASE!G$15^2/10000,1/(2*BASE!$U$3))</f>
        <v>0.065510674189801-0.158280331625905i</v>
      </c>
      <c r="AD179" s="44">
        <f t="shared" si="55"/>
        <v>-1.1783755653783572</v>
      </c>
      <c r="AE179" s="44">
        <f t="shared" si="56"/>
        <v>-1.1783748119116819</v>
      </c>
      <c r="AF179" s="44">
        <f t="shared" si="57"/>
        <v>-1.1783733048572558</v>
      </c>
      <c r="AG179" s="31">
        <f t="shared" si="58"/>
        <v>78.653941504392463</v>
      </c>
      <c r="AH179" s="31">
        <f t="shared" si="59"/>
        <v>78.654174121689749</v>
      </c>
      <c r="AI179" s="31">
        <f t="shared" si="60"/>
        <v>78.654639374959686</v>
      </c>
      <c r="AJ179" s="2" t="str">
        <f>IMSUM(R179,IMDIV(BASE!K$21^2,FRES!O179))</f>
        <v>7.20064153037013+18.8589385576497i</v>
      </c>
      <c r="AK179" s="2" t="str">
        <f>IMSUM(S179,IMDIV(BASE!L$21^2,FRES!P179))</f>
        <v>7.20064156469677+18.8589379384083i</v>
      </c>
      <c r="AL179" s="2" t="str">
        <f>IMSUM(T179,IMDIV(BASE!M$21^2,FRES!Q179))</f>
        <v>7.20064163335833+18.8589366998264i</v>
      </c>
      <c r="AM179" s="31">
        <f t="shared" si="73"/>
        <v>1.0605210099980161E-3</v>
      </c>
      <c r="AN179" s="31">
        <f t="shared" si="73"/>
        <v>1.0605494122509561E-3</v>
      </c>
      <c r="AO179" s="31">
        <f t="shared" si="73"/>
        <v>1.0606062213191908E-3</v>
      </c>
      <c r="AP179" s="31">
        <f t="shared" si="61"/>
        <v>2.2113568436484636E-5</v>
      </c>
      <c r="AQ179" s="31">
        <f t="shared" si="62"/>
        <v>2.2114160669130878E-5</v>
      </c>
      <c r="AR179" s="31">
        <f t="shared" si="63"/>
        <v>2.2115345229555878E-5</v>
      </c>
      <c r="AS179" s="2">
        <f t="shared" si="64"/>
        <v>106.24911407902655</v>
      </c>
      <c r="AT179" s="2">
        <f t="shared" si="65"/>
        <v>106.24911647738547</v>
      </c>
      <c r="AU179" s="2">
        <f t="shared" si="66"/>
        <v>106.2491212744887</v>
      </c>
      <c r="AV179" s="2">
        <f t="shared" si="67"/>
        <v>106.24911407902655</v>
      </c>
      <c r="AW179" s="2">
        <f t="shared" si="68"/>
        <v>106.24911647738547</v>
      </c>
      <c r="AX179" s="2">
        <f t="shared" si="69"/>
        <v>106.2491212744887</v>
      </c>
      <c r="AY179">
        <f t="shared" si="70"/>
        <v>20.186847251864211</v>
      </c>
      <c r="AZ179">
        <f t="shared" si="71"/>
        <v>20.18684668560136</v>
      </c>
      <c r="BA179">
        <f t="shared" si="72"/>
        <v>20.186845552986046</v>
      </c>
    </row>
    <row r="180" spans="1:53" x14ac:dyDescent="0.2">
      <c r="A180" s="2">
        <v>176</v>
      </c>
      <c r="B180" s="2"/>
      <c r="C180" s="1">
        <v>12116.222566708613</v>
      </c>
      <c r="D180" s="2">
        <f t="shared" si="76"/>
        <v>76128.471609661297</v>
      </c>
      <c r="E180" s="2"/>
      <c r="F180" s="2">
        <f>$D180*BASE!E$15/100/E$3</f>
        <v>13.942132882001921</v>
      </c>
      <c r="G180" s="2">
        <f>$D180*BASE!F$15/100/F$3</f>
        <v>13.942132882001921</v>
      </c>
      <c r="H180" s="2">
        <f>$D180*BASE!G$15/100/G$3</f>
        <v>13.942132882001921</v>
      </c>
      <c r="I180" s="2">
        <f>(1-BESSELJ(2*F180,1)/F180)*BASE!K$13*E$2*E$3</f>
        <v>5.0959960858404214</v>
      </c>
      <c r="J180" s="2">
        <f>(1-BESSELJ(2*G180,1)/G180)*BASE!L$13*F$2*F$3</f>
        <v>5.0959960858404214</v>
      </c>
      <c r="K180" s="2">
        <f>(1-BESSELJ(2*H180,1)/H180)*BASE!M$13*G$2*G$3</f>
        <v>5.0959960858404214</v>
      </c>
      <c r="L180" s="2" t="str">
        <f>IMPRODUCT(COMPLEX(1-BESSELJ(2*F180,1)/F180,(STRUVE(2*F180)/(2*F180^2))),PI()*(BASE!E$15/100)^2*E$2*E$3)</f>
        <v>5.09599608584042+0.257507693450111i</v>
      </c>
      <c r="M180" s="2" t="str">
        <f>IMPRODUCT(COMPLEX(1-BESSELJ(2*G180,1)/G180,(STRUVE(2*G180)/(2*G180^2))),PI()*(BASE!F$15/100)^2*F$2*F$3)</f>
        <v>5.09599608584042+0.257507693450111i</v>
      </c>
      <c r="N180" s="2" t="str">
        <f>IMPRODUCT(COMPLEX(1-BESSELJ(2*H180,1)/H180,(STRUVE(2*H180)/(2*H180^2))),PI()*(BASE!G$15/100)^2*G$2*G$3)</f>
        <v>5.09599608584042+0.257507693450111i</v>
      </c>
      <c r="O180" s="2" t="str">
        <f>IMSUM(IMPRODUCT(IF($O$3=1,L180,COMPLEX(I180,$D180*BASE!K$15)),2),COMPLEX(BASE!E$36,$D180*BASE!K$14-BASE!K$10/$D180))</f>
        <v>10.9919921716808+454.345476276857i</v>
      </c>
      <c r="P180" s="2" t="str">
        <f>IMSUM(IMPRODUCT(IF($O$3=1,M180,COMPLEX(J180,$D180*BASE!L$15)),2),COMPLEX(BASE!F$36,$D180*BASE!L$14-BASE!L$10/$D180))</f>
        <v>10.9919921716808+454.335821544738i</v>
      </c>
      <c r="Q180" s="2" t="str">
        <f>IMSUM(IMPRODUCT(IF($O$3=1,N180,COMPLEX(K180,$D180*BASE!M$15)),2),COMPLEX(BASE!G$36,$D180*BASE!M$14-BASE!M$10/$D180))</f>
        <v>10.9919921716808+454.3165120805i</v>
      </c>
      <c r="R180" s="2" t="str">
        <f>COMPLEX(BASE!E$19,FRES!$D180*BASE!K$36)</f>
        <v>7.2+21.1944435889914i</v>
      </c>
      <c r="S180" s="2" t="str">
        <f>COMPLEX(BASE!F$19,FRES!$D180*BASE!L$36)</f>
        <v>7.2+21.1944435889914i</v>
      </c>
      <c r="T180" s="2" t="str">
        <f>COMPLEX(BASE!G$19,FRES!$D180*BASE!M$36)</f>
        <v>7.2+21.1944435889914i</v>
      </c>
      <c r="U180" s="2" t="str">
        <f>IMDIV(BASE!K$21*BASE!E$38,IMPRODUCT(FRES!R180,IMSUM(FRES!O180,IMDIV(BASE!K$21^2,FRES!R180))))</f>
        <v>-0.000800595788789276-0.000294043743582262i</v>
      </c>
      <c r="V180" s="2" t="str">
        <f>IMDIV(BASE!L$21*BASE!F$38,IMPRODUCT(FRES!S180,IMSUM(FRES!P180,IMDIV(BASE!L$21^2,FRES!S180))))</f>
        <v>-0.000800612653066952-0.000294050410910302i</v>
      </c>
      <c r="W180" s="2" t="str">
        <f>IMDIV(BASE!M$21*BASE!G$38,IMPRODUCT(FRES!T180,IMSUM(FRES!Q180,IMDIV(BASE!M$21^2,FRES!T180))))</f>
        <v>-0.000800646383752357-0.000294063746469466i</v>
      </c>
      <c r="X180" s="2" t="str">
        <f t="shared" si="75"/>
        <v>-3.86246744962821E-09+1.05163780627861E-08i</v>
      </c>
      <c r="Y180" s="2" t="str">
        <f t="shared" si="74"/>
        <v>-3.86255502958219E-09+1.0516599586709E-08i</v>
      </c>
      <c r="Z180" s="2" t="str">
        <f t="shared" si="74"/>
        <v>-3.86273020135277E-09+1.05170426625345E-08i</v>
      </c>
      <c r="AA180" s="44" t="str">
        <f>IMPRODUCT(COMPLEX(0,$D180),U180,E$2,BASE!E$15^2/10000,1/(2*BASE!$U$3))</f>
        <v>0.0533078790101152-0.145141885778117i</v>
      </c>
      <c r="AB180" s="44" t="str">
        <f>IMPRODUCT(COMPLEX(0,$D180),V180,F$2,BASE!F$15^2/10000,1/(2*BASE!$U$3))</f>
        <v>0.0533090877456324-0.145144943142518i</v>
      </c>
      <c r="AC180" s="44" t="str">
        <f>IMPRODUCT(COMPLEX(0,$D180),W180,G$2,BASE!G$15^2/10000,1/(2*BASE!$U$3))</f>
        <v>0.053311505380389-0.145151058257482i</v>
      </c>
      <c r="AD180" s="44">
        <f t="shared" si="55"/>
        <v>-1.2188099785136333</v>
      </c>
      <c r="AE180" s="44">
        <f t="shared" si="56"/>
        <v>-1.2188094575026869</v>
      </c>
      <c r="AF180" s="44">
        <f t="shared" si="57"/>
        <v>-1.2188084154143459</v>
      </c>
      <c r="AG180" s="31">
        <f t="shared" si="58"/>
        <v>77.764813842977247</v>
      </c>
      <c r="AH180" s="31">
        <f t="shared" si="59"/>
        <v>77.764998468469258</v>
      </c>
      <c r="AI180" s="31">
        <f t="shared" si="60"/>
        <v>77.765367731219669</v>
      </c>
      <c r="AJ180" s="2" t="str">
        <f>IMSUM(R180,IMDIV(BASE!K$21^2,FRES!O180))</f>
        <v>7.20049935548499+21.1738031170812i</v>
      </c>
      <c r="AK180" s="2" t="str">
        <f>IMSUM(S180,IMDIV(BASE!L$21^2,FRES!P180))</f>
        <v>7.20049937669561+21.1738026789799i</v>
      </c>
      <c r="AL180" s="2" t="str">
        <f>IMSUM(T180,IMDIV(BASE!M$21^2,FRES!Q180))</f>
        <v>7.20049941912093+21.1738018027217i</v>
      </c>
      <c r="AM180" s="31">
        <f t="shared" si="73"/>
        <v>8.5288647554466112E-4</v>
      </c>
      <c r="AN180" s="31">
        <f t="shared" si="73"/>
        <v>8.529046045176571E-4</v>
      </c>
      <c r="AO180" s="31">
        <f t="shared" si="73"/>
        <v>8.5294086477515237E-4</v>
      </c>
      <c r="AP180" s="31">
        <f t="shared" si="61"/>
        <v>1.5843791361848095E-5</v>
      </c>
      <c r="AQ180" s="31">
        <f t="shared" si="62"/>
        <v>1.5844128137812985E-5</v>
      </c>
      <c r="AR180" s="31">
        <f t="shared" si="63"/>
        <v>1.5844801732682778E-5</v>
      </c>
      <c r="AS180" s="2">
        <f t="shared" si="64"/>
        <v>106.12040734459657</v>
      </c>
      <c r="AT180" s="2">
        <f t="shared" si="65"/>
        <v>106.12040900302593</v>
      </c>
      <c r="AU180" s="2">
        <f t="shared" si="66"/>
        <v>106.12041232009614</v>
      </c>
      <c r="AV180" s="2">
        <f t="shared" si="67"/>
        <v>106.12040734459657</v>
      </c>
      <c r="AW180" s="2">
        <f t="shared" si="68"/>
        <v>106.12040900302593</v>
      </c>
      <c r="AX180" s="2">
        <f t="shared" si="69"/>
        <v>106.12041232009614</v>
      </c>
      <c r="AY180">
        <f t="shared" si="70"/>
        <v>22.364640158277915</v>
      </c>
      <c r="AZ180">
        <f t="shared" si="71"/>
        <v>22.364639750332895</v>
      </c>
      <c r="BA180">
        <f t="shared" si="72"/>
        <v>22.364638934391532</v>
      </c>
    </row>
    <row r="181" spans="1:53" x14ac:dyDescent="0.2">
      <c r="A181" s="2">
        <v>177</v>
      </c>
      <c r="B181" s="2"/>
      <c r="C181" s="1">
        <v>13600</v>
      </c>
      <c r="D181" s="2">
        <f t="shared" si="76"/>
        <v>85451.320177642367</v>
      </c>
      <c r="E181" s="2"/>
      <c r="F181" s="2">
        <f>$D181*BASE!E$15/100/E$3</f>
        <v>15.649515032533341</v>
      </c>
      <c r="G181" s="2">
        <f>$D181*BASE!F$15/100/F$3</f>
        <v>15.649515032533341</v>
      </c>
      <c r="H181" s="2">
        <f>$D181*BASE!G$15/100/G$3</f>
        <v>15.649515032533341</v>
      </c>
      <c r="I181" s="2">
        <f>(1-BESSELJ(2*F181,1)/F181)*BASE!K$13*E$2*E$3</f>
        <v>5.183662507286992</v>
      </c>
      <c r="J181" s="2">
        <f>(1-BESSELJ(2*G181,1)/G181)*BASE!L$13*F$2*F$3</f>
        <v>5.183662507286992</v>
      </c>
      <c r="K181" s="2">
        <f>(1-BESSELJ(2*H181,1)/H181)*BASE!M$13*G$2*G$3</f>
        <v>5.183662507286992</v>
      </c>
      <c r="L181" s="2" t="str">
        <f>IMPRODUCT(COMPLEX(1-BESSELJ(2*F181,1)/F181,(STRUVE(2*F181)/(2*F181^2))),PI()*(BASE!E$15/100)^2*E$2*E$3)</f>
        <v>5.18366250728701+0.180050366388741i</v>
      </c>
      <c r="M181" s="2" t="str">
        <f>IMPRODUCT(COMPLEX(1-BESSELJ(2*G181,1)/G181,(STRUVE(2*G181)/(2*G181^2))),PI()*(BASE!F$15/100)^2*F$2*F$3)</f>
        <v>5.18366250728701+0.180050366388741i</v>
      </c>
      <c r="N181" s="2" t="str">
        <f>IMPRODUCT(COMPLEX(1-BESSELJ(2*H181,1)/H181,(STRUVE(2*H181)/(2*H181^2))),PI()*(BASE!G$15/100)^2*G$2*G$3)</f>
        <v>5.18366250728701+0.180050366388741i</v>
      </c>
      <c r="O181" s="2" t="str">
        <f>IMSUM(IMPRODUCT(IF($O$3=1,L181,COMPLEX(I181,$D181*BASE!K$15)),2),COMPLEX(BASE!E$36,$D181*BASE!K$14-BASE!K$10/$D181))</f>
        <v>11.167325014574+509.987788117419i</v>
      </c>
      <c r="P181" s="2" t="str">
        <f>IMSUM(IMPRODUCT(IF($O$3=1,M181,COMPLEX(J181,$D181*BASE!L$15)),2),COMPLEX(BASE!F$36,$D181*BASE!L$14-BASE!L$10/$D181))</f>
        <v>11.167325014574+509.979186728951i</v>
      </c>
      <c r="Q181" s="2" t="str">
        <f>IMSUM(IMPRODUCT(IF($O$3=1,N181,COMPLEX(K181,$D181*BASE!M$15)),2),COMPLEX(BASE!G$36,$D181*BASE!M$14-BASE!M$10/$D181))</f>
        <v>11.167325014574+509.961983952013i</v>
      </c>
      <c r="R181" s="2" t="str">
        <f>COMPLEX(BASE!E$19,FRES!$D181*BASE!K$36)</f>
        <v>7.2+23.7899585636768i</v>
      </c>
      <c r="S181" s="2" t="str">
        <f>COMPLEX(BASE!F$19,FRES!$D181*BASE!L$36)</f>
        <v>7.2+23.7899585636768i</v>
      </c>
      <c r="T181" s="2" t="str">
        <f>COMPLEX(BASE!G$19,FRES!$D181*BASE!M$36)</f>
        <v>7.2+23.7899585636768i</v>
      </c>
      <c r="U181" s="2" t="str">
        <f>IMDIV(BASE!K$21*BASE!E$38,IMPRODUCT(FRES!R181,IMSUM(FRES!O181,IMDIV(BASE!K$21^2,FRES!R181))))</f>
        <v>-0.00065032128875051-0.000212632737695846i</v>
      </c>
      <c r="V181" s="2" t="str">
        <f>IMDIV(BASE!L$21*BASE!F$38,IMPRODUCT(FRES!S181,IMSUM(FRES!P181,IMDIV(BASE!L$21^2,FRES!S181))))</f>
        <v>-0.000650332180201912-0.000212636567538495i</v>
      </c>
      <c r="W181" s="2" t="str">
        <f>IMDIV(BASE!M$21*BASE!G$38,IMPRODUCT(FRES!T181,IMSUM(FRES!Q181,IMDIV(BASE!M$21^2,FRES!T181))))</f>
        <v>-0.000650353964198607-0.000212644227635861i</v>
      </c>
      <c r="X181" s="2" t="str">
        <f t="shared" si="75"/>
        <v>-2.4883493579012E-09+7.61042997812761E-09i</v>
      </c>
      <c r="Y181" s="2" t="str">
        <f t="shared" si="74"/>
        <v>-2.48839417690038E-09+7.61055743609291E-09i</v>
      </c>
      <c r="Z181" s="2" t="str">
        <f t="shared" si="74"/>
        <v>-2.48848381972099E-09+7.61081236482484E-09i</v>
      </c>
      <c r="AA181" s="44" t="str">
        <f>IMPRODUCT(COMPLEX(0,$D181),U181,E$2,BASE!E$15^2/10000,1/(2*BASE!$U$3))</f>
        <v>0.0432694382422581-0.132336333276518i</v>
      </c>
      <c r="AB181" s="44" t="str">
        <f>IMPRODUCT(COMPLEX(0,$D181),V181,F$2,BASE!F$15^2/10000,1/(2*BASE!$U$3))</f>
        <v>0.0432702175913921-0.132338549619067i</v>
      </c>
      <c r="AC181" s="44" t="str">
        <f>IMPRODUCT(COMPLEX(0,$D181),W181,G$2,BASE!G$15^2/10000,1/(2*BASE!$U$3))</f>
        <v>0.0432717763735133-0.132342982526764i</v>
      </c>
      <c r="AD181" s="44">
        <f t="shared" si="55"/>
        <v>-1.2547875724720656</v>
      </c>
      <c r="AE181" s="44">
        <f t="shared" si="56"/>
        <v>-1.2547871991869561</v>
      </c>
      <c r="AF181" s="44">
        <f t="shared" si="57"/>
        <v>-1.2547864525789463</v>
      </c>
      <c r="AG181" s="31">
        <f t="shared" si="58"/>
        <v>76.85409160901122</v>
      </c>
      <c r="AH181" s="31">
        <f t="shared" si="59"/>
        <v>76.854238137468386</v>
      </c>
      <c r="AI181" s="31">
        <f t="shared" si="60"/>
        <v>76.854531201794998</v>
      </c>
      <c r="AJ181" s="2" t="str">
        <f>IMSUM(R181,IMDIV(BASE!K$21^2,FRES!O181))</f>
        <v>7.2004026997527+23.7715681294513i</v>
      </c>
      <c r="AK181" s="2" t="str">
        <f>IMSUM(S181,IMDIV(BASE!L$21^2,FRES!P181))</f>
        <v>7.2004027133303+23.7715678195727i</v>
      </c>
      <c r="AL181" s="2" t="str">
        <f>IMSUM(T181,IMDIV(BASE!M$21^2,FRES!Q181))</f>
        <v>7.20040274048755+23.7715671997841i</v>
      </c>
      <c r="AM181" s="31">
        <f t="shared" si="73"/>
        <v>6.8420059905129765E-4</v>
      </c>
      <c r="AN181" s="31">
        <f t="shared" si="73"/>
        <v>6.8421214141574913E-4</v>
      </c>
      <c r="AO181" s="31">
        <f t="shared" si="73"/>
        <v>6.8423522731272393E-4</v>
      </c>
      <c r="AP181" s="31">
        <f t="shared" si="61"/>
        <v>1.1323473581807901E-5</v>
      </c>
      <c r="AQ181" s="31">
        <f t="shared" si="62"/>
        <v>1.1323664607157949E-5</v>
      </c>
      <c r="AR181" s="31">
        <f t="shared" si="63"/>
        <v>1.1324046677189553E-5</v>
      </c>
      <c r="AS181" s="2">
        <f t="shared" si="64"/>
        <v>106.00588710621582</v>
      </c>
      <c r="AT181" s="2">
        <f t="shared" si="65"/>
        <v>106.00588829441922</v>
      </c>
      <c r="AU181" s="2">
        <f t="shared" si="66"/>
        <v>106.00589067094633</v>
      </c>
      <c r="AV181" s="2">
        <f t="shared" si="67"/>
        <v>106.00588710621582</v>
      </c>
      <c r="AW181" s="2">
        <f t="shared" si="68"/>
        <v>106.00588829441922</v>
      </c>
      <c r="AX181" s="2">
        <f t="shared" si="69"/>
        <v>106.00589067094633</v>
      </c>
      <c r="AY181">
        <f t="shared" si="70"/>
        <v>24.83814104098273</v>
      </c>
      <c r="AZ181">
        <f t="shared" si="71"/>
        <v>24.838140748346657</v>
      </c>
      <c r="BA181">
        <f t="shared" si="72"/>
        <v>24.838140163045054</v>
      </c>
    </row>
    <row r="182" spans="1:53" x14ac:dyDescent="0.2">
      <c r="A182" s="2">
        <v>178</v>
      </c>
      <c r="B182" s="2"/>
      <c r="C182" s="1">
        <v>15265.48385700747</v>
      </c>
      <c r="D182" s="2">
        <f t="shared" si="76"/>
        <v>95915.863877336495</v>
      </c>
      <c r="E182" s="2"/>
      <c r="F182" s="2">
        <f>$D182*BASE!E$15/100/E$3</f>
        <v>17.565986698465696</v>
      </c>
      <c r="G182" s="2">
        <f>$D182*BASE!F$15/100/F$3</f>
        <v>17.565986698465696</v>
      </c>
      <c r="H182" s="2">
        <f>$D182*BASE!G$15/100/G$3</f>
        <v>17.565986698465696</v>
      </c>
      <c r="I182" s="2">
        <f>(1-BESSELJ(2*F182,1)/F182)*BASE!K$13*E$2*E$3</f>
        <v>5.1393472649573528</v>
      </c>
      <c r="J182" s="2">
        <f>(1-BESSELJ(2*G182,1)/G182)*BASE!L$13*F$2*F$3</f>
        <v>5.1393472649573528</v>
      </c>
      <c r="K182" s="2">
        <f>(1-BESSELJ(2*H182,1)/H182)*BASE!M$13*G$2*G$3</f>
        <v>5.1393472649573528</v>
      </c>
      <c r="L182" s="2" t="str">
        <f>IMPRODUCT(COMPLEX(1-BESSELJ(2*F182,1)/F182,(STRUVE(2*F182)/(2*F182^2))),PI()*(BASE!E$15/100)^2*E$2*E$3)</f>
        <v>5.13934726495735+0.224818716972795i</v>
      </c>
      <c r="M182" s="2" t="str">
        <f>IMPRODUCT(COMPLEX(1-BESSELJ(2*G182,1)/G182,(STRUVE(2*G182)/(2*G182^2))),PI()*(BASE!F$15/100)^2*F$2*F$3)</f>
        <v>5.13934726495735+0.224818716972795i</v>
      </c>
      <c r="N182" s="2" t="str">
        <f>IMPRODUCT(COMPLEX(1-BESSELJ(2*H182,1)/H182,(STRUVE(2*H182)/(2*H182^2))),PI()*(BASE!G$15/100)^2*G$2*G$3)</f>
        <v>5.13934726495735+0.224818716972795i</v>
      </c>
      <c r="O182" s="2" t="str">
        <f>IMSUM(IMPRODUCT(IF($O$3=1,L182,COMPLEX(I182,$D182*BASE!K$15)),2),COMPLEX(BASE!E$36,$D182*BASE!K$14-BASE!K$10/$D182))</f>
        <v>11.0786945299147+572.443927687224i</v>
      </c>
      <c r="P182" s="2" t="str">
        <f>IMSUM(IMPRODUCT(IF($O$3=1,M182,COMPLEX(J182,$D182*BASE!L$15)),2),COMPLEX(BASE!F$36,$D182*BASE!L$14-BASE!L$10/$D182))</f>
        <v>11.0786945299147+572.436264721263i</v>
      </c>
      <c r="Q182" s="2" t="str">
        <f>IMSUM(IMPRODUCT(IF($O$3=1,N182,COMPLEX(K182,$D182*BASE!M$15)),2),COMPLEX(BASE!G$36,$D182*BASE!M$14-BASE!M$10/$D182))</f>
        <v>11.0786945299147+572.420938789342i</v>
      </c>
      <c r="R182" s="2" t="str">
        <f>COMPLEX(BASE!E$19,FRES!$D182*BASE!K$36)</f>
        <v>7.2+26.7033256185797i</v>
      </c>
      <c r="S182" s="2" t="str">
        <f>COMPLEX(BASE!F$19,FRES!$D182*BASE!L$36)</f>
        <v>7.2+26.7033256185797i</v>
      </c>
      <c r="T182" s="2" t="str">
        <f>COMPLEX(BASE!G$19,FRES!$D182*BASE!M$36)</f>
        <v>7.2+26.7033256185797i</v>
      </c>
      <c r="U182" s="2" t="str">
        <f>IMDIV(BASE!K$21*BASE!E$38,IMPRODUCT(FRES!R182,IMSUM(FRES!O182,IMDIV(BASE!K$21^2,FRES!R182))))</f>
        <v>-0.000525994670369701-0.000152895036599484i</v>
      </c>
      <c r="V182" s="2" t="str">
        <f>IMDIV(BASE!L$21*BASE!F$38,IMPRODUCT(FRES!S182,IMSUM(FRES!P182,IMDIV(BASE!L$21^2,FRES!S182))))</f>
        <v>-0.000526001673031766-0.000152897221198942i</v>
      </c>
      <c r="W182" s="2" t="str">
        <f>IMDIV(BASE!M$21*BASE!G$38,IMPRODUCT(FRES!T182,IMSUM(FRES!Q182,IMDIV(BASE!M$21^2,FRES!T182))))</f>
        <v>-0.000526015678915045-0.000152901590584345i</v>
      </c>
      <c r="X182" s="2" t="str">
        <f t="shared" si="75"/>
        <v>-1.59405368850158E-09+5.48391735325845E-09i</v>
      </c>
      <c r="Y182" s="2" t="str">
        <f t="shared" si="74"/>
        <v>-1.59407646470741E-09+5.48399036164082E-09i</v>
      </c>
      <c r="Z182" s="2" t="str">
        <f t="shared" si="74"/>
        <v>-1.59412201906335E-09+5.48413638423513E-09i</v>
      </c>
      <c r="AA182" s="44" t="str">
        <f>IMPRODUCT(COMPLEX(0,$D182),U182,E$2,BASE!E$15^2/10000,1/(2*BASE!$U$3))</f>
        <v>0.0349233727361568-0.12014456675054i</v>
      </c>
      <c r="AB182" s="44" t="str">
        <f>IMPRODUCT(COMPLEX(0,$D182),V182,F$2,BASE!F$15^2/10000,1/(2*BASE!$U$3))</f>
        <v>0.034923871729341-0.120146166256861i</v>
      </c>
      <c r="AC182" s="44" t="str">
        <f>IMPRODUCT(COMPLEX(0,$D182),W182,G$2,BASE!G$15^2/10000,1/(2*BASE!$U$3))</f>
        <v>0.0349248697583055-0.12014936539722i</v>
      </c>
      <c r="AD182" s="44">
        <f t="shared" si="55"/>
        <v>-1.2879136887095184</v>
      </c>
      <c r="AE182" s="44">
        <f t="shared" si="56"/>
        <v>-1.2879134273695467</v>
      </c>
      <c r="AF182" s="44">
        <f t="shared" si="57"/>
        <v>-1.287912904668606</v>
      </c>
      <c r="AG182" s="31">
        <f t="shared" si="58"/>
        <v>75.925752946587394</v>
      </c>
      <c r="AH182" s="31">
        <f t="shared" si="59"/>
        <v>75.925869242466007</v>
      </c>
      <c r="AI182" s="31">
        <f t="shared" si="60"/>
        <v>75.926101838892862</v>
      </c>
      <c r="AJ182" s="2" t="str">
        <f>IMSUM(R182,IMDIV(BASE!K$21^2,FRES!O182))</f>
        <v>7.20031711734526+26.6869399426168i</v>
      </c>
      <c r="AK182" s="2" t="str">
        <f>IMSUM(S182,IMDIV(BASE!L$21^2,FRES!P182))</f>
        <v>7.20031712583238+26.6869397234328i</v>
      </c>
      <c r="AL182" s="2" t="str">
        <f>IMSUM(T182,IMDIV(BASE!M$21^2,FRES!Q182))</f>
        <v>7.20031714280762+26.6869392850473i</v>
      </c>
      <c r="AM182" s="31">
        <f t="shared" si="73"/>
        <v>5.4776572133904836E-4</v>
      </c>
      <c r="AN182" s="31">
        <f t="shared" si="73"/>
        <v>5.4777305545506251E-4</v>
      </c>
      <c r="AO182" s="31">
        <f t="shared" si="73"/>
        <v>5.4778772427618199E-4</v>
      </c>
      <c r="AP182" s="31">
        <f t="shared" si="61"/>
        <v>8.0764294956613941E-6</v>
      </c>
      <c r="AQ182" s="31">
        <f t="shared" si="62"/>
        <v>8.0765376321668289E-6</v>
      </c>
      <c r="AR182" s="31">
        <f t="shared" si="63"/>
        <v>8.0767539138634369E-6</v>
      </c>
      <c r="AS182" s="2">
        <f t="shared" si="64"/>
        <v>105.90044340332327</v>
      </c>
      <c r="AT182" s="2">
        <f t="shared" si="65"/>
        <v>105.90044423519424</v>
      </c>
      <c r="AU182" s="2">
        <f t="shared" si="66"/>
        <v>105.900445899003</v>
      </c>
      <c r="AV182" s="2">
        <f t="shared" si="67"/>
        <v>105.90044340332327</v>
      </c>
      <c r="AW182" s="2">
        <f t="shared" si="68"/>
        <v>105.90044423519424</v>
      </c>
      <c r="AX182" s="2">
        <f t="shared" si="69"/>
        <v>105.900445899003</v>
      </c>
      <c r="AY182">
        <f t="shared" si="70"/>
        <v>27.641225191571575</v>
      </c>
      <c r="AZ182">
        <f t="shared" si="71"/>
        <v>27.641224982165504</v>
      </c>
      <c r="BA182">
        <f t="shared" si="72"/>
        <v>27.641224563336738</v>
      </c>
    </row>
    <row r="183" spans="1:53" x14ac:dyDescent="0.2">
      <c r="A183" s="2">
        <v>179</v>
      </c>
      <c r="B183" s="2"/>
      <c r="C183" s="1">
        <v>17134.926278570278</v>
      </c>
      <c r="D183" s="2">
        <f t="shared" si="76"/>
        <v>107661.91703311815</v>
      </c>
      <c r="E183" s="2"/>
      <c r="F183" s="2">
        <f>$D183*BASE!E$15/100/E$3</f>
        <v>19.717153410135008</v>
      </c>
      <c r="G183" s="2">
        <f>$D183*BASE!F$15/100/F$3</f>
        <v>19.717153410135008</v>
      </c>
      <c r="H183" s="2">
        <f>$D183*BASE!G$15/100/G$3</f>
        <v>19.717153410135008</v>
      </c>
      <c r="I183" s="2">
        <f>(1-BESSELJ(2*F183,1)/F183)*BASE!K$13*E$2*E$3</f>
        <v>5.1200338592196113</v>
      </c>
      <c r="J183" s="2">
        <f>(1-BESSELJ(2*G183,1)/G183)*BASE!L$13*F$2*F$3</f>
        <v>5.1200338592196113</v>
      </c>
      <c r="K183" s="2">
        <f>(1-BESSELJ(2*H183,1)/H183)*BASE!M$13*G$2*G$3</f>
        <v>5.1200338592196113</v>
      </c>
      <c r="L183" s="2" t="str">
        <f>IMPRODUCT(COMPLEX(1-BESSELJ(2*F183,1)/F183,(STRUVE(2*F183)/(2*F183^2))),PI()*(BASE!E$15/100)^2*E$2*E$3)</f>
        <v>5.12003385921961+0.135823770419223i</v>
      </c>
      <c r="M183" s="2" t="str">
        <f>IMPRODUCT(COMPLEX(1-BESSELJ(2*G183,1)/G183,(STRUVE(2*G183)/(2*G183^2))),PI()*(BASE!F$15/100)^2*F$2*F$3)</f>
        <v>5.12003385921961+0.135823770419223i</v>
      </c>
      <c r="N183" s="2" t="str">
        <f>IMPRODUCT(COMPLEX(1-BESSELJ(2*H183,1)/H183,(STRUVE(2*H183)/(2*H183^2))),PI()*(BASE!G$15/100)^2*G$2*G$3)</f>
        <v>5.12003385921961+0.135823770419223i</v>
      </c>
      <c r="O183" s="2" t="str">
        <f>IMSUM(IMPRODUCT(IF($O$3=1,L183,COMPLEX(I183,$D183*BASE!K$15)),2),COMPLEX(BASE!E$36,$D183*BASE!K$14-BASE!K$10/$D183))</f>
        <v>11.0400677184392+642.548356880414i</v>
      </c>
      <c r="P183" s="2" t="str">
        <f>IMSUM(IMPRODUCT(IF($O$3=1,M183,COMPLEX(J183,$D183*BASE!L$15)),2),COMPLEX(BASE!F$36,$D183*BASE!L$14-BASE!L$10/$D183))</f>
        <v>11.0400677184392+642.541529953862i</v>
      </c>
      <c r="Q183" s="2" t="str">
        <f>IMSUM(IMPRODUCT(IF($O$3=1,N183,COMPLEX(K183,$D183*BASE!M$15)),2),COMPLEX(BASE!G$36,$D183*BASE!M$14-BASE!M$10/$D183))</f>
        <v>11.0400677184392+642.527876100759i</v>
      </c>
      <c r="R183" s="2" t="str">
        <f>COMPLEX(BASE!E$19,FRES!$D183*BASE!K$36)</f>
        <v>7.2+29.9734695705032i</v>
      </c>
      <c r="S183" s="2" t="str">
        <f>COMPLEX(BASE!F$19,FRES!$D183*BASE!L$36)</f>
        <v>7.2+29.9734695705032i</v>
      </c>
      <c r="T183" s="2" t="str">
        <f>COMPLEX(BASE!G$19,FRES!$D183*BASE!M$36)</f>
        <v>7.2+29.9734695705032i</v>
      </c>
      <c r="U183" s="2" t="str">
        <f>IMDIV(BASE!K$21*BASE!E$38,IMPRODUCT(FRES!R183,IMSUM(FRES!O183,IMDIV(BASE!K$21^2,FRES!R183))))</f>
        <v>-0.000423859377680373-0.000109604679932092i</v>
      </c>
      <c r="V183" s="2" t="str">
        <f>IMDIV(BASE!L$21*BASE!F$38,IMPRODUCT(FRES!S183,IMSUM(FRES!P183,IMDIV(BASE!L$21^2,FRES!S183))))</f>
        <v>-0.000423863861712298-0.000109605922581289i</v>
      </c>
      <c r="W183" s="2" t="str">
        <f>IMDIV(BASE!M$21*BASE!G$38,IMPRODUCT(FRES!T183,IMSUM(FRES!Q183,IMDIV(BASE!M$21^2,FRES!T183))))</f>
        <v>-0.000423872830060686-0.000109608407963864i</v>
      </c>
      <c r="X183" s="2" t="str">
        <f t="shared" si="75"/>
        <v>-1.01804503349477E-09+3.9369480811863E-09i</v>
      </c>
      <c r="Y183" s="2" t="str">
        <f t="shared" si="74"/>
        <v>-1.01805657563735E-09+3.93698973037897E-09i</v>
      </c>
      <c r="Z183" s="2" t="str">
        <f t="shared" si="74"/>
        <v>-1.01807966070442E-09+3.93707303140718E-09i</v>
      </c>
      <c r="AA183" s="44" t="str">
        <f>IMPRODUCT(COMPLEX(0,$D183),U183,E$2,BASE!E$15^2/10000,1/(2*BASE!$U$3))</f>
        <v>0.0281011152482912-0.108671648223824i</v>
      </c>
      <c r="AB183" s="44" t="str">
        <f>IMPRODUCT(COMPLEX(0,$D183),V183,F$2,BASE!F$15^2/10000,1/(2*BASE!$U$3))</f>
        <v>0.0281014338462591-0.108672797867233i</v>
      </c>
      <c r="AC183" s="44" t="str">
        <f>IMPRODUCT(COMPLEX(0,$D183),W183,G$2,BASE!G$15^2/10000,1/(2*BASE!$U$3))</f>
        <v>0.0281020710637777-0.108675097227003i</v>
      </c>
      <c r="AD183" s="44">
        <f t="shared" si="55"/>
        <v>-1.317751909639709</v>
      </c>
      <c r="AE183" s="44">
        <f t="shared" si="56"/>
        <v>-1.3177517257963076</v>
      </c>
      <c r="AF183" s="44">
        <f t="shared" si="57"/>
        <v>-1.3177513580977809</v>
      </c>
      <c r="AG183" s="31">
        <f t="shared" si="58"/>
        <v>74.982829719700632</v>
      </c>
      <c r="AH183" s="31">
        <f t="shared" si="59"/>
        <v>74.982922020647749</v>
      </c>
      <c r="AI183" s="31">
        <f t="shared" si="60"/>
        <v>74.983106625483742</v>
      </c>
      <c r="AJ183" s="2" t="str">
        <f>IMSUM(R183,IMDIV(BASE!K$21^2,FRES!O183))</f>
        <v>7.20025083715326+29.9588704752093i</v>
      </c>
      <c r="AK183" s="2" t="str">
        <f>IMSUM(S183,IMDIV(BASE!L$21^2,FRES!P183))</f>
        <v>7.20025084248195+29.9588703201872i</v>
      </c>
      <c r="AL183" s="2" t="str">
        <f>IMSUM(T183,IMDIV(BASE!M$21^2,FRES!Q183))</f>
        <v>7.20025085313983+29.9588700101332i</v>
      </c>
      <c r="AM183" s="31">
        <f t="shared" si="73"/>
        <v>4.3780127673478687E-4</v>
      </c>
      <c r="AN183" s="31">
        <f t="shared" si="73"/>
        <v>4.3780592907195488E-4</v>
      </c>
      <c r="AO183" s="31">
        <f t="shared" si="73"/>
        <v>4.378152340428871E-4</v>
      </c>
      <c r="AP183" s="31">
        <f t="shared" si="61"/>
        <v>5.750821834169417E-6</v>
      </c>
      <c r="AQ183" s="31">
        <f t="shared" si="62"/>
        <v>5.7508829458280439E-6</v>
      </c>
      <c r="AR183" s="31">
        <f t="shared" si="63"/>
        <v>5.7510051730412756E-6</v>
      </c>
      <c r="AS183" s="2">
        <f t="shared" si="64"/>
        <v>105.80546539624112</v>
      </c>
      <c r="AT183" s="2">
        <f t="shared" si="65"/>
        <v>105.80546598143283</v>
      </c>
      <c r="AU183" s="2">
        <f t="shared" si="66"/>
        <v>105.80546715185359</v>
      </c>
      <c r="AV183" s="2">
        <f t="shared" si="67"/>
        <v>105.80546539624112</v>
      </c>
      <c r="AW183" s="2">
        <f t="shared" si="68"/>
        <v>105.80546598143283</v>
      </c>
      <c r="AX183" s="2">
        <f t="shared" si="69"/>
        <v>105.80546715185359</v>
      </c>
      <c r="AY183">
        <f t="shared" si="70"/>
        <v>30.811970600211431</v>
      </c>
      <c r="AZ183">
        <f t="shared" si="71"/>
        <v>30.811970450726701</v>
      </c>
      <c r="BA183">
        <f t="shared" si="72"/>
        <v>30.811970151747829</v>
      </c>
    </row>
    <row r="184" spans="1:53" x14ac:dyDescent="0.2">
      <c r="A184" s="2">
        <v>180</v>
      </c>
      <c r="B184" s="2"/>
      <c r="C184" s="1">
        <v>20000</v>
      </c>
      <c r="D184" s="2">
        <f t="shared" si="76"/>
        <v>125663.70614359173</v>
      </c>
      <c r="E184" s="2"/>
      <c r="F184" s="2">
        <f>$D184*BASE!E$15/100/E$3</f>
        <v>23.013992694901972</v>
      </c>
      <c r="G184" s="2">
        <f>$D184*BASE!F$15/100/F$3</f>
        <v>23.013992694901972</v>
      </c>
      <c r="H184" s="2">
        <f>$D184*BASE!G$15/100/G$3</f>
        <v>23.013992694901972</v>
      </c>
      <c r="I184" s="2">
        <f>(1-BESSELJ(2*F184,1)/F184)*BASE!K$13*E$2*E$3</f>
        <v>5.1220832963418372</v>
      </c>
      <c r="J184" s="2">
        <f>(1-BESSELJ(2*G184,1)/G184)*BASE!L$13*F$2*F$3</f>
        <v>5.1220832963418372</v>
      </c>
      <c r="K184" s="2">
        <f>(1-BESSELJ(2*H184,1)/H184)*BASE!M$13*G$2*G$3</f>
        <v>5.1220832963418372</v>
      </c>
      <c r="L184" s="2" t="str">
        <f>IMPRODUCT(COMPLEX(1-BESSELJ(2*F184,1)/F184,(STRUVE(2*F184)/(2*F184^2))),PI()*(BASE!E$15/100)^2*E$2*E$3)</f>
        <v>5.12208329634184+0.0996965824915602i</v>
      </c>
      <c r="M184" s="2" t="str">
        <f>IMPRODUCT(COMPLEX(1-BESSELJ(2*G184,1)/G184,(STRUVE(2*G184)/(2*G184^2))),PI()*(BASE!F$15/100)^2*F$2*F$3)</f>
        <v>5.12208329634184+0.0996965824915602i</v>
      </c>
      <c r="N184" s="2" t="str">
        <f>IMPRODUCT(COMPLEX(1-BESSELJ(2*H184,1)/H184,(STRUVE(2*H184)/(2*H184^2))),PI()*(BASE!G$15/100)^2*G$2*G$3)</f>
        <v>5.12208329634184+0.0996965824915602i</v>
      </c>
      <c r="O184" s="2" t="str">
        <f>IMSUM(IMPRODUCT(IF($O$3=1,L184,COMPLEX(I184,$D184*BASE!K$15)),2),COMPLEX(BASE!E$36,$D184*BASE!K$14-BASE!K$10/$D184))</f>
        <v>11.0441665926837+749.98883692398i</v>
      </c>
      <c r="P184" s="2" t="str">
        <f>IMSUM(IMPRODUCT(IF($O$3=1,M184,COMPLEX(J184,$D184*BASE!L$15)),2),COMPLEX(BASE!F$36,$D184*BASE!L$14-BASE!L$10/$D184))</f>
        <v>11.0441665926837+749.982987979821i</v>
      </c>
      <c r="Q184" s="2" t="str">
        <f>IMSUM(IMPRODUCT(IF($O$3=1,N184,COMPLEX(K184,$D184*BASE!M$15)),2),COMPLEX(BASE!G$36,$D184*BASE!M$14-BASE!M$10/$D184))</f>
        <v>11.0441665926837+749.971290091504i</v>
      </c>
      <c r="R184" s="2" t="str">
        <f>COMPLEX(BASE!E$19,FRES!$D184*BASE!K$36)</f>
        <v>7.2+34.9852331818776i</v>
      </c>
      <c r="S184" s="2" t="str">
        <f>COMPLEX(BASE!F$19,FRES!$D184*BASE!L$36)</f>
        <v>7.2+34.9852331818776i</v>
      </c>
      <c r="T184" s="2" t="str">
        <f>COMPLEX(BASE!G$19,FRES!$D184*BASE!M$36)</f>
        <v>7.2+34.9852331818776i</v>
      </c>
      <c r="U184" s="2" t="str">
        <f>IMDIV(BASE!K$21*BASE!E$38,IMPRODUCT(FRES!R184,IMSUM(FRES!O184,IMDIV(BASE!K$21^2,FRES!R184))))</f>
        <v>-0.000316038871262537-0.0000699320129308382i</v>
      </c>
      <c r="V184" s="2" t="str">
        <f>IMDIV(BASE!L$21*BASE!F$38,IMPRODUCT(FRES!S184,IMSUM(FRES!P184,IMDIV(BASE!L$21^2,FRES!S184))))</f>
        <v>-0.000316041328209042-0.0000699325948683212i</v>
      </c>
      <c r="W184" s="2" t="str">
        <f>IMDIV(BASE!M$21*BASE!G$38,IMPRODUCT(FRES!T184,IMSUM(FRES!Q184,IMDIV(BASE!M$21^2,FRES!T184))))</f>
        <v>-0.00031604624221663-0.0000699337587722233i</v>
      </c>
      <c r="X184" s="2" t="str">
        <f t="shared" si="75"/>
        <v>-5.56501276915461E-10+2.51495742853079E-09i</v>
      </c>
      <c r="Y184" s="2" t="str">
        <f t="shared" si="74"/>
        <v>-5.5650590782681E-10+2.51497698028985E-09i</v>
      </c>
      <c r="Z184" s="2" t="str">
        <f t="shared" si="74"/>
        <v>-5.56515169879776E-10+2.51501608471975E-09i</v>
      </c>
      <c r="AA184" s="44" t="str">
        <f>IMPRODUCT(COMPLEX(0,$D184),U184,E$2,BASE!E$15^2/10000,1/(2*BASE!$U$3))</f>
        <v>0.0209275429789625-0.0945763861811129i</v>
      </c>
      <c r="AB184" s="44" t="str">
        <f>IMPRODUCT(COMPLEX(0,$D184),V184,F$2,BASE!F$15^2/10000,1/(2*BASE!$U$3))</f>
        <v>0.0209277171269839-0.0945771214359901i</v>
      </c>
      <c r="AC184" s="44" t="str">
        <f>IMPRODUCT(COMPLEX(0,$D184),W184,G$2,BASE!G$15^2/10000,1/(2*BASE!$U$3))</f>
        <v>0.0209280654316861-0.0945785919800327i</v>
      </c>
      <c r="AD184" s="44">
        <f t="shared" si="55"/>
        <v>-1.3530286653258012</v>
      </c>
      <c r="AE184" s="44">
        <f t="shared" si="56"/>
        <v>-1.353028549878303</v>
      </c>
      <c r="AF184" s="44">
        <f t="shared" si="57"/>
        <v>-1.3530283189779015</v>
      </c>
      <c r="AG184" s="31">
        <f t="shared" si="58"/>
        <v>73.702657506566126</v>
      </c>
      <c r="AH184" s="31">
        <f t="shared" si="59"/>
        <v>73.702725253955833</v>
      </c>
      <c r="AI184" s="31">
        <f t="shared" si="60"/>
        <v>73.702860750320113</v>
      </c>
      <c r="AJ184" s="2" t="str">
        <f>IMSUM(R184,IMDIV(BASE!K$21^2,FRES!O184))</f>
        <v>7.2001841997917+34.9727245162053i</v>
      </c>
      <c r="AK184" s="2" t="str">
        <f>IMSUM(S184,IMDIV(BASE!L$21^2,FRES!P184))</f>
        <v>7.20018420266415+34.9727244186954i</v>
      </c>
      <c r="AL184" s="2" t="str">
        <f>IMSUM(T184,IMDIV(BASE!M$21^2,FRES!Q184))</f>
        <v>7.20018420840925+34.9727242236711i</v>
      </c>
      <c r="AM184" s="31">
        <f t="shared" si="73"/>
        <v>3.2368357168916889E-4</v>
      </c>
      <c r="AN184" s="31">
        <f t="shared" si="73"/>
        <v>3.2368609633586697E-4</v>
      </c>
      <c r="AO184" s="31">
        <f t="shared" si="73"/>
        <v>3.2369114574739958E-4</v>
      </c>
      <c r="AP184" s="31">
        <f t="shared" si="61"/>
        <v>3.6427200107970811E-6</v>
      </c>
      <c r="AQ184" s="31">
        <f t="shared" si="62"/>
        <v>3.6427484230547669E-6</v>
      </c>
      <c r="AR184" s="31">
        <f t="shared" si="63"/>
        <v>3.6428052488996384E-6</v>
      </c>
      <c r="AS184" s="2">
        <f t="shared" si="64"/>
        <v>105.69317599536738</v>
      </c>
      <c r="AT184" s="2">
        <f t="shared" si="65"/>
        <v>105.69317636284818</v>
      </c>
      <c r="AU184" s="2">
        <f t="shared" si="66"/>
        <v>105.69317709782699</v>
      </c>
      <c r="AV184" s="2">
        <f t="shared" si="67"/>
        <v>105.69317599536738</v>
      </c>
      <c r="AW184" s="2">
        <f t="shared" si="68"/>
        <v>105.69317636284818</v>
      </c>
      <c r="AX184" s="2">
        <f t="shared" si="69"/>
        <v>105.69317709782699</v>
      </c>
      <c r="AY184">
        <f t="shared" si="70"/>
        <v>35.706219522617019</v>
      </c>
      <c r="AZ184">
        <f t="shared" si="71"/>
        <v>35.706219427689454</v>
      </c>
      <c r="BA184">
        <f t="shared" si="72"/>
        <v>35.706219237829941</v>
      </c>
    </row>
    <row r="185" spans="1:53" x14ac:dyDescent="0.2">
      <c r="A185" s="2">
        <v>181</v>
      </c>
      <c r="B185" s="2"/>
      <c r="C185" s="43">
        <f>BASE!I39</f>
        <v>200</v>
      </c>
      <c r="D185" s="2">
        <f>C185*2*PI()</f>
        <v>1256.6370614359173</v>
      </c>
      <c r="E185" s="2"/>
      <c r="F185" s="2">
        <f>$D185*BASE!E$15/100/E$3</f>
        <v>0.23013992694901975</v>
      </c>
      <c r="G185" s="2">
        <f>$D185*BASE!F$15/100/F$3</f>
        <v>0.23013992694901975</v>
      </c>
      <c r="H185" s="2">
        <f>$D185*BASE!G$15/100/G$3</f>
        <v>0.23013992694901975</v>
      </c>
      <c r="I185" s="2">
        <f>(1-BESSELJ(2*F185,1)/F185)*BASE!K$13*E$2*E$3</f>
        <v>0.13511106605482059</v>
      </c>
      <c r="J185" s="2">
        <f>(1-BESSELJ(2*G185,1)/G185)*BASE!L$13*F$2*F$3</f>
        <v>0.13511106605482059</v>
      </c>
      <c r="K185" s="2">
        <f>(1-BESSELJ(2*H185,1)/H185)*BASE!M$13*G$2*G$3</f>
        <v>0.13511106605482059</v>
      </c>
      <c r="L185" s="2" t="str">
        <f>IMPRODUCT(COMPLEX(1-BESSELJ(2*F185,1)/F185,(STRUVE(2*F185)/(2*F185^2))),PI()*(BASE!E$15/100)^2*E$2*E$3)</f>
        <v>0.135111066054821+0.991382823349391i</v>
      </c>
      <c r="M185" s="2" t="str">
        <f>IMPRODUCT(COMPLEX(1-BESSELJ(2*G185,1)/G185,(STRUVE(2*G185)/(2*G185^2))),PI()*(BASE!F$15/100)^2*F$2*F$3)</f>
        <v>0.135111066054821+0.991382823349391i</v>
      </c>
      <c r="N185" s="2" t="str">
        <f>IMPRODUCT(COMPLEX(1-BESSELJ(2*H185,1)/H185,(STRUVE(2*H185)/(2*H185^2))),PI()*(BASE!G$15/100)^2*G$2*G$3)</f>
        <v>0.135111066054821+0.991382823349391i</v>
      </c>
      <c r="O185" s="2" t="str">
        <f>IMSUM(IMPRODUCT(IF($O$3=1,L185,COMPLEX(I185,$D185*BASE!K$15)),2),COMPLEX(BASE!E$36,$D185*BASE!K$14-BASE!K$10/$D185))</f>
        <v>1.07022213210964+6.91544648380139i</v>
      </c>
      <c r="P185" s="2" t="str">
        <f>IMSUM(IMPRODUCT(IF($O$3=1,M185,COMPLEX(J185,$D185*BASE!L$15)),2),COMPLEX(BASE!F$36,$D185*BASE!L$14-BASE!L$10/$D185))</f>
        <v>1.07022213210964+6.33055206793868i</v>
      </c>
      <c r="Q185" s="2" t="str">
        <f>IMSUM(IMPRODUCT(IF($O$3=1,N185,COMPLEX(K185,$D185*BASE!M$15)),2),COMPLEX(BASE!G$36,$D185*BASE!M$14-BASE!M$10/$D185))</f>
        <v>1.07022213210964+5.16076323621325i</v>
      </c>
      <c r="R185" s="2" t="str">
        <f>COMPLEX(BASE!E$19,FRES!$D185*BASE!K$36)</f>
        <v>7.2+0.349852331818776i</v>
      </c>
      <c r="S185" s="2" t="str">
        <f>COMPLEX(BASE!F$19,FRES!$D185*BASE!L$36)</f>
        <v>7.2+0.349852331818776i</v>
      </c>
      <c r="T185" s="2" t="str">
        <f>COMPLEX(BASE!G$19,FRES!$D185*BASE!M$36)</f>
        <v>7.2+0.349852331818776i</v>
      </c>
      <c r="U185" s="2" t="str">
        <f>IMDIV(BASE!K$21*BASE!E$38,IMPRODUCT(FRES!R185,IMSUM(FRES!O185,IMDIV(BASE!K$21^2,FRES!R185))))</f>
        <v>0.0465519511762154-0.159193628557605i</v>
      </c>
      <c r="V185" s="2" t="str">
        <f>IMDIV(BASE!L$21*BASE!F$38,IMPRODUCT(FRES!S185,IMSUM(FRES!P185,IMDIV(BASE!L$21^2,FRES!S185))))</f>
        <v>0.0552684315807331-0.17075347610162i</v>
      </c>
      <c r="W185" s="2" t="str">
        <f>IMDIV(BASE!M$21*BASE!G$38,IMPRODUCT(FRES!T185,IMSUM(FRES!Q185,IMDIV(BASE!M$21^2,FRES!T185))))</f>
        <v>0.0806779783747733-0.198122246551179i</v>
      </c>
      <c r="X185" s="2" t="str">
        <f t="shared" si="75"/>
        <v>-0.000126682264468389-0.0000370448657013362i</v>
      </c>
      <c r="Y185" s="2" t="str">
        <f t="shared" si="74"/>
        <v>-0.000135881298858483-0.0000439812204150493i</v>
      </c>
      <c r="Z185" s="2" t="str">
        <f t="shared" si="74"/>
        <v>-0.000157660674375456-0.0000642014952850309i</v>
      </c>
      <c r="AA185" s="44" t="str">
        <f>IMPRODUCT(COMPLEX(0,$D185),U185,E$2,BASE!E$15^2/10000,1/(2*BASE!$U$3))</f>
        <v>0.476395768403107+0.139309297439829i</v>
      </c>
      <c r="AB185" s="44" t="str">
        <f>IMPRODUCT(COMPLEX(0,$D185),V185,F$2,BASE!F$15^2/10000,1/(2*BASE!$U$3))</f>
        <v>0.510989253728187+0.16539384879848i</v>
      </c>
      <c r="AC185" s="44" t="str">
        <f>IMPRODUCT(COMPLEX(0,$D185),W185,G$2,BASE!G$15^2/10000,1/(2*BASE!$U$3))</f>
        <v>0.592891818213348+0.241433327761303i</v>
      </c>
      <c r="AD185" s="44">
        <f t="shared" si="55"/>
        <v>0.28449142510500897</v>
      </c>
      <c r="AE185" s="44">
        <f t="shared" si="56"/>
        <v>0.31303195639821785</v>
      </c>
      <c r="AF185" s="44">
        <f t="shared" si="57"/>
        <v>0.38670907732833038</v>
      </c>
      <c r="AG185" s="31">
        <f t="shared" si="58"/>
        <v>87.895102190842479</v>
      </c>
      <c r="AH185" s="31">
        <f t="shared" si="59"/>
        <v>88.580333503541837</v>
      </c>
      <c r="AI185" s="31">
        <f t="shared" si="60"/>
        <v>90.105233655817898</v>
      </c>
      <c r="AJ185" s="2" t="str">
        <f>IMSUM(R185,IMDIV(BASE!K$21^2,FRES!O185))</f>
        <v>7.40507590363546-0.975285127180214i</v>
      </c>
      <c r="AK185" s="2" t="str">
        <f>IMSUM(S185,IMDIV(BASE!L$21^2,FRES!P185))</f>
        <v>7.44361978961777-1.09120155473788i</v>
      </c>
      <c r="AL185" s="2" t="str">
        <f>IMSUM(T185,IMDIV(BASE!M$21^2,FRES!Q185))</f>
        <v>7.56150938375157-1.39339729948307i</v>
      </c>
      <c r="AM185" s="31">
        <f t="shared" si="73"/>
        <v>0.16586047006942145</v>
      </c>
      <c r="AN185" s="31">
        <f t="shared" si="73"/>
        <v>0.1794752047782108</v>
      </c>
      <c r="AO185" s="31">
        <f t="shared" si="73"/>
        <v>0.21391905191713648</v>
      </c>
      <c r="AP185" s="31">
        <f t="shared" si="61"/>
        <v>0.18665860926123337</v>
      </c>
      <c r="AQ185" s="31">
        <f t="shared" si="62"/>
        <v>0.20198056900932587</v>
      </c>
      <c r="AR185" s="31">
        <f t="shared" si="63"/>
        <v>0.2407435159723203</v>
      </c>
      <c r="AS185" s="2">
        <f t="shared" si="64"/>
        <v>110.9055643314544</v>
      </c>
      <c r="AT185" s="2">
        <f t="shared" si="65"/>
        <v>110.99641166413006</v>
      </c>
      <c r="AU185" s="2">
        <f t="shared" si="66"/>
        <v>111.23093322390619</v>
      </c>
      <c r="AV185" s="2">
        <f t="shared" si="67"/>
        <v>110.9055643314544</v>
      </c>
      <c r="AW185" s="2">
        <f t="shared" si="68"/>
        <v>110.99641166413006</v>
      </c>
      <c r="AX185" s="2">
        <f t="shared" si="69"/>
        <v>111.23093322390619</v>
      </c>
      <c r="AY185">
        <f t="shared" si="70"/>
        <v>7.4690247166481818</v>
      </c>
      <c r="AZ185">
        <f t="shared" si="71"/>
        <v>7.5231772812722983</v>
      </c>
      <c r="BA185">
        <f t="shared" si="72"/>
        <v>7.6888217689558749</v>
      </c>
    </row>
    <row r="186" spans="1:53" x14ac:dyDescent="0.2">
      <c r="A186" s="2">
        <v>182</v>
      </c>
      <c r="B186" s="2"/>
      <c r="C186" s="43">
        <f>BASE!I40</f>
        <v>250</v>
      </c>
      <c r="D186" s="2">
        <f>C186*2*PI()</f>
        <v>1570.7963267948965</v>
      </c>
      <c r="E186" s="2"/>
      <c r="F186" s="2">
        <f>$D186*BASE!E$15/100/E$3</f>
        <v>0.28767490868627466</v>
      </c>
      <c r="G186" s="2">
        <f>$D186*BASE!F$15/100/F$3</f>
        <v>0.28767490868627466</v>
      </c>
      <c r="H186" s="2">
        <f>$D186*BASE!G$15/100/G$3</f>
        <v>0.28767490868627466</v>
      </c>
      <c r="I186" s="2">
        <f>(1-BESSELJ(2*F186,1)/F186)*BASE!K$13*E$2*E$3</f>
        <v>0.21006539295631924</v>
      </c>
      <c r="J186" s="2">
        <f>(1-BESSELJ(2*G186,1)/G186)*BASE!L$13*F$2*F$3</f>
        <v>0.21006539295631924</v>
      </c>
      <c r="K186" s="2">
        <f>(1-BESSELJ(2*H186,1)/H186)*BASE!M$13*G$2*G$3</f>
        <v>0.21006539295631924</v>
      </c>
      <c r="L186" s="2" t="str">
        <f>IMPRODUCT(COMPLEX(1-BESSELJ(2*F186,1)/F186,(STRUVE(2*F186)/(2*F186^2))),PI()*(BASE!E$15/100)^2*E$2*E$3)</f>
        <v>0.210065392956319+1.22939697144058i</v>
      </c>
      <c r="M186" s="2" t="str">
        <f>IMPRODUCT(COMPLEX(1-BESSELJ(2*G186,1)/G186,(STRUVE(2*G186)/(2*G186^2))),PI()*(BASE!F$15/100)^2*F$2*F$3)</f>
        <v>0.210065392956319+1.22939697144058i</v>
      </c>
      <c r="N186" s="2" t="str">
        <f>IMPRODUCT(COMPLEX(1-BESSELJ(2*H186,1)/H186,(STRUVE(2*H186)/(2*H186^2))),PI()*(BASE!G$15/100)^2*G$2*G$3)</f>
        <v>0.210065392956319+1.22939697144058i</v>
      </c>
      <c r="O186" s="2" t="str">
        <f>IMSUM(IMPRODUCT(IF($O$3=1,L186,COMPLEX(I186,$D186*BASE!K$15)),2),COMPLEX(BASE!E$36,$D186*BASE!K$14-BASE!K$10/$D186))</f>
        <v>1.22013078591264+8.90733325571414i</v>
      </c>
      <c r="P186" s="2" t="str">
        <f>IMSUM(IMPRODUCT(IF($O$3=1,M186,COMPLEX(J186,$D186*BASE!L$15)),2),COMPLEX(BASE!F$36,$D186*BASE!L$14-BASE!L$10/$D186))</f>
        <v>1.22013078591264+8.43941772302396i</v>
      </c>
      <c r="Q186" s="2" t="str">
        <f>IMSUM(IMPRODUCT(IF($O$3=1,N186,COMPLEX(K186,$D186*BASE!M$15)),2),COMPLEX(BASE!G$36,$D186*BASE!M$14-BASE!M$10/$D186))</f>
        <v>1.22013078591264+7.50358665764362i</v>
      </c>
      <c r="R186" s="2" t="str">
        <f>COMPLEX(BASE!E$19,FRES!$D186*BASE!K$36)</f>
        <v>7.2+0.43731541477347i</v>
      </c>
      <c r="S186" s="2" t="str">
        <f>COMPLEX(BASE!F$19,FRES!$D186*BASE!L$36)</f>
        <v>7.2+0.43731541477347i</v>
      </c>
      <c r="T186" s="2" t="str">
        <f>COMPLEX(BASE!G$19,FRES!$D186*BASE!M$36)</f>
        <v>7.2+0.43731541477347i</v>
      </c>
      <c r="U186" s="2" t="str">
        <f>IMDIV(BASE!K$21*BASE!E$38,IMPRODUCT(FRES!R186,IMSUM(FRES!O186,IMDIV(BASE!K$21^2,FRES!R186))))</f>
        <v>0.0282141631000748-0.127829124090801i</v>
      </c>
      <c r="V186" s="2" t="str">
        <f>IMDIV(BASE!L$21*BASE!F$38,IMPRODUCT(FRES!S186,IMSUM(FRES!P186,IMDIV(BASE!L$21^2,FRES!S186))))</f>
        <v>0.0316377262409838-0.133952007378884i</v>
      </c>
      <c r="W186" s="2" t="str">
        <f>IMDIV(BASE!M$21*BASE!G$38,IMPRODUCT(FRES!T186,IMSUM(FRES!Q186,IMDIV(BASE!M$21^2,FRES!T186))))</f>
        <v>0.0403501288938591-0.147880273271182i</v>
      </c>
      <c r="X186" s="2" t="str">
        <f t="shared" si="75"/>
        <v>-0.0000813785478806329-0.0000179616940903114i</v>
      </c>
      <c r="Y186" s="2" t="str">
        <f t="shared" si="74"/>
        <v>-0.0000852764964457255-0.0000201412020777629i</v>
      </c>
      <c r="Z186" s="2" t="str">
        <f t="shared" si="74"/>
        <v>-0.0000941435059075554-0.0000256876898714111i</v>
      </c>
      <c r="AA186" s="44" t="str">
        <f>IMPRODUCT(COMPLEX(0,$D186),U186,E$2,BASE!E$15^2/10000,1/(2*BASE!$U$3))</f>
        <v>0.478169685144601+0.105540561136897i</v>
      </c>
      <c r="AB186" s="44" t="str">
        <f>IMPRODUCT(COMPLEX(0,$D186),V186,F$2,BASE!F$15^2/10000,1/(2*BASE!$U$3))</f>
        <v>0.5010735202046+0.118347064512437i</v>
      </c>
      <c r="AC186" s="44" t="str">
        <f>IMPRODUCT(COMPLEX(0,$D186),W186,G$2,BASE!G$15^2/10000,1/(2*BASE!$U$3))</f>
        <v>0.553174906048405+0.150937500088129i</v>
      </c>
      <c r="AD186" s="44">
        <f t="shared" si="55"/>
        <v>0.217234864508528</v>
      </c>
      <c r="AE186" s="44">
        <f t="shared" si="56"/>
        <v>0.23193656579557367</v>
      </c>
      <c r="AF186" s="44">
        <f t="shared" si="57"/>
        <v>0.26637254694467888</v>
      </c>
      <c r="AG186" s="31">
        <f t="shared" si="58"/>
        <v>87.777621252939397</v>
      </c>
      <c r="AH186" s="31">
        <f t="shared" si="59"/>
        <v>88.213181179752553</v>
      </c>
      <c r="AI186" s="31">
        <f t="shared" si="60"/>
        <v>89.148514834366907</v>
      </c>
      <c r="AJ186" s="2" t="str">
        <f>IMSUM(R186,IMDIV(BASE!K$21^2,FRES!O186))</f>
        <v>7.34164377457959-0.59672808150136i</v>
      </c>
      <c r="AK186" s="2" t="str">
        <f>IMSUM(S186,IMDIV(BASE!L$21^2,FRES!P186))</f>
        <v>7.35745531114295-0.65177368844926i</v>
      </c>
      <c r="AL186" s="2" t="str">
        <f>IMSUM(T186,IMDIV(BASE!M$21^2,FRES!Q186))</f>
        <v>7.39810462473755-0.78099268478515i</v>
      </c>
      <c r="AM186" s="31">
        <f t="shared" si="73"/>
        <v>0.1309057827800553</v>
      </c>
      <c r="AN186" s="31">
        <f t="shared" si="73"/>
        <v>0.13763751669705476</v>
      </c>
      <c r="AO186" s="31">
        <f t="shared" si="73"/>
        <v>0.1532863598775524</v>
      </c>
      <c r="AP186" s="31">
        <f t="shared" si="61"/>
        <v>0.11785661211620153</v>
      </c>
      <c r="AQ186" s="31">
        <f t="shared" si="62"/>
        <v>0.12391730199770422</v>
      </c>
      <c r="AR186" s="31">
        <f t="shared" si="63"/>
        <v>0.13800621084209014</v>
      </c>
      <c r="AS186" s="2">
        <f t="shared" si="64"/>
        <v>110.6914800499686</v>
      </c>
      <c r="AT186" s="2">
        <f t="shared" si="65"/>
        <v>110.73827701860249</v>
      </c>
      <c r="AU186" s="2">
        <f t="shared" si="66"/>
        <v>110.84789015100448</v>
      </c>
      <c r="AV186" s="2">
        <f t="shared" si="67"/>
        <v>110.6914800499686</v>
      </c>
      <c r="AW186" s="2">
        <f t="shared" si="68"/>
        <v>110.73827701860249</v>
      </c>
      <c r="AX186" s="2">
        <f t="shared" si="69"/>
        <v>110.84789015100448</v>
      </c>
      <c r="AY186">
        <f t="shared" si="70"/>
        <v>7.3658548530415366</v>
      </c>
      <c r="AZ186">
        <f t="shared" si="71"/>
        <v>7.3862681779380557</v>
      </c>
      <c r="BA186">
        <f t="shared" si="72"/>
        <v>7.4392137764854596</v>
      </c>
    </row>
    <row r="187" spans="1:53" x14ac:dyDescent="0.2">
      <c r="A187" s="2">
        <v>183</v>
      </c>
      <c r="B187" s="2"/>
      <c r="C187" s="43">
        <f>BASE!I41</f>
        <v>300</v>
      </c>
      <c r="D187" s="2">
        <f>C187*2*PI()</f>
        <v>1884.9555921538758</v>
      </c>
      <c r="E187" s="2"/>
      <c r="F187" s="2">
        <f>$D187*BASE!E$15/100/E$3</f>
        <v>0.34520989042352956</v>
      </c>
      <c r="G187" s="2">
        <f>$D187*BASE!F$15/100/F$3</f>
        <v>0.34520989042352956</v>
      </c>
      <c r="H187" s="2">
        <f>$D187*BASE!G$15/100/G$3</f>
        <v>0.34520989042352956</v>
      </c>
      <c r="I187" s="2">
        <f>(1-BESSELJ(2*F187,1)/F187)*BASE!K$13*E$2*E$3</f>
        <v>0.30066396420558178</v>
      </c>
      <c r="J187" s="2">
        <f>(1-BESSELJ(2*G187,1)/G187)*BASE!L$13*F$2*F$3</f>
        <v>0.30066396420558178</v>
      </c>
      <c r="K187" s="2">
        <f>(1-BESSELJ(2*H187,1)/H187)*BASE!M$13*G$2*G$3</f>
        <v>0.30066396420558178</v>
      </c>
      <c r="L187" s="2" t="str">
        <f>IMPRODUCT(COMPLEX(1-BESSELJ(2*F187,1)/F187,(STRUVE(2*F187)/(2*F187^2))),PI()*(BASE!E$15/100)^2*E$2*E$3)</f>
        <v>0.300663964205582+1.46096577824662i</v>
      </c>
      <c r="M187" s="2" t="str">
        <f>IMPRODUCT(COMPLEX(1-BESSELJ(2*G187,1)/G187,(STRUVE(2*G187)/(2*G187^2))),PI()*(BASE!F$15/100)^2*F$2*F$3)</f>
        <v>0.300663964205582+1.46096577824662i</v>
      </c>
      <c r="N187" s="2" t="str">
        <f>IMPRODUCT(COMPLEX(1-BESSELJ(2*H187,1)/H187,(STRUVE(2*H187)/(2*H187^2))),PI()*(BASE!G$15/100)^2*G$2*G$3)</f>
        <v>0.300663964205582+1.46096577824662i</v>
      </c>
      <c r="O187" s="2" t="str">
        <f>IMSUM(IMPRODUCT(IF($O$3=1,L187,COMPLEX(I187,$D187*BASE!K$15)),2),COMPLEX(BASE!E$36,$D187*BASE!K$14-BASE!K$10/$D187))</f>
        <v>1.40132792841116+10.8602533385954i</v>
      </c>
      <c r="P187" s="2" t="str">
        <f>IMSUM(IMPRODUCT(IF($O$3=1,M187,COMPLEX(J187,$D187*BASE!L$15)),2),COMPLEX(BASE!F$36,$D187*BASE!L$14-BASE!L$10/$D187))</f>
        <v>1.40132792841116+10.4703237280203i</v>
      </c>
      <c r="Q187" s="2" t="str">
        <f>IMSUM(IMPRODUCT(IF($O$3=1,N187,COMPLEX(K187,$D187*BASE!M$15)),2),COMPLEX(BASE!G$36,$D187*BASE!M$14-BASE!M$10/$D187))</f>
        <v>1.40132792841116+9.69046450686996i</v>
      </c>
      <c r="R187" s="2" t="str">
        <f>COMPLEX(BASE!E$19,FRES!$D187*BASE!K$36)</f>
        <v>7.2+0.524778497728164i</v>
      </c>
      <c r="S187" s="2" t="str">
        <f>COMPLEX(BASE!F$19,FRES!$D187*BASE!L$36)</f>
        <v>7.2+0.524778497728164i</v>
      </c>
      <c r="T187" s="2" t="str">
        <f>COMPLEX(BASE!G$19,FRES!$D187*BASE!M$36)</f>
        <v>7.2+0.524778497728164i</v>
      </c>
      <c r="U187" s="2" t="str">
        <f>IMDIV(BASE!K$21*BASE!E$38,IMPRODUCT(FRES!R187,IMSUM(FRES!O187,IMDIV(BASE!K$21^2,FRES!R187))))</f>
        <v>0.0186000567501179-0.106586092182137i</v>
      </c>
      <c r="V187" s="2" t="str">
        <f>IMDIV(BASE!L$21*BASE!F$38,IMPRODUCT(FRES!S187,IMSUM(FRES!P187,IMDIV(BASE!L$21^2,FRES!S187))))</f>
        <v>0.0202302913172832-0.110167798862758i</v>
      </c>
      <c r="W187" s="2" t="str">
        <f>IMDIV(BASE!M$21*BASE!G$38,IMPRODUCT(FRES!T187,IMSUM(FRES!Q187,IMDIV(BASE!M$21^2,FRES!T187))))</f>
        <v>0.0240866262866501-0.118036947424743i</v>
      </c>
      <c r="X187" s="2" t="str">
        <f t="shared" si="75"/>
        <v>-0.000056545678118785-9.86763657857011E-06i</v>
      </c>
      <c r="Y187" s="2" t="str">
        <f t="shared" si="74"/>
        <v>-0.0000584458325285386-0.0000107325028777822i</v>
      </c>
      <c r="Z187" s="2" t="str">
        <f t="shared" si="74"/>
        <v>-0.0000626205455004199-0.0000127783521197585i</v>
      </c>
      <c r="AA187" s="44" t="str">
        <f>IMPRODUCT(COMPLEX(0,$D187),U187,E$2,BASE!E$15^2/10000,1/(2*BASE!$U$3))</f>
        <v>0.478447194271531+0.0834925531389036i</v>
      </c>
      <c r="AB187" s="44" t="str">
        <f>IMPRODUCT(COMPLEX(0,$D187),V187,F$2,BASE!F$15^2/10000,1/(2*BASE!$U$3))</f>
        <v>0.49452487830106+0.090810404264657i</v>
      </c>
      <c r="AC187" s="44" t="str">
        <f>IMPRODUCT(COMPLEX(0,$D187),W187,G$2,BASE!G$15^2/10000,1/(2*BASE!$U$3))</f>
        <v>0.529848173992903+0.108120848887319i</v>
      </c>
      <c r="AD187" s="44">
        <f t="shared" si="55"/>
        <v>0.17276761791911296</v>
      </c>
      <c r="AE187" s="44">
        <f t="shared" si="56"/>
        <v>0.1816083455404468</v>
      </c>
      <c r="AF187" s="44">
        <f t="shared" si="57"/>
        <v>0.20129639586041917</v>
      </c>
      <c r="AG187" s="31">
        <f t="shared" si="58"/>
        <v>87.706361433381801</v>
      </c>
      <c r="AH187" s="31">
        <f t="shared" si="59"/>
        <v>88.00719457243099</v>
      </c>
      <c r="AI187" s="31">
        <f t="shared" si="60"/>
        <v>88.639607529202181</v>
      </c>
      <c r="AJ187" s="2" t="str">
        <f>IMSUM(R187,IMDIV(BASE!K$21^2,FRES!O187))</f>
        <v>7.30966008780538-0.325084200754813i</v>
      </c>
      <c r="AK187" s="2" t="str">
        <f>IMSUM(S187,IMDIV(BASE!L$21^2,FRES!P187))</f>
        <v>7.31783356185441-0.355640363287642i</v>
      </c>
      <c r="AL187" s="2" t="str">
        <f>IMSUM(T187,IMDIV(BASE!M$21^2,FRES!Q187))</f>
        <v>7.3371583763112-0.423699264340387i</v>
      </c>
      <c r="AM187" s="31">
        <f t="shared" si="73"/>
        <v>0.10819684449080116</v>
      </c>
      <c r="AN187" s="31">
        <f t="shared" si="73"/>
        <v>0.1120098593564301</v>
      </c>
      <c r="AO187" s="31">
        <f t="shared" si="73"/>
        <v>0.12046944227987562</v>
      </c>
      <c r="AP187" s="31">
        <f t="shared" si="61"/>
        <v>8.1176153709817706E-2</v>
      </c>
      <c r="AQ187" s="31">
        <f t="shared" si="62"/>
        <v>8.4036919957547071E-2</v>
      </c>
      <c r="AR187" s="31">
        <f t="shared" si="63"/>
        <v>9.0383837069098749E-2</v>
      </c>
      <c r="AS187" s="2">
        <f t="shared" si="64"/>
        <v>110.54993640796077</v>
      </c>
      <c r="AT187" s="2">
        <f t="shared" si="65"/>
        <v>110.57807731799006</v>
      </c>
      <c r="AU187" s="2">
        <f t="shared" si="66"/>
        <v>110.64074632855537</v>
      </c>
      <c r="AV187" s="2">
        <f t="shared" si="67"/>
        <v>110.54993640796077</v>
      </c>
      <c r="AW187" s="2">
        <f t="shared" si="68"/>
        <v>110.57807731799006</v>
      </c>
      <c r="AX187" s="2">
        <f t="shared" si="69"/>
        <v>110.64074632855537</v>
      </c>
      <c r="AY187">
        <f t="shared" si="70"/>
        <v>7.3168852893041407</v>
      </c>
      <c r="AZ187">
        <f t="shared" si="71"/>
        <v>7.3264703716729915</v>
      </c>
      <c r="BA187">
        <f t="shared" si="72"/>
        <v>7.3493818859599473</v>
      </c>
    </row>
    <row r="188" spans="1:53" x14ac:dyDescent="0.2">
      <c r="A188" s="2">
        <v>184</v>
      </c>
      <c r="B188" s="2"/>
      <c r="C188" s="43">
        <f>BASE!I42</f>
        <v>400</v>
      </c>
      <c r="D188" s="2">
        <f>C188*2*PI()</f>
        <v>2513.2741228718346</v>
      </c>
      <c r="E188" s="2"/>
      <c r="F188" s="2">
        <f>$D188*BASE!E$15/100/E$3</f>
        <v>0.46027985389803949</v>
      </c>
      <c r="G188" s="2">
        <f>$D188*BASE!F$15/100/F$3</f>
        <v>0.46027985389803949</v>
      </c>
      <c r="H188" s="2">
        <f>$D188*BASE!G$15/100/G$3</f>
        <v>0.46027985389803949</v>
      </c>
      <c r="I188" s="2">
        <f>(1-BESSELJ(2*F188,1)/F188)*BASE!K$13*E$2*E$3</f>
        <v>0.52632034721147558</v>
      </c>
      <c r="J188" s="2">
        <f>(1-BESSELJ(2*G188,1)/G188)*BASE!L$13*F$2*F$3</f>
        <v>0.52632034721147558</v>
      </c>
      <c r="K188" s="2">
        <f>(1-BESSELJ(2*H188,1)/H188)*BASE!M$13*G$2*G$3</f>
        <v>0.52632034721147558</v>
      </c>
      <c r="L188" s="2" t="str">
        <f>IMPRODUCT(COMPLEX(1-BESSELJ(2*F188,1)/F188,(STRUVE(2*F188)/(2*F188^2))),PI()*(BASE!E$15/100)^2*E$2*E$3)</f>
        <v>0.526320347211475+1.90009942813581i</v>
      </c>
      <c r="M188" s="2" t="str">
        <f>IMPRODUCT(COMPLEX(1-BESSELJ(2*G188,1)/G188,(STRUVE(2*G188)/(2*G188^2))),PI()*(BASE!F$15/100)^2*F$2*F$3)</f>
        <v>0.526320347211475+1.90009942813581i</v>
      </c>
      <c r="N188" s="2" t="str">
        <f>IMPRODUCT(COMPLEX(1-BESSELJ(2*H188,1)/H188,(STRUVE(2*H188)/(2*H188^2))),PI()*(BASE!G$15/100)^2*G$2*G$3)</f>
        <v>0.526320347211475+1.90009942813581i</v>
      </c>
      <c r="O188" s="2" t="str">
        <f>IMSUM(IMPRODUCT(IF($O$3=1,L188,COMPLEX(I188,$D188*BASE!K$15)),2),COMPLEX(BASE!E$36,$D188*BASE!K$14-BASE!K$10/$D188))</f>
        <v>1.85264069442295+14.7076434708107i</v>
      </c>
      <c r="P188" s="2" t="str">
        <f>IMSUM(IMPRODUCT(IF($O$3=1,M188,COMPLEX(J188,$D188*BASE!L$15)),2),COMPLEX(BASE!F$36,$D188*BASE!L$14-BASE!L$10/$D188))</f>
        <v>1.85264069442295+14.4151962628794i</v>
      </c>
      <c r="Q188" s="2" t="str">
        <f>IMSUM(IMPRODUCT(IF($O$3=1,N188,COMPLEX(K188,$D188*BASE!M$15)),2),COMPLEX(BASE!G$36,$D188*BASE!M$14-BASE!M$10/$D188))</f>
        <v>1.85264069442295+13.8303018470167i</v>
      </c>
      <c r="R188" s="2" t="str">
        <f>COMPLEX(BASE!E$19,FRES!$D188*BASE!K$36)</f>
        <v>7.2+0.699704663637552i</v>
      </c>
      <c r="S188" s="2" t="str">
        <f>COMPLEX(BASE!F$19,FRES!$D188*BASE!L$36)</f>
        <v>7.2+0.699704663637552i</v>
      </c>
      <c r="T188" s="2" t="str">
        <f>COMPLEX(BASE!G$19,FRES!$D188*BASE!M$36)</f>
        <v>7.2+0.699704663637552i</v>
      </c>
      <c r="U188" s="2" t="str">
        <f>IMDIV(BASE!K$21*BASE!E$38,IMPRODUCT(FRES!R188,IMSUM(FRES!O188,IMDIV(BASE!K$21^2,FRES!R188))))</f>
        <v>0.00925475227827573-0.0798002821593225i</v>
      </c>
      <c r="V188" s="2" t="str">
        <f>IMDIV(BASE!L$21*BASE!F$38,IMPRODUCT(FRES!S188,IMSUM(FRES!P188,IMDIV(BASE!L$21^2,FRES!S188))))</f>
        <v>0.00977811532918701-0.081318300702575i</v>
      </c>
      <c r="W188" s="2" t="str">
        <f>IMDIV(BASE!M$21*BASE!G$38,IMPRODUCT(FRES!T188,IMSUM(FRES!Q188,IMDIV(BASE!M$21^2,FRES!T188))))</f>
        <v>0.0109308544024124-0.0845243777044033i</v>
      </c>
      <c r="X188" s="2" t="str">
        <f t="shared" si="75"/>
        <v>-0.0000317515234144605-3.68234893044641E-06i</v>
      </c>
      <c r="Y188" s="2" t="str">
        <f t="shared" si="74"/>
        <v>-0.0000323555238016199-3.89058847190688E-06i</v>
      </c>
      <c r="Z188" s="2" t="str">
        <f t="shared" si="74"/>
        <v>-0.0000336311813085555-4.34924877590436E-06i</v>
      </c>
      <c r="AA188" s="44" t="str">
        <f>IMPRODUCT(COMPLEX(0,$D188),U188,E$2,BASE!E$15^2/10000,1/(2*BASE!$U$3))</f>
        <v>0.47761354625218+0.0553907196278796i</v>
      </c>
      <c r="AB188" s="44" t="str">
        <f>IMPRODUCT(COMPLEX(0,$D188),V188,F$2,BASE!F$15^2/10000,1/(2*BASE!$U$3))</f>
        <v>0.486699055727847+0.0585231055788972i</v>
      </c>
      <c r="AC188" s="44" t="str">
        <f>IMPRODUCT(COMPLEX(0,$D188),W188,G$2,BASE!G$15^2/10000,1/(2*BASE!$U$3))</f>
        <v>0.505887782446176+0.0654223768818159i</v>
      </c>
      <c r="AD188" s="44">
        <f t="shared" si="55"/>
        <v>0.11545813739585929</v>
      </c>
      <c r="AE188" s="44">
        <f t="shared" si="56"/>
        <v>0.11967039577394037</v>
      </c>
      <c r="AF188" s="44">
        <f t="shared" si="57"/>
        <v>0.12860813068263188</v>
      </c>
      <c r="AG188" s="31">
        <f t="shared" si="58"/>
        <v>87.618955870717315</v>
      </c>
      <c r="AH188" s="31">
        <f t="shared" si="59"/>
        <v>87.786954507437542</v>
      </c>
      <c r="AI188" s="31">
        <f t="shared" si="60"/>
        <v>88.132515333707588</v>
      </c>
      <c r="AJ188" s="2" t="str">
        <f>IMSUM(R188,IMDIV(BASE!K$21^2,FRES!O188))</f>
        <v>7.27910939951497+0.071675253100093i</v>
      </c>
      <c r="AK188" s="2" t="str">
        <f>IMSUM(S188,IMDIV(BASE!L$21^2,FRES!P188))</f>
        <v>7.28229912536429+0.059344097252034i</v>
      </c>
      <c r="AL188" s="2" t="str">
        <f>IMSUM(T188,IMDIV(BASE!M$21^2,FRES!Q188))</f>
        <v>7.28928200782126+0.033198135203389i</v>
      </c>
      <c r="AM188" s="31">
        <f t="shared" si="73"/>
        <v>8.0335144690476118E-2</v>
      </c>
      <c r="AN188" s="31">
        <f t="shared" si="73"/>
        <v>8.1904075408646734E-2</v>
      </c>
      <c r="AO188" s="31">
        <f t="shared" si="73"/>
        <v>8.5228246516535627E-2</v>
      </c>
      <c r="AP188" s="31">
        <f t="shared" si="61"/>
        <v>4.5204400953548607E-2</v>
      </c>
      <c r="AQ188" s="31">
        <f t="shared" si="62"/>
        <v>4.608723465635417E-2</v>
      </c>
      <c r="AR188" s="31">
        <f t="shared" si="63"/>
        <v>4.7957738085185768E-2</v>
      </c>
      <c r="AS188" s="2">
        <f t="shared" si="64"/>
        <v>110.36751466573469</v>
      </c>
      <c r="AT188" s="2">
        <f t="shared" si="65"/>
        <v>110.38092270058372</v>
      </c>
      <c r="AU188" s="2">
        <f t="shared" si="66"/>
        <v>110.40937239439899</v>
      </c>
      <c r="AV188" s="2">
        <f t="shared" si="67"/>
        <v>110.36751466573469</v>
      </c>
      <c r="AW188" s="2">
        <f t="shared" si="68"/>
        <v>110.38092270058372</v>
      </c>
      <c r="AX188" s="2">
        <f t="shared" si="69"/>
        <v>110.40937239439899</v>
      </c>
      <c r="AY188">
        <f t="shared" si="70"/>
        <v>7.2794622735483792</v>
      </c>
      <c r="AZ188">
        <f t="shared" si="71"/>
        <v>7.2825409214888843</v>
      </c>
      <c r="BA188">
        <f t="shared" si="72"/>
        <v>7.2893576058338452</v>
      </c>
    </row>
  </sheetData>
  <sheetProtection algorithmName="SHA-512" hashValue="FLmmXUUo2z1jLR8WCHvaoLkftYe8yeg/8skGz3K7lOYju9ExeKsN4ZIQM1a1T7AtUQV+pH/gn5F8n9+nk7g7gg==" saltValue="F4zTIpIJMrfhfmguy4389A==" spinCount="100000" sheet="1" objects="1" scenarios="1"/>
  <phoneticPr fontId="17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14</xdr:col>
                    <xdr:colOff>0</xdr:colOff>
                    <xdr:row>1</xdr:row>
                    <xdr:rowOff>47625</xdr:rowOff>
                  </from>
                  <to>
                    <xdr:col>15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90"/>
  <sheetViews>
    <sheetView workbookViewId="0">
      <selection activeCell="J193" sqref="J193"/>
    </sheetView>
  </sheetViews>
  <sheetFormatPr defaultRowHeight="14.25" x14ac:dyDescent="0.2"/>
  <cols>
    <col min="3" max="3" width="10.5" bestFit="1" customWidth="1"/>
    <col min="4" max="4" width="5.125" customWidth="1"/>
    <col min="5" max="6" width="4" customWidth="1"/>
    <col min="7" max="7" width="21" style="1" customWidth="1"/>
    <col min="8" max="8" width="9" style="4" customWidth="1"/>
    <col min="14" max="14" width="9.5" bestFit="1" customWidth="1"/>
  </cols>
  <sheetData>
    <row r="1" spans="1:15" ht="42" customHeight="1" x14ac:dyDescent="0.2">
      <c r="B1" s="15" t="s">
        <v>252</v>
      </c>
      <c r="C1" s="15" t="s">
        <v>253</v>
      </c>
      <c r="F1" t="s">
        <v>340</v>
      </c>
      <c r="G1" s="35" t="s">
        <v>341</v>
      </c>
      <c r="H1" s="4" t="s">
        <v>57</v>
      </c>
      <c r="I1" t="s">
        <v>64</v>
      </c>
      <c r="J1" t="s">
        <v>65</v>
      </c>
      <c r="K1" t="s">
        <v>66</v>
      </c>
      <c r="L1" t="s">
        <v>66</v>
      </c>
    </row>
    <row r="2" spans="1:15" x14ac:dyDescent="0.2">
      <c r="A2">
        <v>1</v>
      </c>
      <c r="B2" t="s">
        <v>67</v>
      </c>
      <c r="C2" t="s">
        <v>67</v>
      </c>
      <c r="D2">
        <v>3</v>
      </c>
      <c r="E2" t="s">
        <v>59</v>
      </c>
      <c r="F2" t="s">
        <v>342</v>
      </c>
      <c r="G2" t="s">
        <v>343</v>
      </c>
      <c r="H2" s="4">
        <v>100</v>
      </c>
      <c r="I2">
        <v>200</v>
      </c>
      <c r="J2">
        <v>500</v>
      </c>
      <c r="K2">
        <f>100*2^(($A2-1)/1)</f>
        <v>100</v>
      </c>
      <c r="L2" t="s">
        <v>68</v>
      </c>
      <c r="N2">
        <v>20180808</v>
      </c>
      <c r="O2" t="s">
        <v>256</v>
      </c>
    </row>
    <row r="3" spans="1:15" x14ac:dyDescent="0.2">
      <c r="A3">
        <v>2</v>
      </c>
      <c r="C3" t="s">
        <v>69</v>
      </c>
      <c r="D3">
        <v>22</v>
      </c>
      <c r="E3" t="s">
        <v>70</v>
      </c>
      <c r="F3" t="s">
        <v>344</v>
      </c>
      <c r="G3" t="s">
        <v>345</v>
      </c>
      <c r="H3" s="4">
        <v>120</v>
      </c>
      <c r="I3">
        <v>250</v>
      </c>
      <c r="J3">
        <v>600</v>
      </c>
      <c r="K3">
        <f t="shared" ref="K3:K9" si="0">200*2^(($A3-2)/3)</f>
        <v>200</v>
      </c>
      <c r="L3" s="6" t="s">
        <v>71</v>
      </c>
    </row>
    <row r="4" spans="1:15" x14ac:dyDescent="0.2">
      <c r="A4">
        <v>3</v>
      </c>
      <c r="C4" t="s">
        <v>72</v>
      </c>
      <c r="D4">
        <v>11</v>
      </c>
      <c r="E4" t="s">
        <v>70</v>
      </c>
      <c r="F4" t="s">
        <v>346</v>
      </c>
      <c r="G4" t="s">
        <v>347</v>
      </c>
      <c r="H4" s="4">
        <v>150</v>
      </c>
      <c r="I4">
        <v>300</v>
      </c>
      <c r="J4">
        <v>750</v>
      </c>
      <c r="K4">
        <f t="shared" si="0"/>
        <v>251.98420997897463</v>
      </c>
      <c r="L4" s="6" t="s">
        <v>73</v>
      </c>
    </row>
    <row r="5" spans="1:15" x14ac:dyDescent="0.2">
      <c r="A5">
        <v>4</v>
      </c>
      <c r="C5" t="s">
        <v>74</v>
      </c>
      <c r="D5">
        <v>16</v>
      </c>
      <c r="E5" t="s">
        <v>70</v>
      </c>
      <c r="F5" t="s">
        <v>348</v>
      </c>
      <c r="G5" t="s">
        <v>349</v>
      </c>
      <c r="H5" s="4">
        <v>200</v>
      </c>
      <c r="I5">
        <v>400</v>
      </c>
      <c r="J5">
        <v>1000</v>
      </c>
      <c r="K5">
        <f t="shared" si="0"/>
        <v>317.48021039363988</v>
      </c>
      <c r="L5" s="6" t="s">
        <v>75</v>
      </c>
    </row>
    <row r="6" spans="1:15" x14ac:dyDescent="0.2">
      <c r="A6">
        <v>5</v>
      </c>
      <c r="B6" t="s">
        <v>76</v>
      </c>
      <c r="C6" t="s">
        <v>76</v>
      </c>
      <c r="D6">
        <v>5</v>
      </c>
      <c r="E6" t="s">
        <v>59</v>
      </c>
      <c r="G6" s="18" t="s">
        <v>269</v>
      </c>
      <c r="H6" s="19">
        <v>10</v>
      </c>
      <c r="I6">
        <v>20</v>
      </c>
      <c r="J6">
        <v>80</v>
      </c>
      <c r="K6">
        <f t="shared" si="0"/>
        <v>400</v>
      </c>
      <c r="L6" s="6" t="s">
        <v>77</v>
      </c>
    </row>
    <row r="7" spans="1:15" x14ac:dyDescent="0.2">
      <c r="A7">
        <v>6</v>
      </c>
      <c r="B7" t="s">
        <v>78</v>
      </c>
      <c r="C7" t="s">
        <v>78</v>
      </c>
      <c r="D7">
        <v>7</v>
      </c>
      <c r="E7" t="s">
        <v>59</v>
      </c>
      <c r="G7" s="18" t="s">
        <v>270</v>
      </c>
      <c r="H7" s="19">
        <v>300</v>
      </c>
      <c r="I7">
        <v>500</v>
      </c>
      <c r="J7" t="s">
        <v>316</v>
      </c>
      <c r="K7">
        <f t="shared" si="0"/>
        <v>503.96841995794921</v>
      </c>
      <c r="L7" s="3" t="s">
        <v>79</v>
      </c>
    </row>
    <row r="8" spans="1:15" x14ac:dyDescent="0.2">
      <c r="A8">
        <v>7</v>
      </c>
      <c r="B8" t="s">
        <v>80</v>
      </c>
      <c r="C8" t="s">
        <v>80</v>
      </c>
      <c r="D8">
        <v>8</v>
      </c>
      <c r="E8" t="s">
        <v>59</v>
      </c>
      <c r="G8" s="18" t="s">
        <v>271</v>
      </c>
      <c r="H8" t="s">
        <v>314</v>
      </c>
      <c r="I8" t="s">
        <v>274</v>
      </c>
      <c r="J8" t="s">
        <v>275</v>
      </c>
      <c r="K8">
        <f t="shared" si="0"/>
        <v>634.96042078727976</v>
      </c>
      <c r="L8" s="29" t="s">
        <v>257</v>
      </c>
    </row>
    <row r="9" spans="1:15" x14ac:dyDescent="0.2">
      <c r="A9">
        <v>8</v>
      </c>
      <c r="B9" t="s">
        <v>81</v>
      </c>
      <c r="C9" t="s">
        <v>81</v>
      </c>
      <c r="D9">
        <v>12</v>
      </c>
      <c r="E9" t="s">
        <v>59</v>
      </c>
      <c r="G9" s="18" t="s">
        <v>272</v>
      </c>
      <c r="H9" s="4">
        <f>BASE!P55</f>
        <v>1</v>
      </c>
      <c r="I9">
        <v>10</v>
      </c>
      <c r="J9">
        <v>10</v>
      </c>
      <c r="K9">
        <f t="shared" si="0"/>
        <v>800</v>
      </c>
      <c r="L9" s="17" t="s">
        <v>262</v>
      </c>
    </row>
    <row r="10" spans="1:15" x14ac:dyDescent="0.2">
      <c r="A10">
        <v>9</v>
      </c>
      <c r="B10" t="s">
        <v>82</v>
      </c>
      <c r="C10" t="s">
        <v>82</v>
      </c>
      <c r="D10">
        <v>13</v>
      </c>
      <c r="E10" t="s">
        <v>59</v>
      </c>
      <c r="G10" s="24" t="s">
        <v>273</v>
      </c>
      <c r="H10" s="4">
        <f>BASE!P56</f>
        <v>10000</v>
      </c>
      <c r="I10">
        <v>100000</v>
      </c>
      <c r="J10">
        <v>100000</v>
      </c>
      <c r="K10">
        <f>1000*2^(($A10-9)/6)</f>
        <v>1000</v>
      </c>
      <c r="L10" s="38" t="s">
        <v>358</v>
      </c>
    </row>
    <row r="11" spans="1:15" x14ac:dyDescent="0.2">
      <c r="A11">
        <v>10</v>
      </c>
      <c r="B11" t="s">
        <v>83</v>
      </c>
      <c r="C11" t="s">
        <v>83</v>
      </c>
      <c r="D11">
        <v>14</v>
      </c>
      <c r="E11" t="s">
        <v>59</v>
      </c>
      <c r="F11">
        <v>1</v>
      </c>
      <c r="G11">
        <f>COUNT(H11:H190)</f>
        <v>180</v>
      </c>
      <c r="H11" s="20">
        <f>5*2^((ROW()-11)/12)</f>
        <v>5</v>
      </c>
      <c r="I11" s="20">
        <f>10*2^((F11-1)/12)</f>
        <v>10</v>
      </c>
      <c r="J11" s="20">
        <f>50*2^((F11-1)/12)</f>
        <v>50</v>
      </c>
      <c r="K11">
        <f t="shared" ref="K11:K22" si="1">1000*2^(($A11-9)/6)</f>
        <v>1122.4620483093731</v>
      </c>
      <c r="L11" s="30" t="s">
        <v>315</v>
      </c>
    </row>
    <row r="12" spans="1:15" x14ac:dyDescent="0.2">
      <c r="A12">
        <v>11</v>
      </c>
      <c r="B12" t="s">
        <v>84</v>
      </c>
      <c r="C12" t="s">
        <v>84</v>
      </c>
      <c r="D12">
        <v>15</v>
      </c>
      <c r="E12" t="s">
        <v>59</v>
      </c>
      <c r="F12">
        <v>2</v>
      </c>
      <c r="G12"/>
      <c r="H12" s="20">
        <f t="shared" ref="H12:H22" si="2">5*2^((ROW()-11)/12)</f>
        <v>5.2973154717964768</v>
      </c>
      <c r="I12" s="20">
        <f t="shared" ref="I12:I22" si="3">10*2^((F12-1)/12)</f>
        <v>10.594630943592954</v>
      </c>
      <c r="J12" s="20">
        <f t="shared" ref="J12:J19" si="4">50*2^((F12-1)/12)</f>
        <v>52.973154717964768</v>
      </c>
      <c r="K12">
        <f t="shared" si="1"/>
        <v>1259.9210498948732</v>
      </c>
    </row>
    <row r="13" spans="1:15" x14ac:dyDescent="0.2">
      <c r="A13">
        <v>12</v>
      </c>
      <c r="C13" t="s">
        <v>85</v>
      </c>
      <c r="D13">
        <v>16</v>
      </c>
      <c r="E13" t="s">
        <v>59</v>
      </c>
      <c r="F13">
        <v>3</v>
      </c>
      <c r="G13"/>
      <c r="H13" s="20">
        <f t="shared" si="2"/>
        <v>5.6123102415468651</v>
      </c>
      <c r="I13" s="20">
        <f t="shared" si="3"/>
        <v>11.22462048309373</v>
      </c>
      <c r="J13" s="20">
        <f t="shared" si="4"/>
        <v>56.123102415468651</v>
      </c>
      <c r="K13">
        <f t="shared" si="1"/>
        <v>1414.2135623730951</v>
      </c>
    </row>
    <row r="14" spans="1:15" x14ac:dyDescent="0.2">
      <c r="A14">
        <v>13</v>
      </c>
      <c r="B14" t="s">
        <v>86</v>
      </c>
      <c r="C14" t="s">
        <v>86</v>
      </c>
      <c r="D14">
        <v>18</v>
      </c>
      <c r="E14" t="s">
        <v>59</v>
      </c>
      <c r="F14">
        <v>4</v>
      </c>
      <c r="G14"/>
      <c r="H14" s="20">
        <f t="shared" si="2"/>
        <v>5.9460355750136049</v>
      </c>
      <c r="I14" s="20">
        <f t="shared" si="3"/>
        <v>11.89207115002721</v>
      </c>
      <c r="J14" s="20">
        <f t="shared" si="4"/>
        <v>59.460355750136053</v>
      </c>
      <c r="K14">
        <f t="shared" si="1"/>
        <v>1587.4010519681995</v>
      </c>
    </row>
    <row r="15" spans="1:15" x14ac:dyDescent="0.2">
      <c r="A15">
        <v>14</v>
      </c>
      <c r="B15" t="s">
        <v>87</v>
      </c>
      <c r="C15" t="s">
        <v>87</v>
      </c>
      <c r="D15">
        <v>19</v>
      </c>
      <c r="E15" t="s">
        <v>59</v>
      </c>
      <c r="F15">
        <v>5</v>
      </c>
      <c r="G15"/>
      <c r="H15" s="20">
        <f t="shared" si="2"/>
        <v>6.2996052494743662</v>
      </c>
      <c r="I15" s="20">
        <f t="shared" si="3"/>
        <v>12.599210498948732</v>
      </c>
      <c r="J15" s="20">
        <f t="shared" si="4"/>
        <v>62.996052494743658</v>
      </c>
      <c r="K15">
        <f t="shared" si="1"/>
        <v>1781.7974362806785</v>
      </c>
    </row>
    <row r="16" spans="1:15" x14ac:dyDescent="0.2">
      <c r="A16">
        <v>15</v>
      </c>
      <c r="B16" t="s">
        <v>88</v>
      </c>
      <c r="C16" t="s">
        <v>88</v>
      </c>
      <c r="D16">
        <v>20</v>
      </c>
      <c r="E16" t="s">
        <v>59</v>
      </c>
      <c r="F16">
        <v>6</v>
      </c>
      <c r="G16"/>
      <c r="H16" s="20">
        <f>5*2^((ROW()-11)/12)</f>
        <v>6.6741992708501723</v>
      </c>
      <c r="I16" s="20">
        <f t="shared" si="3"/>
        <v>13.348398541700345</v>
      </c>
      <c r="J16" s="20">
        <f t="shared" si="4"/>
        <v>66.741992708501712</v>
      </c>
      <c r="K16">
        <f t="shared" si="1"/>
        <v>2000</v>
      </c>
    </row>
    <row r="17" spans="1:11" x14ac:dyDescent="0.2">
      <c r="A17">
        <v>16</v>
      </c>
      <c r="B17" t="s">
        <v>89</v>
      </c>
      <c r="C17" t="s">
        <v>89</v>
      </c>
      <c r="D17">
        <v>21</v>
      </c>
      <c r="E17" t="s">
        <v>59</v>
      </c>
      <c r="F17">
        <v>7</v>
      </c>
      <c r="G17"/>
      <c r="H17" s="20">
        <f t="shared" si="2"/>
        <v>7.0710678118654755</v>
      </c>
      <c r="I17" s="20">
        <f t="shared" si="3"/>
        <v>14.142135623730951</v>
      </c>
      <c r="J17" s="20">
        <f t="shared" si="4"/>
        <v>70.710678118654755</v>
      </c>
      <c r="K17">
        <f t="shared" si="1"/>
        <v>2244.9240966187463</v>
      </c>
    </row>
    <row r="18" spans="1:11" x14ac:dyDescent="0.2">
      <c r="A18">
        <v>17</v>
      </c>
      <c r="B18" t="s">
        <v>90</v>
      </c>
      <c r="C18" t="s">
        <v>90</v>
      </c>
      <c r="D18">
        <v>22</v>
      </c>
      <c r="E18" t="s">
        <v>59</v>
      </c>
      <c r="F18">
        <v>8</v>
      </c>
      <c r="G18"/>
      <c r="H18" s="20">
        <f t="shared" si="2"/>
        <v>7.4915353843834076</v>
      </c>
      <c r="I18" s="20">
        <f t="shared" si="3"/>
        <v>14.983070768766815</v>
      </c>
      <c r="J18" s="20">
        <f t="shared" si="4"/>
        <v>74.915353843834083</v>
      </c>
      <c r="K18">
        <f>1000*2^(($A18-9)/6)</f>
        <v>2519.842099789746</v>
      </c>
    </row>
    <row r="19" spans="1:11" x14ac:dyDescent="0.2">
      <c r="A19">
        <v>18</v>
      </c>
      <c r="B19" t="s">
        <v>91</v>
      </c>
      <c r="C19" t="s">
        <v>91</v>
      </c>
      <c r="D19">
        <v>23</v>
      </c>
      <c r="E19" t="s">
        <v>59</v>
      </c>
      <c r="F19">
        <v>9</v>
      </c>
      <c r="G19"/>
      <c r="H19" s="20">
        <f t="shared" si="2"/>
        <v>7.9370052598409968</v>
      </c>
      <c r="I19" s="20">
        <f t="shared" si="3"/>
        <v>15.874010519681994</v>
      </c>
      <c r="J19" s="20">
        <f t="shared" si="4"/>
        <v>79.37005259840997</v>
      </c>
      <c r="K19">
        <f t="shared" si="1"/>
        <v>2828.4271247461897</v>
      </c>
    </row>
    <row r="20" spans="1:11" x14ac:dyDescent="0.2">
      <c r="A20">
        <v>19</v>
      </c>
      <c r="D20">
        <v>24</v>
      </c>
      <c r="E20" t="s">
        <v>59</v>
      </c>
      <c r="F20">
        <v>10</v>
      </c>
      <c r="G20"/>
      <c r="H20" s="20">
        <f>5*2^((ROW()-11)/12)</f>
        <v>8.4089641525371448</v>
      </c>
      <c r="I20" s="20">
        <f>10*2^((F20-1)/12)</f>
        <v>16.81792830507429</v>
      </c>
      <c r="J20" s="21">
        <f>80*2^((F20-10)/30)</f>
        <v>80</v>
      </c>
      <c r="K20">
        <f t="shared" si="1"/>
        <v>3174.8021039363989</v>
      </c>
    </row>
    <row r="21" spans="1:11" x14ac:dyDescent="0.2">
      <c r="A21">
        <v>20</v>
      </c>
      <c r="C21" t="s">
        <v>92</v>
      </c>
      <c r="D21">
        <v>25</v>
      </c>
      <c r="E21" t="s">
        <v>59</v>
      </c>
      <c r="F21">
        <v>11</v>
      </c>
      <c r="G21"/>
      <c r="H21" s="20">
        <f t="shared" si="2"/>
        <v>8.9089871814033934</v>
      </c>
      <c r="I21" s="20">
        <f t="shared" si="3"/>
        <v>17.817974362806787</v>
      </c>
      <c r="J21" s="21">
        <f t="shared" ref="J21:J84" si="5">80*2^((F21-10)/30)</f>
        <v>81.869911359741991</v>
      </c>
      <c r="K21">
        <f t="shared" si="1"/>
        <v>3563.5948725613566</v>
      </c>
    </row>
    <row r="22" spans="1:11" x14ac:dyDescent="0.2">
      <c r="A22">
        <v>21</v>
      </c>
      <c r="B22" t="s">
        <v>93</v>
      </c>
      <c r="C22" t="s">
        <v>93</v>
      </c>
      <c r="D22">
        <v>28</v>
      </c>
      <c r="E22" t="s">
        <v>59</v>
      </c>
      <c r="F22">
        <v>12</v>
      </c>
      <c r="G22"/>
      <c r="H22" s="20">
        <f t="shared" si="2"/>
        <v>9.4387431268169344</v>
      </c>
      <c r="I22" s="20">
        <f t="shared" si="3"/>
        <v>18.877486253633869</v>
      </c>
      <c r="J22" s="21">
        <f t="shared" si="5"/>
        <v>83.783529825650135</v>
      </c>
      <c r="K22">
        <f t="shared" si="1"/>
        <v>4000</v>
      </c>
    </row>
    <row r="23" spans="1:11" x14ac:dyDescent="0.2">
      <c r="A23">
        <v>22</v>
      </c>
      <c r="B23" t="s">
        <v>94</v>
      </c>
      <c r="C23" t="s">
        <v>94</v>
      </c>
      <c r="D23">
        <v>29</v>
      </c>
      <c r="E23" t="s">
        <v>59</v>
      </c>
      <c r="F23">
        <v>13</v>
      </c>
      <c r="G23"/>
      <c r="H23" s="22">
        <f>10*2^((ROW()-23)/30)</f>
        <v>10</v>
      </c>
      <c r="I23" s="21">
        <f>20*2^((F23-$F$23)/24)</f>
        <v>20</v>
      </c>
      <c r="J23" s="21">
        <f t="shared" si="5"/>
        <v>85.74187700290345</v>
      </c>
      <c r="K23">
        <f t="shared" ref="K23:K29" si="6">1000*2^(($A23-9)/6)</f>
        <v>4489.8481932374916</v>
      </c>
    </row>
    <row r="24" spans="1:11" x14ac:dyDescent="0.2">
      <c r="A24">
        <v>23</v>
      </c>
      <c r="B24" t="s">
        <v>95</v>
      </c>
      <c r="C24" t="s">
        <v>95</v>
      </c>
      <c r="D24">
        <v>33</v>
      </c>
      <c r="E24" t="s">
        <v>59</v>
      </c>
      <c r="F24">
        <v>14</v>
      </c>
      <c r="G24"/>
      <c r="H24" s="22">
        <f t="shared" ref="H24:H87" si="7">10*2^((ROW()-23)/30)</f>
        <v>10.233738919967749</v>
      </c>
      <c r="I24" s="21">
        <f t="shared" ref="I24:I87" si="8">20*2^((F24-$F$23)/24)</f>
        <v>20.586044732869841</v>
      </c>
      <c r="J24" s="21">
        <f t="shared" si="5"/>
        <v>87.745998375570068</v>
      </c>
      <c r="K24">
        <f t="shared" si="6"/>
        <v>5039.6841995794939</v>
      </c>
    </row>
    <row r="25" spans="1:11" x14ac:dyDescent="0.2">
      <c r="A25">
        <v>24</v>
      </c>
      <c r="B25" t="s">
        <v>96</v>
      </c>
      <c r="C25" t="s">
        <v>96</v>
      </c>
      <c r="D25">
        <v>34</v>
      </c>
      <c r="E25" t="s">
        <v>59</v>
      </c>
      <c r="F25">
        <v>15</v>
      </c>
      <c r="G25"/>
      <c r="H25" s="22">
        <f t="shared" si="7"/>
        <v>10.472941228206267</v>
      </c>
      <c r="I25" s="21">
        <f t="shared" si="8"/>
        <v>21.189261887185907</v>
      </c>
      <c r="J25" s="21">
        <f t="shared" si="5"/>
        <v>89.796963864749841</v>
      </c>
      <c r="K25">
        <f t="shared" si="6"/>
        <v>5656.8542494923804</v>
      </c>
    </row>
    <row r="26" spans="1:11" x14ac:dyDescent="0.2">
      <c r="A26">
        <v>25</v>
      </c>
      <c r="B26" t="s">
        <v>97</v>
      </c>
      <c r="C26" t="s">
        <v>97</v>
      </c>
      <c r="D26">
        <v>35</v>
      </c>
      <c r="E26" t="s">
        <v>59</v>
      </c>
      <c r="F26">
        <v>16</v>
      </c>
      <c r="G26"/>
      <c r="H26" s="22">
        <f t="shared" si="7"/>
        <v>10.717734625362931</v>
      </c>
      <c r="I26" s="21">
        <f t="shared" si="8"/>
        <v>21.810154653305155</v>
      </c>
      <c r="J26" s="21">
        <f t="shared" si="5"/>
        <v>91.895868399762804</v>
      </c>
      <c r="K26">
        <f t="shared" si="6"/>
        <v>6349.6042078727978</v>
      </c>
    </row>
    <row r="27" spans="1:11" x14ac:dyDescent="0.2">
      <c r="A27">
        <v>26</v>
      </c>
      <c r="B27" t="s">
        <v>98</v>
      </c>
      <c r="C27" t="s">
        <v>98</v>
      </c>
      <c r="D27">
        <v>36</v>
      </c>
      <c r="E27" t="s">
        <v>59</v>
      </c>
      <c r="F27">
        <v>17</v>
      </c>
      <c r="G27"/>
      <c r="H27" s="22">
        <f t="shared" si="7"/>
        <v>10.968249796946258</v>
      </c>
      <c r="I27" s="21">
        <f t="shared" si="8"/>
        <v>22.44924096618746</v>
      </c>
      <c r="J27" s="21">
        <f t="shared" si="5"/>
        <v>94.043832502688701</v>
      </c>
      <c r="K27">
        <f t="shared" si="6"/>
        <v>7127.1897451227142</v>
      </c>
    </row>
    <row r="28" spans="1:11" x14ac:dyDescent="0.2">
      <c r="A28">
        <v>27</v>
      </c>
      <c r="B28" t="s">
        <v>99</v>
      </c>
      <c r="C28" t="s">
        <v>99</v>
      </c>
      <c r="D28">
        <v>38</v>
      </c>
      <c r="E28" t="s">
        <v>59</v>
      </c>
      <c r="F28">
        <v>18</v>
      </c>
      <c r="G28"/>
      <c r="H28" s="22">
        <f t="shared" si="7"/>
        <v>11.22462048309373</v>
      </c>
      <c r="I28" s="21">
        <f t="shared" si="8"/>
        <v>23.107053937445457</v>
      </c>
      <c r="J28" s="21">
        <f t="shared" si="5"/>
        <v>96.242002886569338</v>
      </c>
      <c r="K28">
        <f t="shared" si="6"/>
        <v>8000</v>
      </c>
    </row>
    <row r="29" spans="1:11" x14ac:dyDescent="0.2">
      <c r="A29">
        <v>28</v>
      </c>
      <c r="B29" t="s">
        <v>100</v>
      </c>
      <c r="C29" t="s">
        <v>100</v>
      </c>
      <c r="D29">
        <v>39</v>
      </c>
      <c r="E29" t="s">
        <v>59</v>
      </c>
      <c r="F29">
        <v>19</v>
      </c>
      <c r="G29"/>
      <c r="H29" s="22">
        <f t="shared" si="7"/>
        <v>11.486983549970351</v>
      </c>
      <c r="I29" s="21">
        <f t="shared" si="8"/>
        <v>23.78414230005442</v>
      </c>
      <c r="J29" s="21">
        <f t="shared" si="5"/>
        <v>98.491553067593301</v>
      </c>
      <c r="K29">
        <f t="shared" si="6"/>
        <v>8979.6963864749814</v>
      </c>
    </row>
    <row r="30" spans="1:11" x14ac:dyDescent="0.2">
      <c r="A30">
        <v>29</v>
      </c>
      <c r="C30" t="s">
        <v>101</v>
      </c>
      <c r="D30">
        <v>19</v>
      </c>
      <c r="E30" t="s">
        <v>57</v>
      </c>
      <c r="F30">
        <v>20</v>
      </c>
      <c r="G30"/>
      <c r="H30" s="22">
        <f t="shared" si="7"/>
        <v>11.755479062836088</v>
      </c>
      <c r="I30" s="21">
        <f t="shared" si="8"/>
        <v>24.481070866093106</v>
      </c>
      <c r="J30" s="21">
        <f t="shared" si="5"/>
        <v>100.79368399158986</v>
      </c>
      <c r="K30">
        <f>500*2^(($A30-26)/2)</f>
        <v>1414.2135623730949</v>
      </c>
    </row>
    <row r="31" spans="1:11" x14ac:dyDescent="0.2">
      <c r="A31">
        <v>30</v>
      </c>
      <c r="C31" t="s">
        <v>102</v>
      </c>
      <c r="D31">
        <v>22</v>
      </c>
      <c r="E31" t="s">
        <v>57</v>
      </c>
      <c r="F31">
        <v>21</v>
      </c>
      <c r="G31"/>
      <c r="H31" s="22">
        <f t="shared" si="7"/>
        <v>12.030250360821167</v>
      </c>
      <c r="I31" s="21">
        <f t="shared" si="8"/>
        <v>25.198420997897465</v>
      </c>
      <c r="J31" s="21">
        <f t="shared" si="5"/>
        <v>103.14962467516634</v>
      </c>
      <c r="K31">
        <f>500*2^(($A31-26)/2)</f>
        <v>2000</v>
      </c>
    </row>
    <row r="32" spans="1:11" x14ac:dyDescent="0.2">
      <c r="A32">
        <v>31</v>
      </c>
      <c r="C32" t="s">
        <v>103</v>
      </c>
      <c r="D32">
        <v>11</v>
      </c>
      <c r="E32" t="s">
        <v>57</v>
      </c>
      <c r="F32">
        <v>22</v>
      </c>
      <c r="G32"/>
      <c r="H32" s="22">
        <f t="shared" si="7"/>
        <v>12.311444133449163</v>
      </c>
      <c r="I32" s="21">
        <f t="shared" si="8"/>
        <v>25.936791093020194</v>
      </c>
      <c r="J32" s="21">
        <f t="shared" si="5"/>
        <v>105.56063286183154</v>
      </c>
      <c r="K32">
        <f>500*2^(($A32-26)/2)</f>
        <v>2828.4271247461902</v>
      </c>
    </row>
    <row r="33" spans="1:11" x14ac:dyDescent="0.2">
      <c r="A33">
        <v>32</v>
      </c>
      <c r="C33" t="s">
        <v>104</v>
      </c>
      <c r="D33">
        <v>16</v>
      </c>
      <c r="E33" t="s">
        <v>57</v>
      </c>
      <c r="F33">
        <v>23</v>
      </c>
      <c r="G33"/>
      <c r="H33" s="22">
        <f t="shared" si="7"/>
        <v>12.599210498948732</v>
      </c>
      <c r="I33" s="21">
        <f t="shared" si="8"/>
        <v>26.696797083400689</v>
      </c>
      <c r="J33" s="21">
        <f t="shared" si="5"/>
        <v>108.02799569345521</v>
      </c>
      <c r="K33">
        <f>500*2^(($A33-26)/2)</f>
        <v>4000</v>
      </c>
    </row>
    <row r="34" spans="1:11" x14ac:dyDescent="0.2">
      <c r="A34">
        <v>33</v>
      </c>
      <c r="B34" t="s">
        <v>105</v>
      </c>
      <c r="C34" t="s">
        <v>105</v>
      </c>
      <c r="D34">
        <v>5</v>
      </c>
      <c r="E34" t="s">
        <v>106</v>
      </c>
      <c r="F34">
        <v>24</v>
      </c>
      <c r="G34"/>
      <c r="H34" s="22">
        <f t="shared" si="7"/>
        <v>12.893703084395792</v>
      </c>
      <c r="I34" s="21">
        <f t="shared" si="8"/>
        <v>27.479072949161782</v>
      </c>
      <c r="J34" s="21">
        <f t="shared" si="5"/>
        <v>110.55303039742208</v>
      </c>
    </row>
    <row r="35" spans="1:11" x14ac:dyDescent="0.2">
      <c r="A35">
        <v>34</v>
      </c>
      <c r="B35" t="s">
        <v>107</v>
      </c>
      <c r="C35" t="s">
        <v>107</v>
      </c>
      <c r="D35">
        <v>7</v>
      </c>
      <c r="E35" t="s">
        <v>106</v>
      </c>
      <c r="F35">
        <v>25</v>
      </c>
      <c r="G35"/>
      <c r="H35" s="22">
        <f t="shared" si="7"/>
        <v>13.195079107728942</v>
      </c>
      <c r="I35" s="21">
        <f t="shared" si="8"/>
        <v>28.284271247461902</v>
      </c>
      <c r="J35" s="21">
        <f t="shared" si="5"/>
        <v>113.13708498984761</v>
      </c>
    </row>
    <row r="36" spans="1:11" x14ac:dyDescent="0.2">
      <c r="A36">
        <v>35</v>
      </c>
      <c r="B36" t="s">
        <v>108</v>
      </c>
      <c r="C36" t="s">
        <v>108</v>
      </c>
      <c r="D36">
        <v>8</v>
      </c>
      <c r="E36" t="s">
        <v>106</v>
      </c>
      <c r="F36">
        <v>26</v>
      </c>
      <c r="G36"/>
      <c r="H36" s="22">
        <f t="shared" si="7"/>
        <v>13.503499461681901</v>
      </c>
      <c r="I36" s="21">
        <f t="shared" si="8"/>
        <v>29.113063656843746</v>
      </c>
      <c r="J36" s="21">
        <f t="shared" si="5"/>
        <v>115.78153899523024</v>
      </c>
    </row>
    <row r="37" spans="1:11" x14ac:dyDescent="0.2">
      <c r="A37">
        <v>36</v>
      </c>
      <c r="B37" t="s">
        <v>109</v>
      </c>
      <c r="C37" t="s">
        <v>109</v>
      </c>
      <c r="D37">
        <v>12</v>
      </c>
      <c r="E37" t="s">
        <v>106</v>
      </c>
      <c r="F37">
        <v>27</v>
      </c>
      <c r="G37"/>
      <c r="H37" s="22">
        <f t="shared" si="7"/>
        <v>13.81912879967776</v>
      </c>
      <c r="I37" s="21">
        <f t="shared" si="8"/>
        <v>29.96614153753363</v>
      </c>
      <c r="J37" s="21">
        <f t="shared" si="5"/>
        <v>118.48780418292513</v>
      </c>
    </row>
    <row r="38" spans="1:11" x14ac:dyDescent="0.2">
      <c r="A38">
        <v>37</v>
      </c>
      <c r="B38" t="s">
        <v>110</v>
      </c>
      <c r="C38" t="s">
        <v>110</v>
      </c>
      <c r="D38">
        <v>13</v>
      </c>
      <c r="E38" t="s">
        <v>106</v>
      </c>
      <c r="F38">
        <v>28</v>
      </c>
      <c r="G38"/>
      <c r="H38" s="22">
        <f t="shared" si="7"/>
        <v>14.142135623730951</v>
      </c>
      <c r="I38" s="21">
        <f t="shared" si="8"/>
        <v>30.844216508158816</v>
      </c>
      <c r="J38" s="21">
        <f t="shared" si="5"/>
        <v>121.25732532083184</v>
      </c>
    </row>
    <row r="39" spans="1:11" x14ac:dyDescent="0.2">
      <c r="A39">
        <v>38</v>
      </c>
      <c r="B39" t="s">
        <v>111</v>
      </c>
      <c r="C39" t="s">
        <v>111</v>
      </c>
      <c r="D39">
        <v>14</v>
      </c>
      <c r="E39" t="s">
        <v>106</v>
      </c>
      <c r="F39">
        <v>29</v>
      </c>
      <c r="G39"/>
      <c r="H39" s="22">
        <f t="shared" si="7"/>
        <v>14.472692374403779</v>
      </c>
      <c r="I39" s="21">
        <f t="shared" si="8"/>
        <v>31.748021039363987</v>
      </c>
      <c r="J39" s="21">
        <f t="shared" si="5"/>
        <v>124.09158094669877</v>
      </c>
    </row>
    <row r="40" spans="1:11" x14ac:dyDescent="0.2">
      <c r="A40">
        <v>39</v>
      </c>
      <c r="B40" t="s">
        <v>112</v>
      </c>
      <c r="C40" t="s">
        <v>112</v>
      </c>
      <c r="D40">
        <v>15</v>
      </c>
      <c r="E40" t="s">
        <v>106</v>
      </c>
      <c r="F40">
        <v>30</v>
      </c>
      <c r="G40"/>
      <c r="H40" s="22">
        <f t="shared" si="7"/>
        <v>14.810975522865641</v>
      </c>
      <c r="I40" s="21">
        <f t="shared" si="8"/>
        <v>32.678309064821995</v>
      </c>
      <c r="J40" s="21">
        <f t="shared" si="5"/>
        <v>126.99208415745595</v>
      </c>
    </row>
    <row r="41" spans="1:11" x14ac:dyDescent="0.2">
      <c r="A41">
        <v>40</v>
      </c>
      <c r="C41" t="s">
        <v>113</v>
      </c>
      <c r="D41">
        <v>16</v>
      </c>
      <c r="E41" t="s">
        <v>106</v>
      </c>
      <c r="F41">
        <v>31</v>
      </c>
      <c r="G41"/>
      <c r="H41" s="22">
        <f t="shared" si="7"/>
        <v>15.15716566510398</v>
      </c>
      <c r="I41" s="21">
        <f t="shared" si="8"/>
        <v>33.635856610148579</v>
      </c>
      <c r="J41" s="21">
        <f t="shared" si="5"/>
        <v>129.96038341699767</v>
      </c>
    </row>
    <row r="42" spans="1:11" x14ac:dyDescent="0.2">
      <c r="A42">
        <v>41</v>
      </c>
      <c r="B42" t="s">
        <v>114</v>
      </c>
      <c r="C42" t="s">
        <v>114</v>
      </c>
      <c r="D42">
        <v>18</v>
      </c>
      <c r="E42" t="s">
        <v>106</v>
      </c>
      <c r="F42">
        <v>32</v>
      </c>
      <c r="G42"/>
      <c r="H42" s="22">
        <f t="shared" si="7"/>
        <v>15.511447618337346</v>
      </c>
      <c r="I42" s="21">
        <f t="shared" si="8"/>
        <v>34.621462440245722</v>
      </c>
      <c r="J42" s="21">
        <f t="shared" si="5"/>
        <v>132.99806338284606</v>
      </c>
    </row>
    <row r="43" spans="1:11" x14ac:dyDescent="0.2">
      <c r="A43">
        <v>42</v>
      </c>
      <c r="B43" t="s">
        <v>115</v>
      </c>
      <c r="C43" t="s">
        <v>115</v>
      </c>
      <c r="D43">
        <v>19</v>
      </c>
      <c r="E43" t="s">
        <v>106</v>
      </c>
      <c r="F43">
        <v>33</v>
      </c>
      <c r="G43"/>
      <c r="H43" s="22">
        <f t="shared" si="7"/>
        <v>15.874010519681994</v>
      </c>
      <c r="I43" s="21">
        <f t="shared" si="8"/>
        <v>35.635948725613574</v>
      </c>
      <c r="J43" s="21">
        <f t="shared" si="5"/>
        <v>136.1067457521369</v>
      </c>
    </row>
    <row r="44" spans="1:11" x14ac:dyDescent="0.2">
      <c r="A44">
        <v>43</v>
      </c>
      <c r="B44" t="s">
        <v>116</v>
      </c>
      <c r="C44" t="s">
        <v>116</v>
      </c>
      <c r="D44">
        <v>20</v>
      </c>
      <c r="E44" t="s">
        <v>106</v>
      </c>
      <c r="F44">
        <v>34</v>
      </c>
      <c r="G44"/>
      <c r="H44" s="22">
        <f t="shared" si="7"/>
        <v>16.245047927124709</v>
      </c>
      <c r="I44" s="21">
        <f t="shared" si="8"/>
        <v>36.680161728186846</v>
      </c>
      <c r="J44" s="21">
        <f t="shared" si="5"/>
        <v>139.28809012737986</v>
      </c>
    </row>
    <row r="45" spans="1:11" x14ac:dyDescent="0.2">
      <c r="A45">
        <v>44</v>
      </c>
      <c r="B45" t="s">
        <v>117</v>
      </c>
      <c r="C45" t="s">
        <v>117</v>
      </c>
      <c r="D45">
        <v>21</v>
      </c>
      <c r="E45" t="s">
        <v>106</v>
      </c>
      <c r="F45">
        <v>35</v>
      </c>
      <c r="G45"/>
      <c r="H45" s="22">
        <f t="shared" si="7"/>
        <v>16.624757922855757</v>
      </c>
      <c r="I45" s="21">
        <f t="shared" si="8"/>
        <v>37.754972507267738</v>
      </c>
      <c r="J45" s="21">
        <f t="shared" si="5"/>
        <v>142.54379490245429</v>
      </c>
    </row>
    <row r="46" spans="1:11" x14ac:dyDescent="0.2">
      <c r="A46">
        <v>45</v>
      </c>
      <c r="B46" t="s">
        <v>118</v>
      </c>
      <c r="C46" t="s">
        <v>118</v>
      </c>
      <c r="D46">
        <v>22</v>
      </c>
      <c r="E46" t="s">
        <v>106</v>
      </c>
      <c r="F46">
        <v>36</v>
      </c>
      <c r="G46"/>
      <c r="H46" s="22">
        <f t="shared" si="7"/>
        <v>17.013343219017113</v>
      </c>
      <c r="I46" s="21">
        <f t="shared" si="8"/>
        <v>38.861277646144231</v>
      </c>
      <c r="J46" s="21">
        <f t="shared" si="5"/>
        <v>145.87559816931469</v>
      </c>
    </row>
    <row r="47" spans="1:11" x14ac:dyDescent="0.2">
      <c r="A47">
        <v>46</v>
      </c>
      <c r="B47" t="s">
        <v>119</v>
      </c>
      <c r="C47" t="s">
        <v>119</v>
      </c>
      <c r="D47">
        <v>23</v>
      </c>
      <c r="E47" t="s">
        <v>106</v>
      </c>
      <c r="F47">
        <v>37</v>
      </c>
      <c r="G47"/>
      <c r="H47" s="22">
        <f t="shared" si="7"/>
        <v>17.411011265922482</v>
      </c>
      <c r="I47" s="21">
        <f t="shared" si="8"/>
        <v>40</v>
      </c>
      <c r="J47" s="21">
        <f>80*2^((F47-10)/30)</f>
        <v>149.28527864588918</v>
      </c>
    </row>
    <row r="48" spans="1:11" x14ac:dyDescent="0.2">
      <c r="A48">
        <v>47</v>
      </c>
      <c r="D48">
        <v>24</v>
      </c>
      <c r="E48" t="s">
        <v>106</v>
      </c>
      <c r="F48">
        <v>38</v>
      </c>
      <c r="G48"/>
      <c r="H48" s="22">
        <f t="shared" si="7"/>
        <v>17.817974362806787</v>
      </c>
      <c r="I48" s="21">
        <f t="shared" si="8"/>
        <v>41.172089465739681</v>
      </c>
      <c r="J48" s="21">
        <f t="shared" si="5"/>
        <v>152.77465662566664</v>
      </c>
    </row>
    <row r="49" spans="1:10" x14ac:dyDescent="0.2">
      <c r="A49">
        <v>48</v>
      </c>
      <c r="C49" t="s">
        <v>120</v>
      </c>
      <c r="D49">
        <v>25</v>
      </c>
      <c r="E49" t="s">
        <v>106</v>
      </c>
      <c r="F49">
        <v>39</v>
      </c>
      <c r="G49"/>
      <c r="H49" s="22">
        <f t="shared" si="7"/>
        <v>18.234449771164336</v>
      </c>
      <c r="I49" s="21">
        <f t="shared" si="8"/>
        <v>42.3785237743718</v>
      </c>
      <c r="J49" s="21">
        <f t="shared" si="5"/>
        <v>156.34559494947933</v>
      </c>
    </row>
    <row r="50" spans="1:10" x14ac:dyDescent="0.2">
      <c r="A50">
        <v>49</v>
      </c>
      <c r="B50" t="s">
        <v>121</v>
      </c>
      <c r="C50" t="s">
        <v>121</v>
      </c>
      <c r="D50">
        <v>28</v>
      </c>
      <c r="E50" t="s">
        <v>106</v>
      </c>
      <c r="F50">
        <v>40</v>
      </c>
      <c r="G50"/>
      <c r="H50" s="22">
        <f t="shared" si="7"/>
        <v>18.660659830736147</v>
      </c>
      <c r="I50" s="21">
        <f t="shared" si="8"/>
        <v>43.620309306610309</v>
      </c>
      <c r="J50" s="21">
        <f t="shared" si="5"/>
        <v>160</v>
      </c>
    </row>
    <row r="51" spans="1:10" x14ac:dyDescent="0.2">
      <c r="A51">
        <v>50</v>
      </c>
      <c r="B51" t="s">
        <v>122</v>
      </c>
      <c r="C51" t="s">
        <v>122</v>
      </c>
      <c r="D51">
        <v>29</v>
      </c>
      <c r="E51" t="s">
        <v>106</v>
      </c>
      <c r="F51">
        <v>41</v>
      </c>
      <c r="G51"/>
      <c r="H51" s="22">
        <f t="shared" si="7"/>
        <v>19.09683207820833</v>
      </c>
      <c r="I51" s="21">
        <f t="shared" si="8"/>
        <v>44.898481932374921</v>
      </c>
      <c r="J51" s="21">
        <f t="shared" si="5"/>
        <v>163.73982271948398</v>
      </c>
    </row>
    <row r="52" spans="1:10" x14ac:dyDescent="0.2">
      <c r="A52">
        <v>51</v>
      </c>
      <c r="B52" t="s">
        <v>123</v>
      </c>
      <c r="C52" t="s">
        <v>123</v>
      </c>
      <c r="D52">
        <v>33</v>
      </c>
      <c r="E52" t="s">
        <v>106</v>
      </c>
      <c r="F52">
        <v>42</v>
      </c>
      <c r="G52"/>
      <c r="H52" s="22">
        <f t="shared" si="7"/>
        <v>19.543199368684917</v>
      </c>
      <c r="I52" s="21">
        <f t="shared" si="8"/>
        <v>46.214107874890914</v>
      </c>
      <c r="J52" s="21">
        <f t="shared" si="5"/>
        <v>167.56705965130027</v>
      </c>
    </row>
    <row r="53" spans="1:10" x14ac:dyDescent="0.2">
      <c r="A53">
        <v>52</v>
      </c>
      <c r="B53" t="s">
        <v>124</v>
      </c>
      <c r="C53" t="s">
        <v>124</v>
      </c>
      <c r="D53">
        <v>34</v>
      </c>
      <c r="E53" t="s">
        <v>106</v>
      </c>
      <c r="F53">
        <v>43</v>
      </c>
      <c r="G53"/>
      <c r="H53" s="22">
        <f t="shared" si="7"/>
        <v>20</v>
      </c>
      <c r="I53" s="21">
        <f t="shared" si="8"/>
        <v>47.568284600108839</v>
      </c>
      <c r="J53" s="21">
        <f t="shared" si="5"/>
        <v>171.4837540058069</v>
      </c>
    </row>
    <row r="54" spans="1:10" x14ac:dyDescent="0.2">
      <c r="A54">
        <v>53</v>
      </c>
      <c r="B54" t="s">
        <v>125</v>
      </c>
      <c r="C54" t="s">
        <v>125</v>
      </c>
      <c r="D54">
        <v>35</v>
      </c>
      <c r="E54" t="s">
        <v>106</v>
      </c>
      <c r="F54">
        <v>44</v>
      </c>
      <c r="G54"/>
      <c r="H54" s="22">
        <f t="shared" si="7"/>
        <v>20.467477839935498</v>
      </c>
      <c r="I54" s="21">
        <f t="shared" si="8"/>
        <v>48.962141732186211</v>
      </c>
      <c r="J54" s="21">
        <f t="shared" si="5"/>
        <v>175.49199675114014</v>
      </c>
    </row>
    <row r="55" spans="1:10" x14ac:dyDescent="0.2">
      <c r="A55">
        <v>54</v>
      </c>
      <c r="B55" t="s">
        <v>126</v>
      </c>
      <c r="C55" t="s">
        <v>126</v>
      </c>
      <c r="D55">
        <v>36</v>
      </c>
      <c r="E55" t="s">
        <v>106</v>
      </c>
      <c r="F55">
        <v>45</v>
      </c>
      <c r="G55"/>
      <c r="H55" s="22">
        <f t="shared" si="7"/>
        <v>20.945882456412534</v>
      </c>
      <c r="I55" s="21">
        <f t="shared" si="8"/>
        <v>50.396841995794915</v>
      </c>
      <c r="J55" s="21">
        <f t="shared" si="5"/>
        <v>179.59392772949968</v>
      </c>
    </row>
    <row r="56" spans="1:10" x14ac:dyDescent="0.2">
      <c r="A56">
        <v>55</v>
      </c>
      <c r="B56" t="s">
        <v>127</v>
      </c>
      <c r="C56" t="s">
        <v>127</v>
      </c>
      <c r="D56">
        <v>38</v>
      </c>
      <c r="E56" t="s">
        <v>106</v>
      </c>
      <c r="F56">
        <v>46</v>
      </c>
      <c r="G56"/>
      <c r="H56" s="22">
        <f t="shared" si="7"/>
        <v>21.435469250725863</v>
      </c>
      <c r="I56" s="21">
        <f t="shared" si="8"/>
        <v>51.873582186040387</v>
      </c>
      <c r="J56" s="21">
        <f t="shared" si="5"/>
        <v>183.79173679952561</v>
      </c>
    </row>
    <row r="57" spans="1:10" x14ac:dyDescent="0.2">
      <c r="A57">
        <v>56</v>
      </c>
      <c r="B57" t="s">
        <v>128</v>
      </c>
      <c r="C57" t="s">
        <v>128</v>
      </c>
      <c r="D57">
        <v>39</v>
      </c>
      <c r="E57" t="s">
        <v>106</v>
      </c>
      <c r="F57">
        <v>47</v>
      </c>
      <c r="G57"/>
      <c r="H57" s="22">
        <f t="shared" si="7"/>
        <v>21.936499593892517</v>
      </c>
      <c r="I57" s="21">
        <f t="shared" si="8"/>
        <v>53.393594166801378</v>
      </c>
      <c r="J57" s="21">
        <f t="shared" si="5"/>
        <v>188.0876650053774</v>
      </c>
    </row>
    <row r="58" spans="1:10" x14ac:dyDescent="0.2">
      <c r="A58">
        <v>57</v>
      </c>
      <c r="C58" t="s">
        <v>129</v>
      </c>
      <c r="D58">
        <v>19</v>
      </c>
      <c r="E58" t="s">
        <v>64</v>
      </c>
      <c r="F58">
        <v>48</v>
      </c>
      <c r="G58"/>
      <c r="H58" s="22">
        <f t="shared" si="7"/>
        <v>22.44924096618746</v>
      </c>
      <c r="I58" s="21">
        <f t="shared" si="8"/>
        <v>54.958145898323558</v>
      </c>
      <c r="J58" s="21">
        <f t="shared" si="5"/>
        <v>192.48400577313868</v>
      </c>
    </row>
    <row r="59" spans="1:10" x14ac:dyDescent="0.2">
      <c r="A59">
        <v>58</v>
      </c>
      <c r="C59" t="s">
        <v>130</v>
      </c>
      <c r="D59">
        <v>22</v>
      </c>
      <c r="E59" t="s">
        <v>64</v>
      </c>
      <c r="F59">
        <v>49</v>
      </c>
      <c r="G59"/>
      <c r="H59" s="22">
        <f t="shared" si="7"/>
        <v>22.973967099940701</v>
      </c>
      <c r="I59" s="21">
        <f t="shared" si="8"/>
        <v>56.568542494923797</v>
      </c>
      <c r="J59" s="21">
        <f t="shared" si="5"/>
        <v>196.9831061351866</v>
      </c>
    </row>
    <row r="60" spans="1:10" x14ac:dyDescent="0.2">
      <c r="A60">
        <v>59</v>
      </c>
      <c r="C60" t="s">
        <v>131</v>
      </c>
      <c r="D60">
        <v>11</v>
      </c>
      <c r="E60" t="s">
        <v>64</v>
      </c>
      <c r="F60">
        <v>50</v>
      </c>
      <c r="G60"/>
      <c r="H60" s="22">
        <f t="shared" si="7"/>
        <v>23.510958125672175</v>
      </c>
      <c r="I60" s="21">
        <f t="shared" si="8"/>
        <v>58.226127313687492</v>
      </c>
      <c r="J60" s="21">
        <f t="shared" si="5"/>
        <v>201.58736798317966</v>
      </c>
    </row>
    <row r="61" spans="1:10" x14ac:dyDescent="0.2">
      <c r="A61">
        <v>60</v>
      </c>
      <c r="C61" t="s">
        <v>132</v>
      </c>
      <c r="D61">
        <v>16</v>
      </c>
      <c r="E61" t="s">
        <v>64</v>
      </c>
      <c r="F61">
        <v>51</v>
      </c>
      <c r="G61"/>
      <c r="H61" s="22">
        <f t="shared" si="7"/>
        <v>24.060500721642335</v>
      </c>
      <c r="I61" s="21">
        <f t="shared" si="8"/>
        <v>59.932283075067254</v>
      </c>
      <c r="J61" s="21">
        <f t="shared" si="5"/>
        <v>206.29924935033267</v>
      </c>
    </row>
    <row r="62" spans="1:10" x14ac:dyDescent="0.2">
      <c r="A62">
        <v>61</v>
      </c>
      <c r="B62" t="s">
        <v>133</v>
      </c>
      <c r="C62" t="s">
        <v>133</v>
      </c>
      <c r="D62">
        <v>5</v>
      </c>
      <c r="E62" t="s">
        <v>134</v>
      </c>
      <c r="F62">
        <v>52</v>
      </c>
      <c r="G62"/>
      <c r="H62" s="22">
        <f t="shared" si="7"/>
        <v>24.622888266898325</v>
      </c>
      <c r="I62" s="21">
        <f t="shared" si="8"/>
        <v>61.688433016317632</v>
      </c>
      <c r="J62" s="21">
        <f t="shared" si="5"/>
        <v>211.12126572366307</v>
      </c>
    </row>
    <row r="63" spans="1:10" x14ac:dyDescent="0.2">
      <c r="A63">
        <v>62</v>
      </c>
      <c r="B63" t="s">
        <v>135</v>
      </c>
      <c r="C63" t="s">
        <v>135</v>
      </c>
      <c r="D63">
        <v>7</v>
      </c>
      <c r="E63" t="s">
        <v>134</v>
      </c>
      <c r="F63">
        <v>53</v>
      </c>
      <c r="G63"/>
      <c r="H63" s="22">
        <f t="shared" si="7"/>
        <v>25.198420997897458</v>
      </c>
      <c r="I63" s="21">
        <f t="shared" si="8"/>
        <v>63.496042078727974</v>
      </c>
      <c r="J63" s="21">
        <f t="shared" si="5"/>
        <v>216.05599138691036</v>
      </c>
    </row>
    <row r="64" spans="1:10" x14ac:dyDescent="0.2">
      <c r="A64">
        <v>63</v>
      </c>
      <c r="B64" t="s">
        <v>136</v>
      </c>
      <c r="C64" t="s">
        <v>136</v>
      </c>
      <c r="D64">
        <v>8</v>
      </c>
      <c r="E64" t="s">
        <v>134</v>
      </c>
      <c r="F64">
        <v>54</v>
      </c>
      <c r="G64"/>
      <c r="H64" s="22">
        <f t="shared" si="7"/>
        <v>25.787406168791584</v>
      </c>
      <c r="I64" s="21">
        <f t="shared" si="8"/>
        <v>65.356618129643977</v>
      </c>
      <c r="J64" s="21">
        <f t="shared" si="5"/>
        <v>221.10606079484415</v>
      </c>
    </row>
    <row r="65" spans="1:10" x14ac:dyDescent="0.2">
      <c r="A65">
        <v>64</v>
      </c>
      <c r="B65" t="s">
        <v>137</v>
      </c>
      <c r="C65" t="s">
        <v>137</v>
      </c>
      <c r="D65">
        <v>12</v>
      </c>
      <c r="E65" t="s">
        <v>134</v>
      </c>
      <c r="F65">
        <v>55</v>
      </c>
      <c r="G65"/>
      <c r="H65" s="22">
        <f t="shared" si="7"/>
        <v>26.390158215457884</v>
      </c>
      <c r="I65" s="21">
        <f t="shared" si="8"/>
        <v>67.271713220297158</v>
      </c>
      <c r="J65" s="21">
        <f t="shared" si="5"/>
        <v>226.27416997969519</v>
      </c>
    </row>
    <row r="66" spans="1:10" x14ac:dyDescent="0.2">
      <c r="A66">
        <v>65</v>
      </c>
      <c r="B66" t="s">
        <v>138</v>
      </c>
      <c r="C66" t="s">
        <v>138</v>
      </c>
      <c r="D66">
        <v>13</v>
      </c>
      <c r="E66" t="s">
        <v>134</v>
      </c>
      <c r="F66">
        <v>56</v>
      </c>
      <c r="G66"/>
      <c r="H66" s="22">
        <f t="shared" si="7"/>
        <v>27.006998923363795</v>
      </c>
      <c r="I66" s="21">
        <f t="shared" si="8"/>
        <v>69.242924880491444</v>
      </c>
      <c r="J66" s="21">
        <f t="shared" si="5"/>
        <v>231.5630779904605</v>
      </c>
    </row>
    <row r="67" spans="1:10" x14ac:dyDescent="0.2">
      <c r="A67">
        <v>66</v>
      </c>
      <c r="B67" t="s">
        <v>139</v>
      </c>
      <c r="C67" t="s">
        <v>139</v>
      </c>
      <c r="D67">
        <v>14</v>
      </c>
      <c r="E67" t="s">
        <v>134</v>
      </c>
      <c r="F67">
        <v>57</v>
      </c>
      <c r="G67"/>
      <c r="H67" s="22">
        <f t="shared" si="7"/>
        <v>27.638257599355519</v>
      </c>
      <c r="I67" s="21">
        <f t="shared" si="8"/>
        <v>71.271897451227133</v>
      </c>
      <c r="J67" s="21">
        <f t="shared" si="5"/>
        <v>236.97560836585026</v>
      </c>
    </row>
    <row r="68" spans="1:10" x14ac:dyDescent="0.2">
      <c r="A68">
        <v>67</v>
      </c>
      <c r="B68" t="s">
        <v>140</v>
      </c>
      <c r="C68" t="s">
        <v>140</v>
      </c>
      <c r="D68">
        <v>15</v>
      </c>
      <c r="E68" t="s">
        <v>134</v>
      </c>
      <c r="F68">
        <v>58</v>
      </c>
      <c r="G68"/>
      <c r="H68" s="22">
        <f t="shared" si="7"/>
        <v>28.284271247461898</v>
      </c>
      <c r="I68" s="21">
        <f t="shared" si="8"/>
        <v>73.360323456373692</v>
      </c>
      <c r="J68" s="21">
        <f t="shared" si="5"/>
        <v>242.51465064166368</v>
      </c>
    </row>
    <row r="69" spans="1:10" x14ac:dyDescent="0.2">
      <c r="A69">
        <v>68</v>
      </c>
      <c r="C69" t="s">
        <v>141</v>
      </c>
      <c r="D69">
        <v>16</v>
      </c>
      <c r="E69" t="s">
        <v>134</v>
      </c>
      <c r="F69">
        <v>59</v>
      </c>
      <c r="G69"/>
      <c r="H69" s="22">
        <f t="shared" si="7"/>
        <v>28.945384748807562</v>
      </c>
      <c r="I69" s="21">
        <f t="shared" si="8"/>
        <v>75.509945014535475</v>
      </c>
      <c r="J69" s="21">
        <f t="shared" si="5"/>
        <v>248.18316189339751</v>
      </c>
    </row>
    <row r="70" spans="1:10" x14ac:dyDescent="0.2">
      <c r="A70">
        <v>69</v>
      </c>
      <c r="B70" t="s">
        <v>142</v>
      </c>
      <c r="C70" t="s">
        <v>142</v>
      </c>
      <c r="D70">
        <v>18</v>
      </c>
      <c r="E70" t="s">
        <v>134</v>
      </c>
      <c r="F70">
        <v>60</v>
      </c>
      <c r="G70"/>
      <c r="H70" s="22">
        <f t="shared" si="7"/>
        <v>29.621951045731283</v>
      </c>
      <c r="I70" s="21">
        <f t="shared" si="8"/>
        <v>77.722555292288462</v>
      </c>
      <c r="J70" s="21">
        <f t="shared" si="5"/>
        <v>253.9841683149119</v>
      </c>
    </row>
    <row r="71" spans="1:10" x14ac:dyDescent="0.2">
      <c r="A71">
        <v>70</v>
      </c>
      <c r="B71" t="s">
        <v>143</v>
      </c>
      <c r="C71" t="s">
        <v>143</v>
      </c>
      <c r="D71">
        <v>19</v>
      </c>
      <c r="E71" t="s">
        <v>134</v>
      </c>
      <c r="F71">
        <v>61</v>
      </c>
      <c r="G71"/>
      <c r="H71" s="22">
        <f t="shared" si="7"/>
        <v>30.31433133020796</v>
      </c>
      <c r="I71" s="21">
        <f t="shared" si="8"/>
        <v>80</v>
      </c>
      <c r="J71" s="21">
        <f t="shared" si="5"/>
        <v>259.92076683399534</v>
      </c>
    </row>
    <row r="72" spans="1:10" x14ac:dyDescent="0.2">
      <c r="A72">
        <v>71</v>
      </c>
      <c r="B72" t="s">
        <v>144</v>
      </c>
      <c r="C72" t="s">
        <v>144</v>
      </c>
      <c r="D72">
        <v>20</v>
      </c>
      <c r="E72" t="s">
        <v>134</v>
      </c>
      <c r="F72">
        <v>62</v>
      </c>
      <c r="G72"/>
      <c r="H72" s="22">
        <f t="shared" si="7"/>
        <v>31.022895236674689</v>
      </c>
      <c r="I72" s="21">
        <f t="shared" si="8"/>
        <v>82.344178931479348</v>
      </c>
      <c r="J72" s="21">
        <f t="shared" si="5"/>
        <v>265.99612676569211</v>
      </c>
    </row>
    <row r="73" spans="1:10" x14ac:dyDescent="0.2">
      <c r="A73">
        <v>72</v>
      </c>
      <c r="B73" t="s">
        <v>145</v>
      </c>
      <c r="C73" t="s">
        <v>145</v>
      </c>
      <c r="D73">
        <v>21</v>
      </c>
      <c r="E73" t="s">
        <v>134</v>
      </c>
      <c r="F73">
        <v>63</v>
      </c>
      <c r="G73"/>
      <c r="H73" s="22">
        <f t="shared" si="7"/>
        <v>31.748021039363987</v>
      </c>
      <c r="I73" s="21">
        <f t="shared" si="8"/>
        <v>84.757047548743628</v>
      </c>
      <c r="J73" s="21">
        <f t="shared" si="5"/>
        <v>272.2134915042738</v>
      </c>
    </row>
    <row r="74" spans="1:10" x14ac:dyDescent="0.2">
      <c r="A74">
        <v>73</v>
      </c>
      <c r="B74" t="s">
        <v>146</v>
      </c>
      <c r="C74" t="s">
        <v>146</v>
      </c>
      <c r="D74">
        <v>22</v>
      </c>
      <c r="E74" t="s">
        <v>134</v>
      </c>
      <c r="F74">
        <v>64</v>
      </c>
      <c r="G74"/>
      <c r="H74" s="22">
        <f t="shared" si="7"/>
        <v>32.490095854249418</v>
      </c>
      <c r="I74" s="21">
        <f t="shared" si="8"/>
        <v>87.240618613220619</v>
      </c>
      <c r="J74" s="21">
        <f t="shared" si="5"/>
        <v>278.57618025475972</v>
      </c>
    </row>
    <row r="75" spans="1:10" x14ac:dyDescent="0.2">
      <c r="A75">
        <v>74</v>
      </c>
      <c r="B75" t="s">
        <v>147</v>
      </c>
      <c r="C75" t="s">
        <v>147</v>
      </c>
      <c r="D75">
        <v>23</v>
      </c>
      <c r="E75" t="s">
        <v>134</v>
      </c>
      <c r="F75">
        <v>65</v>
      </c>
      <c r="G75"/>
      <c r="H75" s="22">
        <f t="shared" si="7"/>
        <v>33.249515845711514</v>
      </c>
      <c r="I75" s="21">
        <f t="shared" si="8"/>
        <v>89.796963864749827</v>
      </c>
      <c r="J75" s="21">
        <f t="shared" si="5"/>
        <v>285.08758980490853</v>
      </c>
    </row>
    <row r="76" spans="1:10" x14ac:dyDescent="0.2">
      <c r="A76">
        <v>75</v>
      </c>
      <c r="D76">
        <v>24</v>
      </c>
      <c r="E76" t="s">
        <v>134</v>
      </c>
      <c r="F76">
        <v>66</v>
      </c>
      <c r="G76"/>
      <c r="H76" s="22">
        <f t="shared" si="7"/>
        <v>34.026686438034226</v>
      </c>
      <c r="I76" s="21">
        <f t="shared" si="8"/>
        <v>92.428215749781856</v>
      </c>
      <c r="J76" s="21">
        <f t="shared" si="5"/>
        <v>291.75119633862937</v>
      </c>
    </row>
    <row r="77" spans="1:10" x14ac:dyDescent="0.2">
      <c r="A77">
        <v>76</v>
      </c>
      <c r="C77" t="s">
        <v>148</v>
      </c>
      <c r="D77">
        <v>25</v>
      </c>
      <c r="E77" t="s">
        <v>134</v>
      </c>
      <c r="F77">
        <v>67</v>
      </c>
      <c r="G77"/>
      <c r="H77" s="22">
        <f t="shared" si="7"/>
        <v>34.822022531844965</v>
      </c>
      <c r="I77" s="21">
        <f t="shared" si="8"/>
        <v>95.136569200217679</v>
      </c>
      <c r="J77" s="21">
        <f t="shared" si="5"/>
        <v>298.57055729177836</v>
      </c>
    </row>
    <row r="78" spans="1:10" x14ac:dyDescent="0.2">
      <c r="A78">
        <v>77</v>
      </c>
      <c r="B78" t="s">
        <v>149</v>
      </c>
      <c r="C78" t="s">
        <v>149</v>
      </c>
      <c r="D78">
        <v>28</v>
      </c>
      <c r="E78" t="s">
        <v>134</v>
      </c>
      <c r="F78">
        <v>68</v>
      </c>
      <c r="G78"/>
      <c r="H78" s="22">
        <f t="shared" si="7"/>
        <v>35.635948725613567</v>
      </c>
      <c r="I78" s="21">
        <f t="shared" si="8"/>
        <v>97.924283464372408</v>
      </c>
      <c r="J78" s="21">
        <f t="shared" si="5"/>
        <v>305.54931325133327</v>
      </c>
    </row>
    <row r="79" spans="1:10" x14ac:dyDescent="0.2">
      <c r="A79">
        <v>78</v>
      </c>
      <c r="B79" t="s">
        <v>150</v>
      </c>
      <c r="C79" t="s">
        <v>150</v>
      </c>
      <c r="D79">
        <v>29</v>
      </c>
      <c r="E79" t="s">
        <v>134</v>
      </c>
      <c r="F79">
        <v>69</v>
      </c>
      <c r="G79"/>
      <c r="H79" s="22">
        <f t="shared" si="7"/>
        <v>36.468899542328671</v>
      </c>
      <c r="I79" s="21">
        <f t="shared" si="8"/>
        <v>100.79368399158987</v>
      </c>
      <c r="J79" s="21">
        <f t="shared" si="5"/>
        <v>312.69118989895867</v>
      </c>
    </row>
    <row r="80" spans="1:10" x14ac:dyDescent="0.2">
      <c r="A80">
        <v>79</v>
      </c>
      <c r="B80" t="s">
        <v>151</v>
      </c>
      <c r="C80" t="s">
        <v>151</v>
      </c>
      <c r="D80">
        <v>33</v>
      </c>
      <c r="E80" t="s">
        <v>134</v>
      </c>
      <c r="F80">
        <v>70</v>
      </c>
      <c r="G80"/>
      <c r="H80" s="22">
        <f t="shared" si="7"/>
        <v>37.321319661472295</v>
      </c>
      <c r="I80" s="21">
        <f t="shared" si="8"/>
        <v>103.74716437208077</v>
      </c>
      <c r="J80" s="21">
        <f t="shared" si="5"/>
        <v>320</v>
      </c>
    </row>
    <row r="81" spans="1:10" x14ac:dyDescent="0.2">
      <c r="A81">
        <v>80</v>
      </c>
      <c r="B81" t="s">
        <v>152</v>
      </c>
      <c r="C81" t="s">
        <v>152</v>
      </c>
      <c r="D81">
        <v>34</v>
      </c>
      <c r="E81" t="s">
        <v>134</v>
      </c>
      <c r="F81">
        <v>71</v>
      </c>
      <c r="G81"/>
      <c r="H81" s="22">
        <f t="shared" si="7"/>
        <v>38.193664156416659</v>
      </c>
      <c r="I81" s="21">
        <f t="shared" si="8"/>
        <v>106.78718833360273</v>
      </c>
      <c r="J81" s="21">
        <f t="shared" si="5"/>
        <v>327.47964543896791</v>
      </c>
    </row>
    <row r="82" spans="1:10" x14ac:dyDescent="0.2">
      <c r="A82">
        <v>81</v>
      </c>
      <c r="B82" t="s">
        <v>153</v>
      </c>
      <c r="C82" t="s">
        <v>153</v>
      </c>
      <c r="D82">
        <v>35</v>
      </c>
      <c r="E82" t="s">
        <v>134</v>
      </c>
      <c r="F82">
        <v>72</v>
      </c>
      <c r="G82"/>
      <c r="H82" s="22">
        <f t="shared" si="7"/>
        <v>39.086398737369834</v>
      </c>
      <c r="I82" s="21">
        <f t="shared" si="8"/>
        <v>109.91629179664714</v>
      </c>
      <c r="J82" s="21">
        <f t="shared" si="5"/>
        <v>335.13411930260054</v>
      </c>
    </row>
    <row r="83" spans="1:10" x14ac:dyDescent="0.2">
      <c r="A83">
        <v>82</v>
      </c>
      <c r="B83" t="s">
        <v>154</v>
      </c>
      <c r="C83" t="s">
        <v>154</v>
      </c>
      <c r="D83">
        <v>36</v>
      </c>
      <c r="E83" t="s">
        <v>134</v>
      </c>
      <c r="F83">
        <v>73</v>
      </c>
      <c r="G83"/>
      <c r="H83" s="22">
        <f t="shared" si="7"/>
        <v>40</v>
      </c>
      <c r="I83" s="21">
        <f t="shared" si="8"/>
        <v>113.13708498984761</v>
      </c>
      <c r="J83" s="21">
        <f t="shared" si="5"/>
        <v>342.9675080116138</v>
      </c>
    </row>
    <row r="84" spans="1:10" x14ac:dyDescent="0.2">
      <c r="A84">
        <v>83</v>
      </c>
      <c r="B84" t="s">
        <v>155</v>
      </c>
      <c r="C84" t="s">
        <v>155</v>
      </c>
      <c r="D84">
        <v>38</v>
      </c>
      <c r="E84" t="s">
        <v>134</v>
      </c>
      <c r="F84">
        <v>74</v>
      </c>
      <c r="G84"/>
      <c r="H84" s="22">
        <f t="shared" si="7"/>
        <v>40.934955679870988</v>
      </c>
      <c r="I84" s="21">
        <f t="shared" si="8"/>
        <v>116.45225462737497</v>
      </c>
      <c r="J84" s="21">
        <f t="shared" si="5"/>
        <v>350.98399350228027</v>
      </c>
    </row>
    <row r="85" spans="1:10" x14ac:dyDescent="0.2">
      <c r="A85">
        <v>84</v>
      </c>
      <c r="B85" t="s">
        <v>156</v>
      </c>
      <c r="C85" t="s">
        <v>156</v>
      </c>
      <c r="D85">
        <v>39</v>
      </c>
      <c r="E85" t="s">
        <v>134</v>
      </c>
      <c r="F85">
        <v>75</v>
      </c>
      <c r="G85"/>
      <c r="H85" s="22">
        <f t="shared" si="7"/>
        <v>41.891764912825067</v>
      </c>
      <c r="I85" s="21">
        <f t="shared" si="8"/>
        <v>119.86456615013454</v>
      </c>
      <c r="J85" s="21">
        <f t="shared" ref="J85:J146" si="9">80*2^((F85-10)/30)</f>
        <v>359.18785545899931</v>
      </c>
    </row>
    <row r="86" spans="1:10" x14ac:dyDescent="0.2">
      <c r="A86">
        <v>85</v>
      </c>
      <c r="D86">
        <v>1</v>
      </c>
      <c r="E86" t="s">
        <v>157</v>
      </c>
      <c r="F86">
        <v>76</v>
      </c>
      <c r="G86"/>
      <c r="H86" s="22">
        <f t="shared" si="7"/>
        <v>42.870938501451725</v>
      </c>
      <c r="I86" s="21">
        <f t="shared" si="8"/>
        <v>123.37686603263526</v>
      </c>
      <c r="J86" s="21">
        <f t="shared" si="9"/>
        <v>367.58347359905116</v>
      </c>
    </row>
    <row r="87" spans="1:10" x14ac:dyDescent="0.2">
      <c r="A87">
        <v>86</v>
      </c>
      <c r="D87">
        <v>1</v>
      </c>
      <c r="E87" t="s">
        <v>157</v>
      </c>
      <c r="F87">
        <v>77</v>
      </c>
      <c r="G87"/>
      <c r="H87" s="22">
        <f t="shared" si="7"/>
        <v>43.872999187785034</v>
      </c>
      <c r="I87" s="21">
        <f t="shared" si="8"/>
        <v>126.99208415745595</v>
      </c>
      <c r="J87" s="21">
        <f t="shared" si="9"/>
        <v>376.17533001075469</v>
      </c>
    </row>
    <row r="88" spans="1:10" x14ac:dyDescent="0.2">
      <c r="A88">
        <v>87</v>
      </c>
      <c r="D88">
        <v>1</v>
      </c>
      <c r="E88" t="s">
        <v>157</v>
      </c>
      <c r="F88">
        <v>78</v>
      </c>
      <c r="G88"/>
      <c r="H88" s="22">
        <f t="shared" ref="H88:H151" si="10">10*2^((ROW()-23)/30)</f>
        <v>44.898481932374914</v>
      </c>
      <c r="I88" s="21">
        <f t="shared" ref="I88:I151" si="11">20*2^((F88-$F$23)/24)</f>
        <v>130.71323625928798</v>
      </c>
      <c r="J88" s="21">
        <f t="shared" si="9"/>
        <v>384.96801154627724</v>
      </c>
    </row>
    <row r="89" spans="1:10" x14ac:dyDescent="0.2">
      <c r="A89">
        <v>88</v>
      </c>
      <c r="D89">
        <v>1</v>
      </c>
      <c r="E89" t="s">
        <v>157</v>
      </c>
      <c r="F89">
        <v>79</v>
      </c>
      <c r="G89"/>
      <c r="H89" s="22">
        <f t="shared" si="10"/>
        <v>45.947934199881395</v>
      </c>
      <c r="I89" s="21">
        <f t="shared" si="11"/>
        <v>134.54342644059435</v>
      </c>
      <c r="J89" s="21">
        <f t="shared" si="9"/>
        <v>393.96621227037315</v>
      </c>
    </row>
    <row r="90" spans="1:10" x14ac:dyDescent="0.2">
      <c r="A90">
        <v>89</v>
      </c>
      <c r="D90">
        <v>1</v>
      </c>
      <c r="E90" t="s">
        <v>157</v>
      </c>
      <c r="F90">
        <v>80</v>
      </c>
      <c r="G90"/>
      <c r="H90" s="22">
        <f t="shared" si="10"/>
        <v>47.021916251344337</v>
      </c>
      <c r="I90" s="21">
        <f t="shared" si="11"/>
        <v>138.48584976098289</v>
      </c>
      <c r="J90" s="21">
        <f t="shared" si="9"/>
        <v>403.17473596635949</v>
      </c>
    </row>
    <row r="91" spans="1:10" x14ac:dyDescent="0.2">
      <c r="A91">
        <v>90</v>
      </c>
      <c r="D91">
        <v>1</v>
      </c>
      <c r="E91" t="s">
        <v>157</v>
      </c>
      <c r="F91">
        <v>81</v>
      </c>
      <c r="G91"/>
      <c r="H91" s="22">
        <f t="shared" si="10"/>
        <v>48.121001443284655</v>
      </c>
      <c r="I91" s="21">
        <f t="shared" si="11"/>
        <v>142.54379490245429</v>
      </c>
      <c r="J91" s="21">
        <f t="shared" si="9"/>
        <v>412.5984987006654</v>
      </c>
    </row>
    <row r="92" spans="1:10" x14ac:dyDescent="0.2">
      <c r="A92">
        <v>91</v>
      </c>
      <c r="D92">
        <v>1</v>
      </c>
      <c r="E92" t="s">
        <v>157</v>
      </c>
      <c r="F92">
        <v>82</v>
      </c>
      <c r="G92"/>
      <c r="H92" s="22">
        <f t="shared" si="10"/>
        <v>49.245776533796644</v>
      </c>
      <c r="I92" s="21">
        <f t="shared" si="11"/>
        <v>146.72064691274738</v>
      </c>
      <c r="J92" s="21">
        <f t="shared" si="9"/>
        <v>422.24253144732614</v>
      </c>
    </row>
    <row r="93" spans="1:10" x14ac:dyDescent="0.2">
      <c r="A93">
        <v>92</v>
      </c>
      <c r="D93">
        <v>1</v>
      </c>
      <c r="E93" t="s">
        <v>157</v>
      </c>
      <c r="F93">
        <v>83</v>
      </c>
      <c r="G93"/>
      <c r="H93" s="22">
        <f t="shared" si="10"/>
        <v>50.396841995794937</v>
      </c>
      <c r="I93" s="21">
        <f t="shared" si="11"/>
        <v>151.01989002907092</v>
      </c>
      <c r="J93" s="21">
        <f t="shared" si="9"/>
        <v>432.11198277382067</v>
      </c>
    </row>
    <row r="94" spans="1:10" x14ac:dyDescent="0.2">
      <c r="A94">
        <v>93</v>
      </c>
      <c r="D94">
        <v>1</v>
      </c>
      <c r="E94" t="s">
        <v>157</v>
      </c>
      <c r="F94">
        <v>84</v>
      </c>
      <c r="G94"/>
      <c r="H94" s="22">
        <f t="shared" si="10"/>
        <v>51.574812337583175</v>
      </c>
      <c r="I94" s="21">
        <f t="shared" si="11"/>
        <v>155.44511058457698</v>
      </c>
      <c r="J94" s="21">
        <f t="shared" si="9"/>
        <v>442.21212158968842</v>
      </c>
    </row>
    <row r="95" spans="1:10" x14ac:dyDescent="0.2">
      <c r="A95">
        <v>94</v>
      </c>
      <c r="B95" t="s">
        <v>158</v>
      </c>
      <c r="C95" t="s">
        <v>158</v>
      </c>
      <c r="D95">
        <v>24</v>
      </c>
      <c r="E95" t="s">
        <v>59</v>
      </c>
      <c r="F95">
        <v>85</v>
      </c>
      <c r="G95"/>
      <c r="H95" s="22">
        <f t="shared" si="10"/>
        <v>52.780316430915768</v>
      </c>
      <c r="I95" s="21">
        <f t="shared" si="11"/>
        <v>160</v>
      </c>
      <c r="J95" s="21">
        <f t="shared" si="9"/>
        <v>452.54833995939043</v>
      </c>
    </row>
    <row r="96" spans="1:10" x14ac:dyDescent="0.2">
      <c r="A96">
        <v>95</v>
      </c>
      <c r="B96" t="s">
        <v>159</v>
      </c>
      <c r="C96" t="s">
        <v>159</v>
      </c>
      <c r="D96">
        <v>24</v>
      </c>
      <c r="E96" t="s">
        <v>106</v>
      </c>
      <c r="F96">
        <v>86</v>
      </c>
      <c r="G96"/>
      <c r="H96" s="22">
        <f t="shared" si="10"/>
        <v>54.013997846727584</v>
      </c>
      <c r="I96" s="21">
        <f t="shared" si="11"/>
        <v>164.6883578629587</v>
      </c>
      <c r="J96" s="21">
        <f t="shared" si="9"/>
        <v>463.12615598092094</v>
      </c>
    </row>
    <row r="97" spans="1:16" x14ac:dyDescent="0.2">
      <c r="A97">
        <v>96</v>
      </c>
      <c r="B97" t="s">
        <v>160</v>
      </c>
      <c r="C97" t="s">
        <v>160</v>
      </c>
      <c r="D97">
        <v>24</v>
      </c>
      <c r="E97" t="s">
        <v>134</v>
      </c>
      <c r="F97">
        <v>87</v>
      </c>
      <c r="G97"/>
      <c r="H97" s="22">
        <f t="shared" si="10"/>
        <v>55.276515198711053</v>
      </c>
      <c r="I97" s="21">
        <f t="shared" si="11"/>
        <v>169.51409509748726</v>
      </c>
      <c r="J97" s="21">
        <f t="shared" si="9"/>
        <v>473.95121673170058</v>
      </c>
    </row>
    <row r="98" spans="1:16" x14ac:dyDescent="0.2">
      <c r="F98">
        <v>88</v>
      </c>
      <c r="G98"/>
      <c r="H98" s="22">
        <f t="shared" si="10"/>
        <v>56.568542494923804</v>
      </c>
      <c r="I98" s="21">
        <f t="shared" si="11"/>
        <v>174.48123722644124</v>
      </c>
      <c r="J98" s="21">
        <f t="shared" si="9"/>
        <v>485.02930128332736</v>
      </c>
    </row>
    <row r="99" spans="1:16" x14ac:dyDescent="0.2">
      <c r="F99">
        <v>89</v>
      </c>
      <c r="G99"/>
      <c r="H99" s="22">
        <f t="shared" si="10"/>
        <v>57.890769497615118</v>
      </c>
      <c r="I99" s="21">
        <f t="shared" si="11"/>
        <v>179.59392772949963</v>
      </c>
      <c r="J99" s="21">
        <f t="shared" si="9"/>
        <v>496.36632378679508</v>
      </c>
    </row>
    <row r="100" spans="1:16" x14ac:dyDescent="0.2">
      <c r="F100">
        <v>90</v>
      </c>
      <c r="G100"/>
      <c r="H100" s="22">
        <f t="shared" si="10"/>
        <v>59.243902091462573</v>
      </c>
      <c r="I100" s="21">
        <f t="shared" si="11"/>
        <v>184.85643149956371</v>
      </c>
      <c r="J100" s="21">
        <f t="shared" si="9"/>
        <v>507.9683366298238</v>
      </c>
    </row>
    <row r="101" spans="1:16" x14ac:dyDescent="0.2">
      <c r="F101">
        <v>91</v>
      </c>
      <c r="G101"/>
      <c r="H101" s="22">
        <f t="shared" si="10"/>
        <v>60.62866266041592</v>
      </c>
      <c r="I101" s="21">
        <f t="shared" si="11"/>
        <v>190.27313840043533</v>
      </c>
      <c r="J101" s="21">
        <f t="shared" si="9"/>
        <v>519.8415336679908</v>
      </c>
    </row>
    <row r="102" spans="1:16" x14ac:dyDescent="0.2">
      <c r="F102">
        <v>92</v>
      </c>
      <c r="G102"/>
      <c r="H102" s="22">
        <f t="shared" si="10"/>
        <v>62.045790473349385</v>
      </c>
      <c r="I102" s="21">
        <f t="shared" si="11"/>
        <v>195.84856692874482</v>
      </c>
      <c r="J102" s="21">
        <f t="shared" si="9"/>
        <v>531.99225353138422</v>
      </c>
    </row>
    <row r="103" spans="1:16" x14ac:dyDescent="0.2">
      <c r="F103">
        <v>93</v>
      </c>
      <c r="G103"/>
      <c r="H103" s="22">
        <f t="shared" si="10"/>
        <v>63.496042078727974</v>
      </c>
      <c r="I103" s="21">
        <f t="shared" si="11"/>
        <v>201.58736798317972</v>
      </c>
      <c r="J103" s="21">
        <f t="shared" si="9"/>
        <v>544.42698300854761</v>
      </c>
    </row>
    <row r="104" spans="1:16" x14ac:dyDescent="0.2">
      <c r="F104">
        <v>94</v>
      </c>
      <c r="G104"/>
      <c r="H104" s="22">
        <f t="shared" si="10"/>
        <v>64.98019170849885</v>
      </c>
      <c r="I104" s="21">
        <f t="shared" si="11"/>
        <v>207.49432874416158</v>
      </c>
      <c r="J104" s="21">
        <f t="shared" si="9"/>
        <v>557.15236050951933</v>
      </c>
    </row>
    <row r="105" spans="1:16" x14ac:dyDescent="0.2">
      <c r="F105">
        <v>95</v>
      </c>
      <c r="G105"/>
      <c r="H105" s="22">
        <f t="shared" si="10"/>
        <v>66.499031691423028</v>
      </c>
      <c r="I105" s="21">
        <f t="shared" si="11"/>
        <v>213.57437666720543</v>
      </c>
      <c r="J105" s="21">
        <f t="shared" si="9"/>
        <v>570.17517960981718</v>
      </c>
    </row>
    <row r="106" spans="1:16" x14ac:dyDescent="0.2">
      <c r="F106">
        <v>96</v>
      </c>
      <c r="G106"/>
      <c r="H106" s="22">
        <f t="shared" si="10"/>
        <v>68.053372876068451</v>
      </c>
      <c r="I106" s="21">
        <f t="shared" si="11"/>
        <v>219.83258359329429</v>
      </c>
      <c r="J106" s="21">
        <f t="shared" si="9"/>
        <v>583.50239267725874</v>
      </c>
    </row>
    <row r="107" spans="1:16" x14ac:dyDescent="0.2">
      <c r="F107">
        <v>97</v>
      </c>
      <c r="G107"/>
      <c r="H107" s="22">
        <f t="shared" si="10"/>
        <v>69.644045063689916</v>
      </c>
      <c r="I107" s="21">
        <f t="shared" si="11"/>
        <v>226.27416997969519</v>
      </c>
      <c r="J107" s="21">
        <f t="shared" si="9"/>
        <v>597.1411145835566</v>
      </c>
    </row>
    <row r="108" spans="1:16" x14ac:dyDescent="0.2">
      <c r="F108">
        <v>98</v>
      </c>
      <c r="G108"/>
      <c r="H108" s="22">
        <f t="shared" si="10"/>
        <v>71.271897451227147</v>
      </c>
      <c r="I108" s="21">
        <f t="shared" si="11"/>
        <v>232.90450925474997</v>
      </c>
      <c r="J108" s="21">
        <f t="shared" si="9"/>
        <v>611.09862650266655</v>
      </c>
    </row>
    <row r="109" spans="1:16" x14ac:dyDescent="0.2">
      <c r="F109">
        <v>99</v>
      </c>
      <c r="G109"/>
      <c r="H109" s="22">
        <f t="shared" si="10"/>
        <v>72.937799084657343</v>
      </c>
      <c r="I109" s="21">
        <f t="shared" si="11"/>
        <v>239.72913230026904</v>
      </c>
      <c r="J109" s="21">
        <f t="shared" si="9"/>
        <v>625.38237979791745</v>
      </c>
      <c r="M109" s="5" t="s">
        <v>228</v>
      </c>
      <c r="N109" t="s">
        <v>229</v>
      </c>
      <c r="O109" t="s">
        <v>238</v>
      </c>
      <c r="P109" t="s">
        <v>239</v>
      </c>
    </row>
    <row r="110" spans="1:16" x14ac:dyDescent="0.2">
      <c r="A110" s="13"/>
      <c r="B110" s="1"/>
      <c r="C110" s="1"/>
      <c r="D110" s="1"/>
      <c r="F110">
        <v>100</v>
      </c>
      <c r="G110"/>
      <c r="H110" s="22">
        <f t="shared" si="10"/>
        <v>74.642639322944575</v>
      </c>
      <c r="I110" s="21">
        <f t="shared" si="11"/>
        <v>246.75373206527055</v>
      </c>
      <c r="J110" s="21">
        <f t="shared" si="9"/>
        <v>640</v>
      </c>
    </row>
    <row r="111" spans="1:16" x14ac:dyDescent="0.2">
      <c r="F111">
        <v>101</v>
      </c>
      <c r="G111"/>
      <c r="H111" s="22">
        <f t="shared" si="10"/>
        <v>76.387328312833318</v>
      </c>
      <c r="I111" s="21">
        <f t="shared" si="11"/>
        <v>253.98416831491187</v>
      </c>
      <c r="J111" s="21">
        <f t="shared" si="9"/>
        <v>654.95929087793593</v>
      </c>
      <c r="M111" t="s">
        <v>254</v>
      </c>
      <c r="N111" t="s">
        <v>332</v>
      </c>
      <c r="P111" s="16" t="s">
        <v>263</v>
      </c>
    </row>
    <row r="112" spans="1:16" x14ac:dyDescent="0.2">
      <c r="F112">
        <v>102</v>
      </c>
      <c r="G112"/>
      <c r="H112" s="22">
        <f t="shared" si="10"/>
        <v>78.172797474739681</v>
      </c>
      <c r="I112" s="21">
        <f t="shared" si="11"/>
        <v>261.42647251857591</v>
      </c>
      <c r="J112" s="21">
        <f t="shared" si="9"/>
        <v>670.2682386052013</v>
      </c>
      <c r="M112" s="1">
        <v>0</v>
      </c>
      <c r="N112" s="1">
        <v>1</v>
      </c>
      <c r="O112" s="37"/>
      <c r="P112" s="1"/>
    </row>
    <row r="113" spans="6:10" x14ac:dyDescent="0.2">
      <c r="F113">
        <v>103</v>
      </c>
      <c r="G113"/>
      <c r="H113" s="22">
        <f t="shared" si="10"/>
        <v>80</v>
      </c>
      <c r="I113" s="21">
        <f t="shared" si="11"/>
        <v>269.08685288118863</v>
      </c>
      <c r="J113" s="21">
        <f t="shared" si="9"/>
        <v>685.93501602322749</v>
      </c>
    </row>
    <row r="114" spans="6:10" x14ac:dyDescent="0.2">
      <c r="F114">
        <v>104</v>
      </c>
      <c r="G114"/>
      <c r="H114" s="22">
        <f t="shared" si="10"/>
        <v>81.869911359741991</v>
      </c>
      <c r="I114" s="21">
        <f t="shared" si="11"/>
        <v>276.97169952196577</v>
      </c>
      <c r="J114" s="21">
        <f t="shared" si="9"/>
        <v>701.96798700456054</v>
      </c>
    </row>
    <row r="115" spans="6:10" x14ac:dyDescent="0.2">
      <c r="F115">
        <v>105</v>
      </c>
      <c r="G115"/>
      <c r="H115" s="22">
        <f t="shared" si="10"/>
        <v>83.783529825650163</v>
      </c>
      <c r="I115" s="21">
        <f t="shared" si="11"/>
        <v>285.08758980490859</v>
      </c>
      <c r="J115" s="21">
        <f t="shared" si="9"/>
        <v>718.3757109179985</v>
      </c>
    </row>
    <row r="116" spans="6:10" x14ac:dyDescent="0.2">
      <c r="F116">
        <v>106</v>
      </c>
      <c r="G116"/>
      <c r="H116" s="22">
        <f t="shared" si="10"/>
        <v>85.741877002903436</v>
      </c>
      <c r="I116" s="21">
        <f t="shared" si="11"/>
        <v>293.44129382549482</v>
      </c>
      <c r="J116" s="21">
        <f t="shared" si="9"/>
        <v>735.16694719810232</v>
      </c>
    </row>
    <row r="117" spans="6:10" x14ac:dyDescent="0.2">
      <c r="F117">
        <v>107</v>
      </c>
      <c r="G117"/>
      <c r="H117" s="22">
        <f t="shared" si="10"/>
        <v>87.745998375570068</v>
      </c>
      <c r="I117" s="21">
        <f t="shared" si="11"/>
        <v>302.03978005814184</v>
      </c>
      <c r="J117" s="21">
        <f t="shared" si="9"/>
        <v>752.35066002150961</v>
      </c>
    </row>
    <row r="118" spans="6:10" x14ac:dyDescent="0.2">
      <c r="F118">
        <v>108</v>
      </c>
      <c r="G118"/>
      <c r="H118" s="22">
        <f t="shared" si="10"/>
        <v>89.796963864749813</v>
      </c>
      <c r="I118" s="21">
        <f t="shared" si="11"/>
        <v>310.89022116915385</v>
      </c>
      <c r="J118" s="21">
        <f t="shared" si="9"/>
        <v>769.93602309255436</v>
      </c>
    </row>
    <row r="119" spans="6:10" x14ac:dyDescent="0.2">
      <c r="F119">
        <v>109</v>
      </c>
      <c r="G119"/>
      <c r="H119" s="22">
        <f t="shared" si="10"/>
        <v>91.89586839976279</v>
      </c>
      <c r="I119" s="21">
        <f t="shared" si="11"/>
        <v>320</v>
      </c>
      <c r="J119" s="21">
        <f t="shared" si="9"/>
        <v>787.9324245407463</v>
      </c>
    </row>
    <row r="120" spans="6:10" x14ac:dyDescent="0.2">
      <c r="F120">
        <v>110</v>
      </c>
      <c r="G120"/>
      <c r="H120" s="22">
        <f t="shared" si="10"/>
        <v>94.043832502688701</v>
      </c>
      <c r="I120" s="21">
        <f t="shared" si="11"/>
        <v>329.37671572591745</v>
      </c>
      <c r="J120" s="21">
        <f t="shared" si="9"/>
        <v>806.34947193271887</v>
      </c>
    </row>
    <row r="121" spans="6:10" x14ac:dyDescent="0.2">
      <c r="F121">
        <v>111</v>
      </c>
      <c r="G121"/>
      <c r="H121" s="22">
        <f t="shared" si="10"/>
        <v>96.242002886569296</v>
      </c>
      <c r="I121" s="21">
        <f t="shared" si="11"/>
        <v>339.02819019497434</v>
      </c>
      <c r="J121" s="21">
        <f t="shared" si="9"/>
        <v>825.1969974013308</v>
      </c>
    </row>
    <row r="122" spans="6:10" x14ac:dyDescent="0.2">
      <c r="F122">
        <v>112</v>
      </c>
      <c r="G122"/>
      <c r="H122" s="22">
        <f t="shared" si="10"/>
        <v>98.491553067593287</v>
      </c>
      <c r="I122" s="21">
        <f t="shared" si="11"/>
        <v>348.9624744528823</v>
      </c>
      <c r="J122" s="21">
        <f t="shared" si="9"/>
        <v>844.48506289465217</v>
      </c>
    </row>
    <row r="123" spans="6:10" x14ac:dyDescent="0.2">
      <c r="F123">
        <v>113</v>
      </c>
      <c r="G123"/>
      <c r="H123" s="22">
        <f t="shared" si="10"/>
        <v>100.79368399158986</v>
      </c>
      <c r="I123" s="21">
        <f t="shared" si="11"/>
        <v>359.18785545899942</v>
      </c>
      <c r="J123" s="21">
        <f t="shared" si="9"/>
        <v>864.22396554764123</v>
      </c>
    </row>
    <row r="124" spans="6:10" x14ac:dyDescent="0.2">
      <c r="F124">
        <v>114</v>
      </c>
      <c r="G124"/>
      <c r="H124" s="22">
        <f t="shared" si="10"/>
        <v>103.14962467516635</v>
      </c>
      <c r="I124" s="21">
        <f t="shared" si="11"/>
        <v>369.71286299912731</v>
      </c>
      <c r="J124" s="21">
        <f t="shared" si="9"/>
        <v>884.42424317937684</v>
      </c>
    </row>
    <row r="125" spans="6:10" x14ac:dyDescent="0.2">
      <c r="F125">
        <v>115</v>
      </c>
      <c r="G125"/>
      <c r="H125" s="22">
        <f t="shared" si="10"/>
        <v>105.56063286183152</v>
      </c>
      <c r="I125" s="21">
        <f t="shared" si="11"/>
        <v>380.54627680087071</v>
      </c>
      <c r="J125" s="21">
        <f t="shared" si="9"/>
        <v>905.09667991878075</v>
      </c>
    </row>
    <row r="126" spans="6:10" x14ac:dyDescent="0.2">
      <c r="F126">
        <v>116</v>
      </c>
      <c r="G126"/>
      <c r="H126" s="22">
        <f t="shared" si="10"/>
        <v>108.02799569345515</v>
      </c>
      <c r="I126" s="21">
        <f t="shared" si="11"/>
        <v>391.69713385748969</v>
      </c>
      <c r="J126" s="21">
        <f t="shared" si="9"/>
        <v>926.252311961842</v>
      </c>
    </row>
    <row r="127" spans="6:10" x14ac:dyDescent="0.2">
      <c r="F127">
        <v>117</v>
      </c>
      <c r="G127"/>
      <c r="H127" s="22">
        <f t="shared" si="10"/>
        <v>110.55303039742211</v>
      </c>
      <c r="I127" s="21">
        <f t="shared" si="11"/>
        <v>403.17473596635926</v>
      </c>
      <c r="J127" s="21">
        <f t="shared" si="9"/>
        <v>947.90243346340139</v>
      </c>
    </row>
    <row r="128" spans="6:10" x14ac:dyDescent="0.2">
      <c r="F128">
        <v>118</v>
      </c>
      <c r="G128"/>
      <c r="H128" s="22">
        <f t="shared" si="10"/>
        <v>113.13708498984759</v>
      </c>
      <c r="I128" s="21">
        <f t="shared" si="11"/>
        <v>414.98865748832293</v>
      </c>
      <c r="J128" s="21">
        <f t="shared" si="9"/>
        <v>970.05860256665471</v>
      </c>
    </row>
    <row r="129" spans="6:10" x14ac:dyDescent="0.2">
      <c r="F129">
        <v>119</v>
      </c>
      <c r="G129"/>
      <c r="H129" s="22">
        <f t="shared" si="10"/>
        <v>115.78153899523025</v>
      </c>
      <c r="I129" s="21">
        <f t="shared" si="11"/>
        <v>427.14875333441108</v>
      </c>
      <c r="J129" s="21">
        <f t="shared" si="9"/>
        <v>992.73264757359016</v>
      </c>
    </row>
    <row r="130" spans="6:10" x14ac:dyDescent="0.2">
      <c r="F130">
        <v>120</v>
      </c>
      <c r="G130"/>
      <c r="H130" s="22">
        <f t="shared" si="10"/>
        <v>118.48780418292517</v>
      </c>
      <c r="I130" s="21">
        <f t="shared" si="11"/>
        <v>439.66516718658846</v>
      </c>
      <c r="J130" s="21">
        <f t="shared" si="9"/>
        <v>1015.9366732596475</v>
      </c>
    </row>
    <row r="131" spans="6:10" x14ac:dyDescent="0.2">
      <c r="F131">
        <v>121</v>
      </c>
      <c r="G131"/>
      <c r="H131" s="22">
        <f t="shared" si="10"/>
        <v>121.25732532083184</v>
      </c>
      <c r="I131" s="21">
        <f t="shared" si="11"/>
        <v>452.54833995939038</v>
      </c>
      <c r="J131" s="21">
        <f t="shared" si="9"/>
        <v>1039.6830673359814</v>
      </c>
    </row>
    <row r="132" spans="6:10" x14ac:dyDescent="0.2">
      <c r="F132">
        <v>122</v>
      </c>
      <c r="G132"/>
      <c r="H132" s="22">
        <f t="shared" si="10"/>
        <v>124.09158094669877</v>
      </c>
      <c r="I132" s="21">
        <f t="shared" si="11"/>
        <v>465.80901850949999</v>
      </c>
      <c r="J132" s="21">
        <f t="shared" si="9"/>
        <v>1063.9845070627684</v>
      </c>
    </row>
    <row r="133" spans="6:10" x14ac:dyDescent="0.2">
      <c r="F133">
        <v>123</v>
      </c>
      <c r="G133"/>
      <c r="H133" s="22">
        <f t="shared" si="10"/>
        <v>126.99208415745593</v>
      </c>
      <c r="I133" s="21">
        <f t="shared" si="11"/>
        <v>479.45826460053797</v>
      </c>
      <c r="J133" s="21">
        <f t="shared" si="9"/>
        <v>1088.853966017095</v>
      </c>
    </row>
    <row r="134" spans="6:10" x14ac:dyDescent="0.2">
      <c r="F134">
        <v>124</v>
      </c>
      <c r="G134"/>
      <c r="H134" s="22">
        <f t="shared" si="10"/>
        <v>129.96038341699767</v>
      </c>
      <c r="I134" s="21">
        <f t="shared" si="11"/>
        <v>493.50746413054094</v>
      </c>
      <c r="J134" s="21">
        <f t="shared" si="9"/>
        <v>1114.3047210190387</v>
      </c>
    </row>
    <row r="135" spans="6:10" x14ac:dyDescent="0.2">
      <c r="F135">
        <v>125</v>
      </c>
      <c r="G135"/>
      <c r="H135" s="22">
        <f t="shared" si="10"/>
        <v>132.99806338284606</v>
      </c>
      <c r="I135" s="21">
        <f t="shared" si="11"/>
        <v>507.96833662982397</v>
      </c>
      <c r="J135" s="21">
        <f t="shared" si="9"/>
        <v>1140.3503592196344</v>
      </c>
    </row>
    <row r="136" spans="6:10" x14ac:dyDescent="0.2">
      <c r="F136">
        <v>126</v>
      </c>
      <c r="G136"/>
      <c r="H136" s="22">
        <f t="shared" si="10"/>
        <v>136.10674575213687</v>
      </c>
      <c r="I136" s="21">
        <f t="shared" si="11"/>
        <v>522.85294503715193</v>
      </c>
      <c r="J136" s="21">
        <f t="shared" si="9"/>
        <v>1167.0047853545173</v>
      </c>
    </row>
    <row r="137" spans="6:10" x14ac:dyDescent="0.2">
      <c r="F137">
        <v>127</v>
      </c>
      <c r="G137"/>
      <c r="H137" s="22">
        <f t="shared" si="10"/>
        <v>139.28809012737983</v>
      </c>
      <c r="I137" s="21">
        <f t="shared" si="11"/>
        <v>538.17370576237727</v>
      </c>
      <c r="J137" s="21">
        <f t="shared" si="9"/>
        <v>1194.2822291671134</v>
      </c>
    </row>
    <row r="138" spans="6:10" x14ac:dyDescent="0.2">
      <c r="F138">
        <v>128</v>
      </c>
      <c r="G138"/>
      <c r="H138" s="22">
        <f t="shared" si="10"/>
        <v>142.54379490245429</v>
      </c>
      <c r="I138" s="21">
        <f t="shared" si="11"/>
        <v>553.94339904393155</v>
      </c>
      <c r="J138" s="21">
        <f t="shared" si="9"/>
        <v>1222.1972530053326</v>
      </c>
    </row>
    <row r="139" spans="6:10" x14ac:dyDescent="0.2">
      <c r="F139">
        <v>129</v>
      </c>
      <c r="G139"/>
      <c r="H139" s="22">
        <f t="shared" si="10"/>
        <v>145.87559816931466</v>
      </c>
      <c r="I139" s="21">
        <f t="shared" si="11"/>
        <v>570.17517960981695</v>
      </c>
      <c r="J139" s="21">
        <f t="shared" si="9"/>
        <v>1250.7647595958351</v>
      </c>
    </row>
    <row r="140" spans="6:10" x14ac:dyDescent="0.2">
      <c r="F140">
        <v>130</v>
      </c>
      <c r="G140"/>
      <c r="H140" s="22">
        <f t="shared" si="10"/>
        <v>149.28527864588918</v>
      </c>
      <c r="I140" s="21">
        <f t="shared" si="11"/>
        <v>586.88258765098942</v>
      </c>
      <c r="J140" s="21">
        <f t="shared" si="9"/>
        <v>1280</v>
      </c>
    </row>
    <row r="141" spans="6:10" x14ac:dyDescent="0.2">
      <c r="F141">
        <v>131</v>
      </c>
      <c r="G141"/>
      <c r="H141" s="22">
        <f t="shared" si="10"/>
        <v>152.77465662566658</v>
      </c>
      <c r="I141" s="21">
        <f t="shared" si="11"/>
        <v>604.07956011628403</v>
      </c>
      <c r="J141" s="21">
        <f t="shared" si="9"/>
        <v>1309.9185817558714</v>
      </c>
    </row>
    <row r="142" spans="6:10" x14ac:dyDescent="0.2">
      <c r="F142">
        <v>132</v>
      </c>
      <c r="G142"/>
      <c r="H142" s="22">
        <f t="shared" si="10"/>
        <v>156.34559494947939</v>
      </c>
      <c r="I142" s="21">
        <f t="shared" si="11"/>
        <v>621.78044233830735</v>
      </c>
      <c r="J142" s="21">
        <f t="shared" si="9"/>
        <v>1340.5364772104019</v>
      </c>
    </row>
    <row r="143" spans="6:10" x14ac:dyDescent="0.2">
      <c r="F143">
        <v>133</v>
      </c>
      <c r="G143"/>
      <c r="H143" s="22">
        <f t="shared" si="10"/>
        <v>160</v>
      </c>
      <c r="I143" s="21">
        <f t="shared" si="11"/>
        <v>640</v>
      </c>
      <c r="J143" s="21">
        <f t="shared" si="9"/>
        <v>1371.8700320464545</v>
      </c>
    </row>
    <row r="144" spans="6:10" x14ac:dyDescent="0.2">
      <c r="F144">
        <v>134</v>
      </c>
      <c r="G144"/>
      <c r="H144" s="22">
        <f t="shared" si="10"/>
        <v>163.73982271948393</v>
      </c>
      <c r="I144" s="21">
        <f t="shared" si="11"/>
        <v>658.7534314518349</v>
      </c>
      <c r="J144" s="21">
        <f t="shared" si="9"/>
        <v>1403.9359740091213</v>
      </c>
    </row>
    <row r="145" spans="6:10" x14ac:dyDescent="0.2">
      <c r="F145">
        <v>135</v>
      </c>
      <c r="G145"/>
      <c r="H145" s="22">
        <f t="shared" si="10"/>
        <v>167.56705965130024</v>
      </c>
      <c r="I145" s="21">
        <f t="shared" si="11"/>
        <v>678.05638038994869</v>
      </c>
      <c r="J145" s="21">
        <f t="shared" si="9"/>
        <v>1436.7514218359977</v>
      </c>
    </row>
    <row r="146" spans="6:10" x14ac:dyDescent="0.2">
      <c r="F146">
        <v>136</v>
      </c>
      <c r="G146"/>
      <c r="H146" s="22">
        <f t="shared" si="10"/>
        <v>171.48375400580682</v>
      </c>
      <c r="I146" s="21">
        <f t="shared" si="11"/>
        <v>697.92494890576472</v>
      </c>
      <c r="J146" s="21">
        <f t="shared" si="9"/>
        <v>1470.3338943962046</v>
      </c>
    </row>
    <row r="147" spans="6:10" x14ac:dyDescent="0.2">
      <c r="F147">
        <v>137</v>
      </c>
      <c r="G147"/>
      <c r="H147" s="22">
        <f t="shared" si="10"/>
        <v>175.49199675114016</v>
      </c>
      <c r="I147" s="21">
        <f t="shared" si="11"/>
        <v>718.37571091799884</v>
      </c>
      <c r="J147" s="21">
        <f>80*2^((F147-10)/30)</f>
        <v>1504.7013200430192</v>
      </c>
    </row>
    <row r="148" spans="6:10" x14ac:dyDescent="0.2">
      <c r="F148">
        <v>138</v>
      </c>
      <c r="G148"/>
      <c r="H148" s="22">
        <f t="shared" si="10"/>
        <v>179.59392772949971</v>
      </c>
      <c r="I148" s="21">
        <f t="shared" si="11"/>
        <v>739.42572599825439</v>
      </c>
      <c r="J148" s="21">
        <f t="shared" ref="J148:J154" si="12">80*2^((F148-10)/30)</f>
        <v>1539.872046185109</v>
      </c>
    </row>
    <row r="149" spans="6:10" x14ac:dyDescent="0.2">
      <c r="F149">
        <v>139</v>
      </c>
      <c r="G149"/>
      <c r="H149" s="22">
        <f t="shared" si="10"/>
        <v>183.79173679952558</v>
      </c>
      <c r="I149" s="21">
        <f t="shared" si="11"/>
        <v>761.09255360174143</v>
      </c>
      <c r="J149" s="21">
        <f t="shared" si="12"/>
        <v>1575.8648490814928</v>
      </c>
    </row>
    <row r="150" spans="6:10" x14ac:dyDescent="0.2">
      <c r="F150">
        <v>140</v>
      </c>
      <c r="G150"/>
      <c r="H150" s="22">
        <f t="shared" si="10"/>
        <v>188.0876650053774</v>
      </c>
      <c r="I150" s="21">
        <f t="shared" si="11"/>
        <v>783.39426771497938</v>
      </c>
      <c r="J150" s="21">
        <f t="shared" si="12"/>
        <v>1612.6989438654371</v>
      </c>
    </row>
    <row r="151" spans="6:10" x14ac:dyDescent="0.2">
      <c r="F151">
        <v>141</v>
      </c>
      <c r="G151"/>
      <c r="H151" s="22">
        <f t="shared" si="10"/>
        <v>192.48400577313862</v>
      </c>
      <c r="I151" s="21">
        <f t="shared" si="11"/>
        <v>806.34947193271853</v>
      </c>
      <c r="J151" s="21">
        <f t="shared" si="12"/>
        <v>1650.3939948026609</v>
      </c>
    </row>
    <row r="152" spans="6:10" x14ac:dyDescent="0.2">
      <c r="F152">
        <v>142</v>
      </c>
      <c r="G152"/>
      <c r="H152" s="22">
        <f t="shared" ref="H152:H170" si="13">10*2^((ROW()-23)/30)</f>
        <v>196.9831061351866</v>
      </c>
      <c r="I152" s="21">
        <f t="shared" ref="I152:I158" si="14">20*2^((F152-$F$23)/24)</f>
        <v>829.97731497664608</v>
      </c>
      <c r="J152" s="21">
        <f t="shared" si="12"/>
        <v>1688.9701257893046</v>
      </c>
    </row>
    <row r="153" spans="6:10" x14ac:dyDescent="0.2">
      <c r="F153">
        <v>143</v>
      </c>
      <c r="G153"/>
      <c r="H153" s="22">
        <f t="shared" si="13"/>
        <v>201.58736798317963</v>
      </c>
      <c r="I153" s="21">
        <f t="shared" si="14"/>
        <v>854.29750666882182</v>
      </c>
      <c r="J153" s="21">
        <f t="shared" si="12"/>
        <v>1728.4479310952834</v>
      </c>
    </row>
    <row r="154" spans="6:10" x14ac:dyDescent="0.2">
      <c r="F154">
        <v>144</v>
      </c>
      <c r="G154"/>
      <c r="H154" s="22">
        <f t="shared" si="13"/>
        <v>206.29924935033262</v>
      </c>
      <c r="I154" s="21">
        <f t="shared" si="14"/>
        <v>879.33033437317658</v>
      </c>
      <c r="J154" s="21">
        <f t="shared" si="12"/>
        <v>1768.848486358753</v>
      </c>
    </row>
    <row r="155" spans="6:10" x14ac:dyDescent="0.2">
      <c r="F155">
        <v>145</v>
      </c>
      <c r="G155"/>
      <c r="H155" s="22">
        <f t="shared" si="13"/>
        <v>211.12126572366307</v>
      </c>
      <c r="I155" s="21">
        <f t="shared" si="14"/>
        <v>905.09667991878086</v>
      </c>
      <c r="J155" s="21">
        <f>80*2^((F155-10)/30)</f>
        <v>1810.1933598375615</v>
      </c>
    </row>
    <row r="156" spans="6:10" x14ac:dyDescent="0.2">
      <c r="F156">
        <v>146</v>
      </c>
      <c r="G156"/>
      <c r="H156" s="22">
        <f t="shared" si="13"/>
        <v>216.05599138691042</v>
      </c>
      <c r="I156" s="21">
        <f t="shared" si="14"/>
        <v>931.61803701899998</v>
      </c>
      <c r="J156" s="21">
        <f>80*2^((F156-10)/30)</f>
        <v>1852.5046239236831</v>
      </c>
    </row>
    <row r="157" spans="6:10" x14ac:dyDescent="0.2">
      <c r="F157">
        <v>147</v>
      </c>
      <c r="G157"/>
      <c r="H157" s="22">
        <f t="shared" si="13"/>
        <v>221.10606079484413</v>
      </c>
      <c r="I157" s="21">
        <f t="shared" si="14"/>
        <v>958.91652920107595</v>
      </c>
      <c r="J157" s="21">
        <f>80*2^((F157-10)/30)</f>
        <v>1895.8048669268019</v>
      </c>
    </row>
    <row r="158" spans="6:10" x14ac:dyDescent="0.2">
      <c r="F158">
        <v>148</v>
      </c>
      <c r="G158"/>
      <c r="H158" s="22">
        <f t="shared" si="13"/>
        <v>226.27416997969519</v>
      </c>
      <c r="I158" s="21">
        <f t="shared" si="14"/>
        <v>987.01492826108188</v>
      </c>
      <c r="J158" s="21">
        <f>80*2^((F158-10)/30)</f>
        <v>1940.1172051333085</v>
      </c>
    </row>
    <row r="159" spans="6:10" x14ac:dyDescent="0.2">
      <c r="F159">
        <v>149</v>
      </c>
      <c r="G159"/>
      <c r="H159" s="22">
        <f t="shared" si="13"/>
        <v>231.56307799046039</v>
      </c>
      <c r="I159" s="20">
        <f>1000*2^((F159-$F$159)/9)</f>
        <v>1000</v>
      </c>
      <c r="J159" s="21">
        <f>80*2^((F159-10)/30)</f>
        <v>1985.4652951471805</v>
      </c>
    </row>
    <row r="160" spans="6:10" x14ac:dyDescent="0.2">
      <c r="F160">
        <v>150</v>
      </c>
      <c r="G160"/>
      <c r="H160" s="22">
        <f t="shared" si="13"/>
        <v>236.97560836585023</v>
      </c>
      <c r="I160" s="20">
        <f t="shared" ref="I160:I173" si="15">1000*2^((F160-$F$159)/9)</f>
        <v>1080.0597388923061</v>
      </c>
      <c r="J160" s="20">
        <f>2000*2^((F160-150)/12)</f>
        <v>2000</v>
      </c>
    </row>
    <row r="161" spans="6:10" x14ac:dyDescent="0.2">
      <c r="F161">
        <v>151</v>
      </c>
      <c r="G161"/>
      <c r="H161" s="22">
        <f t="shared" si="13"/>
        <v>242.51465064166356</v>
      </c>
      <c r="I161" s="20">
        <f t="shared" si="15"/>
        <v>1166.5290395761165</v>
      </c>
      <c r="J161" s="20">
        <f t="shared" ref="J161:J175" si="16">2000*2^((F161-150)/12)</f>
        <v>2118.9261887185908</v>
      </c>
    </row>
    <row r="162" spans="6:10" x14ac:dyDescent="0.2">
      <c r="F162">
        <v>152</v>
      </c>
      <c r="G162"/>
      <c r="H162" s="22">
        <f t="shared" si="13"/>
        <v>248.18316189339757</v>
      </c>
      <c r="I162" s="20">
        <f t="shared" si="15"/>
        <v>1259.9210498948732</v>
      </c>
      <c r="J162" s="20">
        <f t="shared" si="16"/>
        <v>2244.9240966187463</v>
      </c>
    </row>
    <row r="163" spans="6:10" x14ac:dyDescent="0.2">
      <c r="F163">
        <v>153</v>
      </c>
      <c r="G163"/>
      <c r="H163" s="22">
        <f t="shared" si="13"/>
        <v>253.98416831491198</v>
      </c>
      <c r="I163" s="20">
        <f t="shared" si="15"/>
        <v>1360.7900001743769</v>
      </c>
      <c r="J163" s="20">
        <f t="shared" si="16"/>
        <v>2378.4142300054423</v>
      </c>
    </row>
    <row r="164" spans="6:10" x14ac:dyDescent="0.2">
      <c r="F164">
        <v>154</v>
      </c>
      <c r="G164"/>
      <c r="H164" s="22">
        <f t="shared" si="13"/>
        <v>259.92076683399534</v>
      </c>
      <c r="I164" s="20">
        <f t="shared" si="15"/>
        <v>1469.7344922755988</v>
      </c>
      <c r="J164" s="20">
        <f t="shared" si="16"/>
        <v>2519.8420997897465</v>
      </c>
    </row>
    <row r="165" spans="6:10" x14ac:dyDescent="0.2">
      <c r="F165">
        <v>155</v>
      </c>
      <c r="G165"/>
      <c r="H165" s="22">
        <f t="shared" si="13"/>
        <v>265.99612676569211</v>
      </c>
      <c r="I165" s="20">
        <f t="shared" si="15"/>
        <v>1587.4010519681995</v>
      </c>
      <c r="J165" s="20">
        <f t="shared" si="16"/>
        <v>2669.6797083400688</v>
      </c>
    </row>
    <row r="166" spans="6:10" x14ac:dyDescent="0.2">
      <c r="F166">
        <v>156</v>
      </c>
      <c r="G166"/>
      <c r="H166" s="22">
        <f t="shared" si="13"/>
        <v>272.2134915042738</v>
      </c>
      <c r="I166" s="20">
        <f t="shared" si="15"/>
        <v>1714.4879657061456</v>
      </c>
      <c r="J166" s="20">
        <f t="shared" si="16"/>
        <v>2828.4271247461902</v>
      </c>
    </row>
    <row r="167" spans="6:10" x14ac:dyDescent="0.2">
      <c r="F167">
        <v>157</v>
      </c>
      <c r="G167"/>
      <c r="H167" s="22">
        <f t="shared" si="13"/>
        <v>278.57618025475972</v>
      </c>
      <c r="I167" s="20">
        <f t="shared" si="15"/>
        <v>1851.7494245745809</v>
      </c>
      <c r="J167" s="20">
        <f t="shared" si="16"/>
        <v>2996.6141537533631</v>
      </c>
    </row>
    <row r="168" spans="6:10" x14ac:dyDescent="0.2">
      <c r="F168">
        <v>158</v>
      </c>
      <c r="G168"/>
      <c r="H168" s="22">
        <f t="shared" si="13"/>
        <v>285.08758980490848</v>
      </c>
      <c r="I168" s="20">
        <f t="shared" si="15"/>
        <v>2000</v>
      </c>
      <c r="J168" s="20">
        <f t="shared" si="16"/>
        <v>3174.8021039363989</v>
      </c>
    </row>
    <row r="169" spans="6:10" x14ac:dyDescent="0.2">
      <c r="F169">
        <v>159</v>
      </c>
      <c r="G169"/>
      <c r="H169" s="22">
        <f t="shared" si="13"/>
        <v>291.7511963386292</v>
      </c>
      <c r="I169" s="20">
        <f t="shared" si="15"/>
        <v>2160.1194777846122</v>
      </c>
      <c r="J169" s="20">
        <f t="shared" si="16"/>
        <v>3363.585661014858</v>
      </c>
    </row>
    <row r="170" spans="6:10" x14ac:dyDescent="0.2">
      <c r="F170">
        <v>160</v>
      </c>
      <c r="G170"/>
      <c r="H170" s="22">
        <f t="shared" si="13"/>
        <v>298.57055729177836</v>
      </c>
      <c r="I170" s="20">
        <f t="shared" si="15"/>
        <v>2333.0580791522334</v>
      </c>
      <c r="J170" s="20">
        <f t="shared" si="16"/>
        <v>3563.5948725613571</v>
      </c>
    </row>
    <row r="171" spans="6:10" x14ac:dyDescent="0.2">
      <c r="F171">
        <v>161</v>
      </c>
      <c r="G171"/>
      <c r="H171" s="20">
        <f>300*2^((ROW()-171)/12)</f>
        <v>300</v>
      </c>
      <c r="I171" s="20">
        <f t="shared" si="15"/>
        <v>2519.842099789746</v>
      </c>
      <c r="J171" s="20">
        <f t="shared" si="16"/>
        <v>3775.4972507267735</v>
      </c>
    </row>
    <row r="172" spans="6:10" x14ac:dyDescent="0.2">
      <c r="F172">
        <v>162</v>
      </c>
      <c r="G172"/>
      <c r="H172" s="20">
        <f t="shared" ref="H172:H190" si="17">300*2^((ROW()-171)/12)</f>
        <v>317.83892830778859</v>
      </c>
      <c r="I172" s="20">
        <f t="shared" si="15"/>
        <v>2721.5800003487539</v>
      </c>
      <c r="J172" s="20">
        <f t="shared" si="16"/>
        <v>4000</v>
      </c>
    </row>
    <row r="173" spans="6:10" x14ac:dyDescent="0.2">
      <c r="F173">
        <v>163</v>
      </c>
      <c r="G173"/>
      <c r="H173" s="20">
        <f t="shared" si="17"/>
        <v>336.73861449281191</v>
      </c>
      <c r="I173" s="20">
        <f t="shared" si="15"/>
        <v>2939.4689845511975</v>
      </c>
      <c r="J173" s="20">
        <f t="shared" si="16"/>
        <v>4237.8523774371806</v>
      </c>
    </row>
    <row r="174" spans="6:10" x14ac:dyDescent="0.2">
      <c r="F174">
        <v>164</v>
      </c>
      <c r="G174"/>
      <c r="H174" s="20">
        <f t="shared" si="17"/>
        <v>356.76213450081633</v>
      </c>
      <c r="I174" s="20">
        <f>1000*2^((F174-$F$159)/9)</f>
        <v>3174.8021039363989</v>
      </c>
      <c r="J174" s="20">
        <f>2000*2^((F174-150)/12)</f>
        <v>4489.8481932374925</v>
      </c>
    </row>
    <row r="175" spans="6:10" x14ac:dyDescent="0.2">
      <c r="F175">
        <v>165</v>
      </c>
      <c r="G175"/>
      <c r="H175" s="20">
        <f t="shared" si="17"/>
        <v>377.97631496846196</v>
      </c>
      <c r="I175" s="23">
        <f>3400*2^((F175-$F$175)/6)</f>
        <v>3400</v>
      </c>
      <c r="J175" s="20">
        <f t="shared" si="16"/>
        <v>4756.8284600108846</v>
      </c>
    </row>
    <row r="176" spans="6:10" x14ac:dyDescent="0.2">
      <c r="F176">
        <v>166</v>
      </c>
      <c r="G176"/>
      <c r="H176" s="20">
        <f t="shared" si="17"/>
        <v>400.4519562510103</v>
      </c>
      <c r="I176" s="23">
        <f t="shared" ref="I176:I189" si="18">3400*2^((F176-$F$175)/6)</f>
        <v>3816.3709642518684</v>
      </c>
      <c r="J176" s="23">
        <f>5000*2^((F176-166)/6)</f>
        <v>5000</v>
      </c>
    </row>
    <row r="177" spans="6:10" x14ac:dyDescent="0.2">
      <c r="F177">
        <v>167</v>
      </c>
      <c r="G177"/>
      <c r="H177" s="20">
        <f t="shared" si="17"/>
        <v>424.26406871192853</v>
      </c>
      <c r="I177" s="23">
        <f t="shared" si="18"/>
        <v>4283.7315696425685</v>
      </c>
      <c r="J177" s="23">
        <f t="shared" ref="J177:J190" si="19">5000*2^((F177-166)/6)</f>
        <v>5612.3102415468647</v>
      </c>
    </row>
    <row r="178" spans="6:10" x14ac:dyDescent="0.2">
      <c r="F178">
        <v>168</v>
      </c>
      <c r="G178"/>
      <c r="H178" s="20">
        <f t="shared" si="17"/>
        <v>449.49212306300444</v>
      </c>
      <c r="I178" s="23">
        <f t="shared" si="18"/>
        <v>4808.3261120685238</v>
      </c>
      <c r="J178" s="23">
        <f t="shared" si="19"/>
        <v>6299.6052494743662</v>
      </c>
    </row>
    <row r="179" spans="6:10" x14ac:dyDescent="0.2">
      <c r="F179">
        <v>169</v>
      </c>
      <c r="G179"/>
      <c r="H179" s="20">
        <f t="shared" si="17"/>
        <v>476.22031559045979</v>
      </c>
      <c r="I179" s="23">
        <f t="shared" si="18"/>
        <v>5397.163576691878</v>
      </c>
      <c r="J179" s="23">
        <f t="shared" si="19"/>
        <v>7071.067811865476</v>
      </c>
    </row>
    <row r="180" spans="6:10" x14ac:dyDescent="0.2">
      <c r="F180">
        <v>170</v>
      </c>
      <c r="G180"/>
      <c r="H180" s="20">
        <f t="shared" si="17"/>
        <v>504.53784915222872</v>
      </c>
      <c r="I180" s="23">
        <f t="shared" si="18"/>
        <v>6058.1112833543075</v>
      </c>
      <c r="J180" s="23">
        <f t="shared" si="19"/>
        <v>7937.0052598409966</v>
      </c>
    </row>
    <row r="181" spans="6:10" x14ac:dyDescent="0.2">
      <c r="F181">
        <v>171</v>
      </c>
      <c r="G181"/>
      <c r="H181" s="20">
        <f t="shared" si="17"/>
        <v>534.53923088420356</v>
      </c>
      <c r="I181" s="23">
        <f t="shared" si="18"/>
        <v>6800</v>
      </c>
      <c r="J181" s="23">
        <f t="shared" si="19"/>
        <v>8908.9871814033922</v>
      </c>
    </row>
    <row r="182" spans="6:10" x14ac:dyDescent="0.2">
      <c r="F182">
        <v>172</v>
      </c>
      <c r="G182"/>
      <c r="H182" s="20">
        <f t="shared" si="17"/>
        <v>566.32458760901602</v>
      </c>
      <c r="I182" s="23">
        <f t="shared" si="18"/>
        <v>7632.7419285037367</v>
      </c>
      <c r="J182" s="23">
        <f t="shared" si="19"/>
        <v>10000</v>
      </c>
    </row>
    <row r="183" spans="6:10" x14ac:dyDescent="0.2">
      <c r="F183">
        <v>173</v>
      </c>
      <c r="G183"/>
      <c r="H183" s="20">
        <f t="shared" si="17"/>
        <v>600</v>
      </c>
      <c r="I183" s="23">
        <f t="shared" si="18"/>
        <v>8567.463139285137</v>
      </c>
      <c r="J183" s="23">
        <f t="shared" si="19"/>
        <v>11224.620483093729</v>
      </c>
    </row>
    <row r="184" spans="6:10" x14ac:dyDescent="0.2">
      <c r="F184">
        <v>174</v>
      </c>
      <c r="G184"/>
      <c r="H184" s="20">
        <f t="shared" si="17"/>
        <v>635.67785661557707</v>
      </c>
      <c r="I184" s="23">
        <f t="shared" si="18"/>
        <v>9616.6522241370458</v>
      </c>
      <c r="J184" s="23">
        <f t="shared" si="19"/>
        <v>12599.210498948729</v>
      </c>
    </row>
    <row r="185" spans="6:10" x14ac:dyDescent="0.2">
      <c r="F185">
        <v>175</v>
      </c>
      <c r="G185"/>
      <c r="H185" s="20">
        <f t="shared" si="17"/>
        <v>673.47722898562381</v>
      </c>
      <c r="I185" s="23">
        <f t="shared" si="18"/>
        <v>10794.327153383756</v>
      </c>
      <c r="J185" s="23">
        <f t="shared" si="19"/>
        <v>14142.13562373095</v>
      </c>
    </row>
    <row r="186" spans="6:10" x14ac:dyDescent="0.2">
      <c r="F186">
        <v>176</v>
      </c>
      <c r="G186"/>
      <c r="H186" s="20">
        <f t="shared" si="17"/>
        <v>713.52426900163266</v>
      </c>
      <c r="I186" s="23">
        <f t="shared" si="18"/>
        <v>12116.222566708613</v>
      </c>
      <c r="J186" s="23">
        <f t="shared" si="19"/>
        <v>15874.010519681993</v>
      </c>
    </row>
    <row r="187" spans="6:10" x14ac:dyDescent="0.2">
      <c r="F187">
        <v>177</v>
      </c>
      <c r="G187"/>
      <c r="H187" s="20">
        <f t="shared" si="17"/>
        <v>755.95262993692381</v>
      </c>
      <c r="I187" s="23">
        <f t="shared" si="18"/>
        <v>13600</v>
      </c>
      <c r="J187" s="23">
        <f t="shared" si="19"/>
        <v>17817.974362806784</v>
      </c>
    </row>
    <row r="188" spans="6:10" x14ac:dyDescent="0.2">
      <c r="F188">
        <v>178</v>
      </c>
      <c r="G188"/>
      <c r="H188" s="20">
        <f t="shared" si="17"/>
        <v>800.9039125020206</v>
      </c>
      <c r="I188" s="23">
        <f t="shared" si="18"/>
        <v>15265.48385700747</v>
      </c>
      <c r="J188" s="23">
        <f t="shared" si="19"/>
        <v>20000</v>
      </c>
    </row>
    <row r="189" spans="6:10" x14ac:dyDescent="0.2">
      <c r="F189">
        <v>179</v>
      </c>
      <c r="G189"/>
      <c r="H189" s="20">
        <f t="shared" si="17"/>
        <v>848.52813742385695</v>
      </c>
      <c r="I189" s="23">
        <f t="shared" si="18"/>
        <v>17134.926278570278</v>
      </c>
      <c r="J189" s="23">
        <f t="shared" si="19"/>
        <v>22449.240966187455</v>
      </c>
    </row>
    <row r="190" spans="6:10" x14ac:dyDescent="0.2">
      <c r="F190">
        <v>180</v>
      </c>
      <c r="G190"/>
      <c r="H190" s="20">
        <f t="shared" si="17"/>
        <v>898.98424612600877</v>
      </c>
      <c r="I190" s="23">
        <v>20000</v>
      </c>
      <c r="J190" s="23">
        <f t="shared" si="19"/>
        <v>25198.420997897469</v>
      </c>
    </row>
  </sheetData>
  <phoneticPr fontId="2"/>
  <pageMargins left="0.75" right="0.75" top="1" bottom="1" header="0.51200000000000001" footer="0.51200000000000001"/>
  <pageSetup paperSize="9" orientation="portrait" r:id="rId1"/>
  <headerFooter alignWithMargins="0">
    <oddHeader>&amp;A</oddHeader>
    <oddFooter>- &amp;P -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6"/>
  <sheetViews>
    <sheetView topLeftCell="A4" workbookViewId="0">
      <selection activeCell="C18" sqref="C18"/>
    </sheetView>
  </sheetViews>
  <sheetFormatPr defaultRowHeight="14.25" x14ac:dyDescent="0.2"/>
  <cols>
    <col min="1" max="1" width="9" style="25"/>
    <col min="2" max="2" width="10.5" style="25" bestFit="1" customWidth="1"/>
    <col min="3" max="3" width="56.25" style="28" customWidth="1"/>
    <col min="4" max="4" width="33.75" style="35" customWidth="1"/>
  </cols>
  <sheetData>
    <row r="1" spans="1:5" ht="156" customHeight="1" x14ac:dyDescent="0.2">
      <c r="A1" s="245" t="s">
        <v>312</v>
      </c>
      <c r="B1" s="246"/>
      <c r="C1" s="246"/>
      <c r="D1" s="246"/>
      <c r="E1" s="246"/>
    </row>
    <row r="2" spans="1:5" x14ac:dyDescent="0.2">
      <c r="B2" s="26" t="s">
        <v>306</v>
      </c>
      <c r="C2" s="27" t="s">
        <v>307</v>
      </c>
      <c r="D2" s="36" t="s">
        <v>308</v>
      </c>
      <c r="E2" s="16" t="s">
        <v>309</v>
      </c>
    </row>
    <row r="3" spans="1:5" x14ac:dyDescent="0.2">
      <c r="A3" s="25">
        <v>1</v>
      </c>
      <c r="B3" s="34">
        <v>38098</v>
      </c>
      <c r="C3" s="27" t="s">
        <v>255</v>
      </c>
      <c r="E3" s="16" t="s">
        <v>328</v>
      </c>
    </row>
    <row r="4" spans="1:5" ht="54" x14ac:dyDescent="0.2">
      <c r="A4" s="25">
        <v>2</v>
      </c>
      <c r="B4" s="34">
        <v>44594</v>
      </c>
      <c r="C4" s="27" t="s">
        <v>310</v>
      </c>
      <c r="E4" s="16" t="s">
        <v>328</v>
      </c>
    </row>
    <row r="5" spans="1:5" x14ac:dyDescent="0.2">
      <c r="A5" s="25">
        <v>3</v>
      </c>
      <c r="B5" s="34">
        <v>44595</v>
      </c>
      <c r="C5" s="27" t="s">
        <v>311</v>
      </c>
      <c r="E5" s="16" t="s">
        <v>328</v>
      </c>
    </row>
    <row r="6" spans="1:5" x14ac:dyDescent="0.2">
      <c r="A6" s="25">
        <v>4</v>
      </c>
      <c r="B6" s="34">
        <v>44606</v>
      </c>
      <c r="C6" s="27" t="s">
        <v>318</v>
      </c>
      <c r="E6" s="16" t="s">
        <v>328</v>
      </c>
    </row>
    <row r="7" spans="1:5" x14ac:dyDescent="0.2">
      <c r="A7" s="25">
        <v>5</v>
      </c>
      <c r="B7" s="34">
        <v>44612</v>
      </c>
      <c r="C7" s="27" t="s">
        <v>327</v>
      </c>
      <c r="E7" s="16" t="s">
        <v>328</v>
      </c>
    </row>
    <row r="8" spans="1:5" ht="27" x14ac:dyDescent="0.2">
      <c r="A8" s="25">
        <v>6</v>
      </c>
      <c r="B8" s="34">
        <v>45301</v>
      </c>
      <c r="C8" s="27" t="s">
        <v>333</v>
      </c>
      <c r="E8" s="16" t="s">
        <v>328</v>
      </c>
    </row>
    <row r="9" spans="1:5" ht="27" x14ac:dyDescent="0.2">
      <c r="A9" s="25">
        <v>7</v>
      </c>
      <c r="B9" s="34">
        <v>45322</v>
      </c>
      <c r="C9" s="27" t="s">
        <v>337</v>
      </c>
      <c r="E9" s="16" t="s">
        <v>338</v>
      </c>
    </row>
    <row r="10" spans="1:5" x14ac:dyDescent="0.2">
      <c r="A10" s="25">
        <v>8</v>
      </c>
      <c r="B10" s="34">
        <v>45553</v>
      </c>
      <c r="C10" s="27" t="s">
        <v>339</v>
      </c>
      <c r="E10" s="16" t="s">
        <v>328</v>
      </c>
    </row>
    <row r="11" spans="1:5" ht="41.25" customHeight="1" x14ac:dyDescent="0.2">
      <c r="A11" s="25">
        <v>9</v>
      </c>
      <c r="B11" s="34">
        <v>45554</v>
      </c>
      <c r="C11" s="28" t="s">
        <v>353</v>
      </c>
      <c r="D11" s="36" t="s">
        <v>354</v>
      </c>
      <c r="E11" s="16" t="s">
        <v>328</v>
      </c>
    </row>
    <row r="12" spans="1:5" x14ac:dyDescent="0.2">
      <c r="A12" s="25">
        <v>10</v>
      </c>
      <c r="B12" s="34">
        <v>45559</v>
      </c>
      <c r="C12" s="28" t="s">
        <v>355</v>
      </c>
      <c r="D12" s="36"/>
      <c r="E12" s="16" t="s">
        <v>328</v>
      </c>
    </row>
    <row r="13" spans="1:5" x14ac:dyDescent="0.2">
      <c r="A13" s="25">
        <v>11</v>
      </c>
      <c r="B13" s="34">
        <v>45593</v>
      </c>
      <c r="C13" s="28" t="s">
        <v>374</v>
      </c>
      <c r="E13" s="16" t="s">
        <v>328</v>
      </c>
    </row>
    <row r="14" spans="1:5" x14ac:dyDescent="0.2">
      <c r="A14" s="25">
        <v>12</v>
      </c>
      <c r="B14" s="34">
        <v>45624</v>
      </c>
      <c r="C14" s="28" t="s">
        <v>375</v>
      </c>
      <c r="E14" s="16" t="s">
        <v>328</v>
      </c>
    </row>
    <row r="15" spans="1:5" x14ac:dyDescent="0.2">
      <c r="A15" s="25">
        <v>13</v>
      </c>
      <c r="B15" s="34">
        <v>45650</v>
      </c>
      <c r="C15" s="27" t="s">
        <v>376</v>
      </c>
      <c r="E15" s="16" t="s">
        <v>328</v>
      </c>
    </row>
    <row r="16" spans="1:5" x14ac:dyDescent="0.2">
      <c r="A16" s="25">
        <v>14</v>
      </c>
      <c r="B16" s="34">
        <v>45748</v>
      </c>
      <c r="C16" s="27" t="s">
        <v>389</v>
      </c>
      <c r="E16" s="16" t="s">
        <v>384</v>
      </c>
    </row>
  </sheetData>
  <sheetProtection algorithmName="SHA-512" hashValue="/SHETAjvZEN26xKpFZOsZFECsNEP+gUMv9NDhkJNJselgRngZZAa+awemGv3edH3khiah04dLWky+FiTKn+D+g==" saltValue="O0M8WdbMAGTyHoEO4PY4UQ==" spinCount="100000" sheet="1" objects="1" scenarios="1"/>
  <mergeCells count="1">
    <mergeCell ref="A1:E1"/>
  </mergeCells>
  <phoneticPr fontId="17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"/>
  <sheetViews>
    <sheetView zoomScale="70" zoomScaleNormal="70" workbookViewId="0">
      <selection activeCell="H46" sqref="H46"/>
    </sheetView>
  </sheetViews>
  <sheetFormatPr defaultRowHeight="14.25" x14ac:dyDescent="0.2"/>
  <cols>
    <col min="1" max="1" width="9.5" bestFit="1" customWidth="1"/>
  </cols>
  <sheetData>
    <row r="1" spans="2:2" x14ac:dyDescent="0.2">
      <c r="B1" s="16"/>
    </row>
  </sheetData>
  <sheetProtection algorithmName="SHA-512" hashValue="IFywxeSur4oRVSwgRB3Qe4Kz9dTdvWLFfLAfdLQoFPGTMqR1e6ylLW4ksS7nzj1Urx86sz8efyBn/rEeU97nXg==" saltValue="Qz+WHdWwbfhbOoje6Gccng==" spinCount="100000" sheet="1" objects="1" scenarios="1"/>
  <phoneticPr fontId="17"/>
  <pageMargins left="0.75" right="0.75" top="1" bottom="1" header="0.51200000000000001" footer="0.51200000000000001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BASE</vt:lpstr>
      <vt:lpstr>CC</vt:lpstr>
      <vt:lpstr>BASE!Print_Area</vt:lpstr>
      <vt:lpstr>rho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SPLDSGN_2e</dc:title>
  <dc:creator>H.Sugata</dc:creator>
  <cp:lastModifiedBy>FSGT</cp:lastModifiedBy>
  <cp:lastPrinted>2024-10-29T07:11:03Z</cp:lastPrinted>
  <dcterms:created xsi:type="dcterms:W3CDTF">1996-09-19T06:52:39Z</dcterms:created>
  <dcterms:modified xsi:type="dcterms:W3CDTF">2025-10-20T05:27:48Z</dcterms:modified>
</cp:coreProperties>
</file>